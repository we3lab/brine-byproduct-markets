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arolineadkins/Desktop/"/>
    </mc:Choice>
  </mc:AlternateContent>
  <xr:revisionPtr revIDLastSave="0" documentId="13_ncr:1_{FDACCBEE-A56F-7D49-A1D6-FDF0629BC5A5}" xr6:coauthVersionLast="47" xr6:coauthVersionMax="47" xr10:uidLastSave="{00000000-0000-0000-0000-000000000000}"/>
  <bookViews>
    <workbookView xWindow="22700" yWindow="-21000" windowWidth="27140" windowHeight="21000" xr2:uid="{5BBCCC59-929F-694D-8D6F-26DDD7DC451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50" i="1" l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49" i="1"/>
  <c r="D38" i="1"/>
  <c r="E38" i="1" s="1"/>
  <c r="E37" i="1"/>
  <c r="E36" i="1"/>
  <c r="E28" i="1" l="1"/>
  <c r="E29" i="1"/>
  <c r="E30" i="1"/>
  <c r="E31" i="1"/>
  <c r="E32" i="1"/>
  <c r="E33" i="1"/>
  <c r="E34" i="1"/>
  <c r="E35" i="1"/>
  <c r="E27" i="1"/>
  <c r="D18" i="1"/>
  <c r="D26" i="1" l="1"/>
  <c r="E26" i="1" s="1"/>
  <c r="E22" i="1" l="1"/>
  <c r="E23" i="1"/>
  <c r="E24" i="1"/>
  <c r="E18" i="1"/>
  <c r="E19" i="1"/>
  <c r="E21" i="1"/>
  <c r="E20" i="1"/>
  <c r="E25" i="1"/>
  <c r="E17" i="1"/>
  <c r="E16" i="1"/>
  <c r="E7" i="1" l="1"/>
  <c r="E8" i="1"/>
  <c r="E9" i="1"/>
  <c r="E10" i="1"/>
  <c r="E6" i="1"/>
</calcChain>
</file>

<file path=xl/sharedStrings.xml><?xml version="1.0" encoding="utf-8"?>
<sst xmlns="http://schemas.openxmlformats.org/spreadsheetml/2006/main" count="474" uniqueCount="161">
  <si>
    <t>end_use</t>
  </si>
  <si>
    <t>end_use_category</t>
  </si>
  <si>
    <t>demand_kt</t>
  </si>
  <si>
    <t>pct_of_demand</t>
  </si>
  <si>
    <t>source</t>
  </si>
  <si>
    <t>source_link</t>
  </si>
  <si>
    <t>source_citation</t>
  </si>
  <si>
    <t>B</t>
  </si>
  <si>
    <t>Glass and ceramics</t>
  </si>
  <si>
    <t>USGS Mineral Commodity Summaries 2024, Boron</t>
  </si>
  <si>
    <t>https://pubs.usgs.gov/periodicals/mcs2024/mcs2024-boron.pdf</t>
  </si>
  <si>
    <t>(Brioche, 2024)</t>
  </si>
  <si>
    <t>Abrasives, cleaning products, insecticides, insulation, semiconductor production</t>
  </si>
  <si>
    <t>Miscellaneous Manufacturing</t>
  </si>
  <si>
    <t>BaSO4</t>
  </si>
  <si>
    <t>Filler, extender, weighting agent; metal casting; concrete aggregate; X-ray contrast</t>
  </si>
  <si>
    <t>Weighting agent in oil and gas drilling fluids</t>
  </si>
  <si>
    <t>Miscellaneous Industrial</t>
  </si>
  <si>
    <t>USGS Mineral Commodity Summaries 2026, Barite</t>
  </si>
  <si>
    <t>https://pubs.usgs.gov/periodicals/mcs2026/mcs2026-barite.pdf</t>
  </si>
  <si>
    <t>(Kim, 2026)</t>
  </si>
  <si>
    <t>Br</t>
  </si>
  <si>
    <t>Flame retardant</t>
  </si>
  <si>
    <t>Drilling fluids</t>
  </si>
  <si>
    <t>Organic synthesis</t>
  </si>
  <si>
    <t>Pharmaceuticals</t>
  </si>
  <si>
    <t>Water treatment</t>
  </si>
  <si>
    <t>Ullmann's Encyclopedia for Industrial Chemistry, Bromine</t>
  </si>
  <si>
    <t>https://onlinelibrary.wiley.com/doi/10.1002/14356007.a04_391.pub2</t>
  </si>
  <si>
    <t>(Mills et al., 2015)</t>
  </si>
  <si>
    <t>Organic Chemical Manufacturing</t>
  </si>
  <si>
    <t>Pharmaceutical Manufacturing</t>
  </si>
  <si>
    <t>Industrial Water Treatment</t>
  </si>
  <si>
    <t>Pesticide Manufacturing</t>
  </si>
  <si>
    <t>CaCO3</t>
  </si>
  <si>
    <t>Sulfur oxide removal</t>
  </si>
  <si>
    <t>USGS Minerals Yearbook 2023, Stone (Crushed)</t>
  </si>
  <si>
    <t>https://d9-wret.s3.us-west-2.amazonaws.com/assets/palladium/production/s3fs-public/media/files/myb1-2023-stonec-ert.xlsx</t>
  </si>
  <si>
    <t>(Willett, 2025)</t>
  </si>
  <si>
    <t>Miscellaneous Construction</t>
  </si>
  <si>
    <t>Cement Manufacturing</t>
  </si>
  <si>
    <t>Lime Manufacturing</t>
  </si>
  <si>
    <t>Flue Gas Desulfurization</t>
  </si>
  <si>
    <t>byproduct</t>
  </si>
  <si>
    <t>Insulation Fiberglass Manufacturing</t>
  </si>
  <si>
    <t>Miscellaneous Chemical Manufacturing</t>
  </si>
  <si>
    <t>Soil Additive</t>
  </si>
  <si>
    <t>Agricultural limetone</t>
  </si>
  <si>
    <t>Cement Manufacture</t>
  </si>
  <si>
    <t>Lime Manufacture</t>
  </si>
  <si>
    <t>-</t>
  </si>
  <si>
    <t>CaF2</t>
  </si>
  <si>
    <t>Hydrofluoric acid</t>
  </si>
  <si>
    <t>Metallurgy</t>
  </si>
  <si>
    <t>Hydrofluoric Acid Production</t>
  </si>
  <si>
    <t>USGS Mineral Commodity Summaries 2026, Fluorspar</t>
  </si>
  <si>
    <t>https://pubs.usgs.gov/periodicals/mcs2026/mcs2026-fluorspar.pdf</t>
  </si>
  <si>
    <t>(Londono, 2026)</t>
  </si>
  <si>
    <t>CaO</t>
  </si>
  <si>
    <t>Fertilizer, including aglime</t>
  </si>
  <si>
    <t>Paper and pulp</t>
  </si>
  <si>
    <t>Other chemical and industrial</t>
  </si>
  <si>
    <t>Construction</t>
  </si>
  <si>
    <t>Flue gas treatment</t>
  </si>
  <si>
    <t>Sludge treatment</t>
  </si>
  <si>
    <t>Drinking water treatment</t>
  </si>
  <si>
    <t>Wastewater treatment</t>
  </si>
  <si>
    <t>Other environmental</t>
  </si>
  <si>
    <t>Pulp and Paper Manufacturing</t>
  </si>
  <si>
    <t>Iron and steel</t>
  </si>
  <si>
    <t>Nonferrous metallurgy</t>
  </si>
  <si>
    <t>Wastewater Treatment</t>
  </si>
  <si>
    <t>Drinking Water Treatment</t>
  </si>
  <si>
    <t>Other</t>
  </si>
  <si>
    <t>USGS Minerals Yearbook 2023, Lime</t>
  </si>
  <si>
    <t>https://d9-wret.s3.us-west-2.amazonaws.com/assets/palladium/production/s3fs-public/media/files/myb1-2023-lime-ert.xlsx</t>
  </si>
  <si>
    <t>(Apodaca, 2025)</t>
  </si>
  <si>
    <t>Iron and Steel Manufacturing</t>
  </si>
  <si>
    <t>Miscellaneous Metallurgy</t>
  </si>
  <si>
    <t>Oil and Gas Drilling</t>
  </si>
  <si>
    <t>Ca(OH)2</t>
  </si>
  <si>
    <t>Chemical and Industrial</t>
  </si>
  <si>
    <t>Acid-mine drainage</t>
  </si>
  <si>
    <t>CaSO4</t>
  </si>
  <si>
    <t>Portland and masonry cement</t>
  </si>
  <si>
    <t>Agriculture and other</t>
  </si>
  <si>
    <t>Plaster and prefabricated gypsum products</t>
  </si>
  <si>
    <t>USGS Minerals Yearbook 2023, Gypsum</t>
  </si>
  <si>
    <t>https://d9-wret.s3.us-west-2.amazonaws.com/assets/palladium/production/s3fs-public/media/files/myb1-2023-gypsu-ERT.xlsx</t>
  </si>
  <si>
    <t>(Crangle, 2024)</t>
  </si>
  <si>
    <t>Gypsum-Based Product Manufacturing</t>
  </si>
  <si>
    <t>HCl</t>
  </si>
  <si>
    <t>Oil and gas well acidification</t>
  </si>
  <si>
    <t>Steel pickling</t>
  </si>
  <si>
    <t>Food processing</t>
  </si>
  <si>
    <t>EPA Water Treatment Chemical Supply Chain Profile, Hydrochloric Acid</t>
  </si>
  <si>
    <t>https://www.epa.gov/system/files/documents/2023-03/Hydrochloric%20Acid%20Supply%20Chain%20Profile.pdf</t>
  </si>
  <si>
    <t>(U.S. Environmental Protection Agency, 2022)</t>
  </si>
  <si>
    <t>Steel Pickling</t>
  </si>
  <si>
    <t>Oil and Gas Well Acidification</t>
  </si>
  <si>
    <t>HF</t>
  </si>
  <si>
    <t>Fluorocarbon</t>
  </si>
  <si>
    <t>Fluorinated derivatives</t>
  </si>
  <si>
    <t>Metal pickling</t>
  </si>
  <si>
    <t>Glass etching</t>
  </si>
  <si>
    <t>Oil refining</t>
  </si>
  <si>
    <t>Others</t>
  </si>
  <si>
    <t>Grand View Research, Hydrofluoric Acid Market (2022-2030)</t>
  </si>
  <si>
    <t>https://www.grandviewresearch.com/industry-analysis/hydrofluoric-acid-market-report</t>
  </si>
  <si>
    <t>(Grand View Research, 2022)</t>
  </si>
  <si>
    <t>Semiconductor Manufacturing</t>
  </si>
  <si>
    <t>H2SO4</t>
  </si>
  <si>
    <t>Metal Ore Leaching</t>
  </si>
  <si>
    <t>Copper ores</t>
  </si>
  <si>
    <t>Uranium and vanadium ores</t>
  </si>
  <si>
    <t>Other ores</t>
  </si>
  <si>
    <t>Pulp mills and paper products</t>
  </si>
  <si>
    <t>Inorganic pigments, paints, and allied products; industrial organic chemicals; other chemical products4</t>
  </si>
  <si>
    <t xml:space="preserve">Other inorganic chemicals </t>
  </si>
  <si>
    <t>Synthetic rubber and other plastic materials and synthetics</t>
  </si>
  <si>
    <t>Soaps and detergents</t>
  </si>
  <si>
    <t>Nitrogenous Fertilizer Manufacturing</t>
  </si>
  <si>
    <t>Nitrogenous fertilizers</t>
  </si>
  <si>
    <t>Phosphatic Fertilizer Manufacturing</t>
  </si>
  <si>
    <t>Phosphatic fertilizers</t>
  </si>
  <si>
    <t>Pesticides</t>
  </si>
  <si>
    <t>Other agricultural chemicals</t>
  </si>
  <si>
    <t>Explosives</t>
  </si>
  <si>
    <t>Water-treating compounds</t>
  </si>
  <si>
    <t>Petroleum refining and other petroleum and coal products</t>
  </si>
  <si>
    <t>Rubber and miscellaneous plastic products</t>
  </si>
  <si>
    <t>Nonferrous metals</t>
  </si>
  <si>
    <t>Other primary metals</t>
  </si>
  <si>
    <t>Storage batteries (acid)</t>
  </si>
  <si>
    <t>USGS Minerals Yearbook 2023, Sulfur</t>
  </si>
  <si>
    <t>https://d9-wret.s3.us-west-2.amazonaws.com/assets/palladium/production/s3fs-public/media/files/myb1-2023-sulfu-ERT.xlsx</t>
  </si>
  <si>
    <t>K2O</t>
  </si>
  <si>
    <t>Fertilizer industry</t>
  </si>
  <si>
    <t>Chemical and industrial applications</t>
  </si>
  <si>
    <t>USGS Mineral Commodity Summaries 2026, Potash</t>
  </si>
  <si>
    <t>https://pubs.usgs.gov/periodicals/mcs2026/mcs2026-potash.pdf</t>
  </si>
  <si>
    <t>(Jasinski, 2026)</t>
  </si>
  <si>
    <t>Potash Fertilizer Application</t>
  </si>
  <si>
    <t>Miscellaneous Fertilizer Application</t>
  </si>
  <si>
    <t>Li</t>
  </si>
  <si>
    <t>Batteries</t>
  </si>
  <si>
    <t>Ceramics and glass</t>
  </si>
  <si>
    <t>Lubricating greases</t>
  </si>
  <si>
    <t>Air treatment</t>
  </si>
  <si>
    <t>Continuous casting mold flux powders</t>
  </si>
  <si>
    <t>Medical</t>
  </si>
  <si>
    <t>USGS Mineral Commodity Summaries 2026, Lithium</t>
  </si>
  <si>
    <t>https://pubs.usgs.gov/periodicals/mcs2026/mcs2026-lithium.pdf</t>
  </si>
  <si>
    <t>(Jaskula, 2026)</t>
  </si>
  <si>
    <t>Lithium Battery Manufacturing</t>
  </si>
  <si>
    <t>MgCl2</t>
  </si>
  <si>
    <t>Deicing and dust control</t>
  </si>
  <si>
    <t>USGS Minerals Yearbook 2020, Magnesium Compounds</t>
  </si>
  <si>
    <t>https://pubs.usgs.gov/myb/vol1/2020/myb1-2020-magnesium-comp.pdf</t>
  </si>
  <si>
    <t>(Merrill, 2024)</t>
  </si>
  <si>
    <t>Deicing and Dust Control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</si>
</sst>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">
    <xf numFmtId="0" fontId="0" fillId="0" borderId="0" xfId="0"/>
    <xf numFmtId="9" fontId="0" fillId="0" borderId="0" xfId="1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F184B4-4209-7340-984B-591345E84F4E}">
  <dimension ref="A1:H78"/>
  <sheetViews>
    <sheetView tabSelected="1" topLeftCell="A58" workbookViewId="0">
      <selection activeCell="B85" sqref="B85"/>
    </sheetView>
  </sheetViews>
  <sheetFormatPr baseColWidth="10" defaultRowHeight="16" x14ac:dyDescent="0.2"/>
  <cols>
    <col min="1" max="1" width="17.33203125" customWidth="1"/>
    <col min="2" max="2" width="43.1640625" customWidth="1"/>
    <col min="3" max="3" width="65.83203125" customWidth="1"/>
    <col min="5" max="5" width="16.5" style="1" customWidth="1"/>
    <col min="6" max="6" width="43.5" customWidth="1"/>
    <col min="7" max="7" width="32.5" customWidth="1"/>
    <col min="8" max="8" width="21.83203125" customWidth="1"/>
  </cols>
  <sheetData>
    <row r="1" spans="1:8" x14ac:dyDescent="0.2">
      <c r="A1" t="s">
        <v>43</v>
      </c>
      <c r="B1" t="s">
        <v>1</v>
      </c>
      <c r="C1" t="s">
        <v>0</v>
      </c>
      <c r="D1" t="s">
        <v>2</v>
      </c>
      <c r="E1" s="1" t="s">
        <v>3</v>
      </c>
      <c r="F1" t="s">
        <v>4</v>
      </c>
      <c r="G1" t="s">
        <v>5</v>
      </c>
      <c r="H1" t="s">
        <v>6</v>
      </c>
    </row>
    <row r="2" spans="1:8" x14ac:dyDescent="0.2">
      <c r="A2" t="s">
        <v>7</v>
      </c>
      <c r="B2" t="s">
        <v>44</v>
      </c>
      <c r="C2" t="s">
        <v>8</v>
      </c>
      <c r="E2" s="1">
        <v>0.65</v>
      </c>
      <c r="F2" t="s">
        <v>9</v>
      </c>
      <c r="G2" t="s">
        <v>10</v>
      </c>
      <c r="H2" t="s">
        <v>11</v>
      </c>
    </row>
    <row r="3" spans="1:8" x14ac:dyDescent="0.2">
      <c r="A3" t="s">
        <v>7</v>
      </c>
      <c r="B3" t="s">
        <v>13</v>
      </c>
      <c r="C3" t="s">
        <v>12</v>
      </c>
      <c r="E3" s="1">
        <v>0.35</v>
      </c>
      <c r="F3" t="s">
        <v>9</v>
      </c>
      <c r="G3" t="s">
        <v>10</v>
      </c>
      <c r="H3" t="s">
        <v>11</v>
      </c>
    </row>
    <row r="4" spans="1:8" x14ac:dyDescent="0.2">
      <c r="A4" t="s">
        <v>14</v>
      </c>
      <c r="B4" t="s">
        <v>79</v>
      </c>
      <c r="C4" t="s">
        <v>16</v>
      </c>
      <c r="E4" s="1">
        <v>0.9</v>
      </c>
      <c r="F4" t="s">
        <v>18</v>
      </c>
      <c r="G4" t="s">
        <v>19</v>
      </c>
      <c r="H4" t="s">
        <v>20</v>
      </c>
    </row>
    <row r="5" spans="1:8" x14ac:dyDescent="0.2">
      <c r="A5" t="s">
        <v>14</v>
      </c>
      <c r="B5" t="s">
        <v>17</v>
      </c>
      <c r="C5" t="s">
        <v>15</v>
      </c>
      <c r="E5" s="1">
        <v>0.1</v>
      </c>
      <c r="F5" t="s">
        <v>18</v>
      </c>
      <c r="G5" t="s">
        <v>19</v>
      </c>
      <c r="H5" t="s">
        <v>20</v>
      </c>
    </row>
    <row r="6" spans="1:8" x14ac:dyDescent="0.2">
      <c r="A6" t="s">
        <v>21</v>
      </c>
      <c r="B6" t="s">
        <v>45</v>
      </c>
      <c r="C6" t="s">
        <v>22</v>
      </c>
      <c r="D6">
        <v>483000</v>
      </c>
      <c r="E6" s="1">
        <f>D6/SUM($D$6:$D$10)</f>
        <v>0.58945569929216501</v>
      </c>
      <c r="F6" t="s">
        <v>27</v>
      </c>
      <c r="G6" t="s">
        <v>28</v>
      </c>
      <c r="H6" t="s">
        <v>29</v>
      </c>
    </row>
    <row r="7" spans="1:8" x14ac:dyDescent="0.2">
      <c r="A7" t="s">
        <v>21</v>
      </c>
      <c r="B7" t="s">
        <v>79</v>
      </c>
      <c r="C7" t="s">
        <v>23</v>
      </c>
      <c r="D7">
        <v>103500</v>
      </c>
      <c r="E7" s="1">
        <f t="shared" ref="E7:E10" si="0">D7/SUM($D$6:$D$10)</f>
        <v>0.12631193556260678</v>
      </c>
      <c r="F7" t="s">
        <v>27</v>
      </c>
      <c r="G7" t="s">
        <v>28</v>
      </c>
      <c r="H7" t="s">
        <v>29</v>
      </c>
    </row>
    <row r="8" spans="1:8" x14ac:dyDescent="0.2">
      <c r="A8" t="s">
        <v>21</v>
      </c>
      <c r="B8" t="s">
        <v>30</v>
      </c>
      <c r="C8" t="s">
        <v>24</v>
      </c>
      <c r="D8">
        <v>86300</v>
      </c>
      <c r="E8" s="1">
        <f t="shared" si="0"/>
        <v>0.10532096656089822</v>
      </c>
      <c r="F8" t="s">
        <v>27</v>
      </c>
      <c r="G8" t="s">
        <v>28</v>
      </c>
      <c r="H8" t="s">
        <v>29</v>
      </c>
    </row>
    <row r="9" spans="1:8" x14ac:dyDescent="0.2">
      <c r="A9" t="s">
        <v>21</v>
      </c>
      <c r="B9" t="s">
        <v>31</v>
      </c>
      <c r="C9" t="s">
        <v>25</v>
      </c>
      <c r="D9">
        <v>77600</v>
      </c>
      <c r="E9" s="1">
        <f t="shared" si="0"/>
        <v>9.4703441542592137E-2</v>
      </c>
      <c r="F9" t="s">
        <v>27</v>
      </c>
      <c r="G9" t="s">
        <v>28</v>
      </c>
      <c r="H9" t="s">
        <v>29</v>
      </c>
    </row>
    <row r="10" spans="1:8" x14ac:dyDescent="0.2">
      <c r="A10" t="s">
        <v>21</v>
      </c>
      <c r="B10" t="s">
        <v>32</v>
      </c>
      <c r="C10" t="s">
        <v>26</v>
      </c>
      <c r="D10">
        <v>69000</v>
      </c>
      <c r="E10" s="1">
        <f t="shared" si="0"/>
        <v>8.4207957041737863E-2</v>
      </c>
      <c r="F10" t="s">
        <v>27</v>
      </c>
      <c r="G10" t="s">
        <v>28</v>
      </c>
      <c r="H10" t="s">
        <v>29</v>
      </c>
    </row>
    <row r="11" spans="1:8" x14ac:dyDescent="0.2">
      <c r="A11" t="s">
        <v>34</v>
      </c>
      <c r="B11" t="s">
        <v>46</v>
      </c>
      <c r="C11" t="s">
        <v>47</v>
      </c>
      <c r="E11" s="1" t="s">
        <v>50</v>
      </c>
      <c r="F11" t="s">
        <v>36</v>
      </c>
      <c r="G11" t="s">
        <v>37</v>
      </c>
      <c r="H11" t="s">
        <v>38</v>
      </c>
    </row>
    <row r="12" spans="1:8" x14ac:dyDescent="0.2">
      <c r="A12" t="s">
        <v>34</v>
      </c>
      <c r="B12" t="s">
        <v>40</v>
      </c>
      <c r="C12" t="s">
        <v>48</v>
      </c>
      <c r="E12" s="1" t="s">
        <v>50</v>
      </c>
      <c r="F12" t="s">
        <v>36</v>
      </c>
      <c r="G12" t="s">
        <v>37</v>
      </c>
      <c r="H12" t="s">
        <v>38</v>
      </c>
    </row>
    <row r="13" spans="1:8" x14ac:dyDescent="0.2">
      <c r="A13" t="s">
        <v>34</v>
      </c>
      <c r="B13" t="s">
        <v>41</v>
      </c>
      <c r="C13" t="s">
        <v>49</v>
      </c>
      <c r="E13" s="1" t="s">
        <v>50</v>
      </c>
      <c r="F13" t="s">
        <v>36</v>
      </c>
      <c r="G13" t="s">
        <v>37</v>
      </c>
      <c r="H13" t="s">
        <v>38</v>
      </c>
    </row>
    <row r="14" spans="1:8" x14ac:dyDescent="0.2">
      <c r="A14" t="s">
        <v>34</v>
      </c>
      <c r="B14" t="s">
        <v>42</v>
      </c>
      <c r="C14" t="s">
        <v>35</v>
      </c>
      <c r="E14" s="1" t="s">
        <v>50</v>
      </c>
      <c r="F14" t="s">
        <v>36</v>
      </c>
      <c r="G14" t="s">
        <v>37</v>
      </c>
      <c r="H14" t="s">
        <v>38</v>
      </c>
    </row>
    <row r="15" spans="1:8" x14ac:dyDescent="0.2">
      <c r="A15" t="s">
        <v>51</v>
      </c>
      <c r="B15" t="s">
        <v>54</v>
      </c>
      <c r="C15" t="s">
        <v>52</v>
      </c>
      <c r="E15" s="1">
        <v>1</v>
      </c>
      <c r="F15" t="s">
        <v>55</v>
      </c>
      <c r="G15" t="s">
        <v>56</v>
      </c>
      <c r="H15" t="s">
        <v>57</v>
      </c>
    </row>
    <row r="16" spans="1:8" x14ac:dyDescent="0.2">
      <c r="A16" t="s">
        <v>58</v>
      </c>
      <c r="B16" t="s">
        <v>46</v>
      </c>
      <c r="C16" t="s">
        <v>59</v>
      </c>
      <c r="D16">
        <v>65</v>
      </c>
      <c r="E16" s="1">
        <f>D16/SUM(D$16:$D$26)</f>
        <v>4.0625000000000001E-3</v>
      </c>
      <c r="F16" t="s">
        <v>74</v>
      </c>
      <c r="G16" t="s">
        <v>75</v>
      </c>
      <c r="H16" t="s">
        <v>76</v>
      </c>
    </row>
    <row r="17" spans="1:8" x14ac:dyDescent="0.2">
      <c r="A17" t="s">
        <v>58</v>
      </c>
      <c r="B17" t="s">
        <v>68</v>
      </c>
      <c r="C17" t="s">
        <v>60</v>
      </c>
      <c r="D17">
        <v>773</v>
      </c>
      <c r="E17" s="1">
        <f>D17/SUM(D$16:$D$26)</f>
        <v>4.8312500000000001E-2</v>
      </c>
      <c r="F17" t="s">
        <v>74</v>
      </c>
      <c r="G17" t="s">
        <v>75</v>
      </c>
      <c r="H17" t="s">
        <v>76</v>
      </c>
    </row>
    <row r="18" spans="1:8" x14ac:dyDescent="0.2">
      <c r="A18" t="s">
        <v>58</v>
      </c>
      <c r="B18" t="s">
        <v>45</v>
      </c>
      <c r="C18" t="s">
        <v>61</v>
      </c>
      <c r="D18">
        <f>451+568+1310</f>
        <v>2329</v>
      </c>
      <c r="E18" s="1">
        <f>D18/SUM(D$16:$D$26)</f>
        <v>0.14556250000000001</v>
      </c>
      <c r="F18" t="s">
        <v>74</v>
      </c>
      <c r="G18" t="s">
        <v>75</v>
      </c>
      <c r="H18" t="s">
        <v>76</v>
      </c>
    </row>
    <row r="19" spans="1:8" x14ac:dyDescent="0.2">
      <c r="A19" t="s">
        <v>58</v>
      </c>
      <c r="B19" t="s">
        <v>77</v>
      </c>
      <c r="C19" t="s">
        <v>69</v>
      </c>
      <c r="D19">
        <v>5250</v>
      </c>
      <c r="E19" s="1">
        <f>D19/SUM(D$16:$D$26)</f>
        <v>0.328125</v>
      </c>
      <c r="F19" t="s">
        <v>74</v>
      </c>
      <c r="G19" t="s">
        <v>75</v>
      </c>
      <c r="H19" t="s">
        <v>76</v>
      </c>
    </row>
    <row r="20" spans="1:8" x14ac:dyDescent="0.2">
      <c r="A20" t="s">
        <v>58</v>
      </c>
      <c r="B20" t="s">
        <v>78</v>
      </c>
      <c r="C20" t="s">
        <v>70</v>
      </c>
      <c r="D20">
        <v>1040</v>
      </c>
      <c r="E20" s="1">
        <f>D20/SUM(D$16:$D$26)</f>
        <v>6.5000000000000002E-2</v>
      </c>
      <c r="F20" t="s">
        <v>74</v>
      </c>
      <c r="G20" t="s">
        <v>75</v>
      </c>
      <c r="H20" t="s">
        <v>76</v>
      </c>
    </row>
    <row r="21" spans="1:8" x14ac:dyDescent="0.2">
      <c r="A21" t="s">
        <v>58</v>
      </c>
      <c r="B21" t="s">
        <v>39</v>
      </c>
      <c r="C21" t="s">
        <v>62</v>
      </c>
      <c r="D21">
        <v>2100</v>
      </c>
      <c r="E21" s="1">
        <f>D21/SUM(D$16:$D$26)</f>
        <v>0.13125000000000001</v>
      </c>
      <c r="F21" t="s">
        <v>74</v>
      </c>
      <c r="G21" t="s">
        <v>75</v>
      </c>
      <c r="H21" t="s">
        <v>76</v>
      </c>
    </row>
    <row r="22" spans="1:8" x14ac:dyDescent="0.2">
      <c r="A22" t="s">
        <v>58</v>
      </c>
      <c r="B22" t="s">
        <v>42</v>
      </c>
      <c r="C22" t="s">
        <v>63</v>
      </c>
      <c r="D22">
        <v>2280</v>
      </c>
      <c r="E22" s="1">
        <f>D22/SUM(D$16:$D$26)</f>
        <v>0.14249999999999999</v>
      </c>
      <c r="F22" t="s">
        <v>74</v>
      </c>
      <c r="G22" t="s">
        <v>75</v>
      </c>
      <c r="H22" t="s">
        <v>76</v>
      </c>
    </row>
    <row r="23" spans="1:8" x14ac:dyDescent="0.2">
      <c r="A23" t="s">
        <v>58</v>
      </c>
      <c r="B23" t="s">
        <v>71</v>
      </c>
      <c r="C23" t="s">
        <v>64</v>
      </c>
      <c r="D23">
        <v>105</v>
      </c>
      <c r="E23" s="1">
        <f>D23/SUM(D$16:$D$26)</f>
        <v>6.5624999999999998E-3</v>
      </c>
      <c r="F23" t="s">
        <v>74</v>
      </c>
      <c r="G23" t="s">
        <v>75</v>
      </c>
      <c r="H23" t="s">
        <v>76</v>
      </c>
    </row>
    <row r="24" spans="1:8" x14ac:dyDescent="0.2">
      <c r="A24" t="s">
        <v>58</v>
      </c>
      <c r="B24" t="s">
        <v>72</v>
      </c>
      <c r="C24" t="s">
        <v>65</v>
      </c>
      <c r="D24">
        <v>839</v>
      </c>
      <c r="E24" s="1">
        <f>D24/SUM(D$16:$D$26)</f>
        <v>5.2437499999999998E-2</v>
      </c>
      <c r="F24" t="s">
        <v>74</v>
      </c>
      <c r="G24" t="s">
        <v>75</v>
      </c>
      <c r="H24" t="s">
        <v>76</v>
      </c>
    </row>
    <row r="25" spans="1:8" x14ac:dyDescent="0.2">
      <c r="A25" t="s">
        <v>58</v>
      </c>
      <c r="B25" t="s">
        <v>71</v>
      </c>
      <c r="C25" t="s">
        <v>66</v>
      </c>
      <c r="D25">
        <v>431</v>
      </c>
      <c r="E25" s="1">
        <f>D25/SUM(D$16:$D$26)</f>
        <v>2.69375E-2</v>
      </c>
      <c r="F25" t="s">
        <v>74</v>
      </c>
      <c r="G25" t="s">
        <v>75</v>
      </c>
      <c r="H25" t="s">
        <v>76</v>
      </c>
    </row>
    <row r="26" spans="1:8" x14ac:dyDescent="0.2">
      <c r="A26" t="s">
        <v>58</v>
      </c>
      <c r="B26" t="s">
        <v>73</v>
      </c>
      <c r="C26" t="s">
        <v>73</v>
      </c>
      <c r="D26">
        <f>16000-SUM(D16:D25)</f>
        <v>788</v>
      </c>
      <c r="E26" s="1">
        <f>D26/SUM(D$16:$D$26)</f>
        <v>4.9250000000000002E-2</v>
      </c>
      <c r="F26" t="s">
        <v>74</v>
      </c>
      <c r="G26" t="s">
        <v>75</v>
      </c>
      <c r="H26" t="s">
        <v>76</v>
      </c>
    </row>
    <row r="27" spans="1:8" x14ac:dyDescent="0.2">
      <c r="A27" t="s">
        <v>80</v>
      </c>
      <c r="B27" t="s">
        <v>45</v>
      </c>
      <c r="C27" t="s">
        <v>81</v>
      </c>
      <c r="D27">
        <v>615</v>
      </c>
      <c r="E27" s="1">
        <f>D27/2470</f>
        <v>0.24898785425101214</v>
      </c>
      <c r="F27" t="s">
        <v>74</v>
      </c>
      <c r="G27" t="s">
        <v>75</v>
      </c>
      <c r="H27" t="s">
        <v>76</v>
      </c>
    </row>
    <row r="28" spans="1:8" x14ac:dyDescent="0.2">
      <c r="A28" t="s">
        <v>80</v>
      </c>
      <c r="B28" t="s">
        <v>39</v>
      </c>
      <c r="C28" t="s">
        <v>62</v>
      </c>
      <c r="D28">
        <v>878</v>
      </c>
      <c r="E28" s="1">
        <f t="shared" ref="E28:E35" si="1">D28/2470</f>
        <v>0.3554655870445344</v>
      </c>
      <c r="F28" t="s">
        <v>74</v>
      </c>
      <c r="G28" t="s">
        <v>75</v>
      </c>
      <c r="H28" t="s">
        <v>76</v>
      </c>
    </row>
    <row r="29" spans="1:8" x14ac:dyDescent="0.2">
      <c r="A29" t="s">
        <v>80</v>
      </c>
      <c r="B29" t="s">
        <v>42</v>
      </c>
      <c r="C29" t="s">
        <v>63</v>
      </c>
      <c r="D29">
        <v>446</v>
      </c>
      <c r="E29" s="1">
        <f t="shared" si="1"/>
        <v>0.1805668016194332</v>
      </c>
      <c r="F29" t="s">
        <v>74</v>
      </c>
      <c r="G29" t="s">
        <v>75</v>
      </c>
      <c r="H29" t="s">
        <v>76</v>
      </c>
    </row>
    <row r="30" spans="1:8" x14ac:dyDescent="0.2">
      <c r="A30" t="s">
        <v>80</v>
      </c>
      <c r="B30" t="s">
        <v>71</v>
      </c>
      <c r="C30" t="s">
        <v>64</v>
      </c>
      <c r="D30">
        <v>128</v>
      </c>
      <c r="E30" s="1">
        <f t="shared" si="1"/>
        <v>5.1821862348178135E-2</v>
      </c>
      <c r="F30" t="s">
        <v>74</v>
      </c>
      <c r="G30" t="s">
        <v>75</v>
      </c>
      <c r="H30" t="s">
        <v>76</v>
      </c>
    </row>
    <row r="31" spans="1:8" x14ac:dyDescent="0.2">
      <c r="A31" t="s">
        <v>80</v>
      </c>
      <c r="B31" t="s">
        <v>73</v>
      </c>
      <c r="C31" t="s">
        <v>82</v>
      </c>
      <c r="D31">
        <v>47</v>
      </c>
      <c r="E31" s="1">
        <f t="shared" si="1"/>
        <v>1.9028340080971661E-2</v>
      </c>
      <c r="F31" t="s">
        <v>74</v>
      </c>
      <c r="G31" t="s">
        <v>75</v>
      </c>
      <c r="H31" t="s">
        <v>76</v>
      </c>
    </row>
    <row r="32" spans="1:8" x14ac:dyDescent="0.2">
      <c r="A32" t="s">
        <v>80</v>
      </c>
      <c r="B32" t="s">
        <v>72</v>
      </c>
      <c r="C32" t="s">
        <v>65</v>
      </c>
      <c r="D32">
        <v>137</v>
      </c>
      <c r="E32" s="1">
        <f t="shared" si="1"/>
        <v>5.5465587044534415E-2</v>
      </c>
      <c r="F32" t="s">
        <v>74</v>
      </c>
      <c r="G32" t="s">
        <v>75</v>
      </c>
      <c r="H32" t="s">
        <v>76</v>
      </c>
    </row>
    <row r="33" spans="1:8" x14ac:dyDescent="0.2">
      <c r="A33" t="s">
        <v>80</v>
      </c>
      <c r="B33" t="s">
        <v>71</v>
      </c>
      <c r="C33" t="s">
        <v>66</v>
      </c>
      <c r="D33">
        <v>108</v>
      </c>
      <c r="E33" s="1">
        <f t="shared" si="1"/>
        <v>4.3724696356275301E-2</v>
      </c>
      <c r="F33" t="s">
        <v>74</v>
      </c>
      <c r="G33" t="s">
        <v>75</v>
      </c>
      <c r="H33" t="s">
        <v>76</v>
      </c>
    </row>
    <row r="34" spans="1:8" x14ac:dyDescent="0.2">
      <c r="A34" t="s">
        <v>80</v>
      </c>
      <c r="B34" t="s">
        <v>73</v>
      </c>
      <c r="C34" t="s">
        <v>67</v>
      </c>
      <c r="D34">
        <v>43</v>
      </c>
      <c r="E34" s="1">
        <f t="shared" si="1"/>
        <v>1.7408906882591092E-2</v>
      </c>
      <c r="F34" t="s">
        <v>74</v>
      </c>
      <c r="G34" t="s">
        <v>75</v>
      </c>
      <c r="H34" t="s">
        <v>76</v>
      </c>
    </row>
    <row r="35" spans="1:8" x14ac:dyDescent="0.2">
      <c r="A35" t="s">
        <v>80</v>
      </c>
      <c r="B35" t="s">
        <v>78</v>
      </c>
      <c r="C35" t="s">
        <v>53</v>
      </c>
      <c r="D35">
        <v>63</v>
      </c>
      <c r="E35" s="1">
        <f t="shared" si="1"/>
        <v>2.5506072874493926E-2</v>
      </c>
      <c r="F35" t="s">
        <v>74</v>
      </c>
      <c r="G35" t="s">
        <v>75</v>
      </c>
      <c r="H35" t="s">
        <v>76</v>
      </c>
    </row>
    <row r="36" spans="1:8" x14ac:dyDescent="0.2">
      <c r="A36" t="s">
        <v>83</v>
      </c>
      <c r="B36" t="s">
        <v>40</v>
      </c>
      <c r="C36" t="s">
        <v>84</v>
      </c>
      <c r="D36">
        <v>4400</v>
      </c>
      <c r="E36" s="1">
        <f>D36/37100</f>
        <v>0.11859838274932614</v>
      </c>
      <c r="F36" t="s">
        <v>87</v>
      </c>
      <c r="G36" t="s">
        <v>88</v>
      </c>
      <c r="H36" t="s">
        <v>89</v>
      </c>
    </row>
    <row r="37" spans="1:8" x14ac:dyDescent="0.2">
      <c r="A37" t="s">
        <v>83</v>
      </c>
      <c r="B37" t="s">
        <v>143</v>
      </c>
      <c r="C37" t="s">
        <v>85</v>
      </c>
      <c r="D37">
        <v>14400</v>
      </c>
      <c r="E37" s="1">
        <f t="shared" ref="E37:E38" si="2">D37/37100</f>
        <v>0.38814016172506738</v>
      </c>
      <c r="F37" t="s">
        <v>87</v>
      </c>
      <c r="G37" t="s">
        <v>88</v>
      </c>
      <c r="H37" t="s">
        <v>89</v>
      </c>
    </row>
    <row r="38" spans="1:8" x14ac:dyDescent="0.2">
      <c r="A38" t="s">
        <v>83</v>
      </c>
      <c r="B38" t="s">
        <v>90</v>
      </c>
      <c r="C38" t="s">
        <v>86</v>
      </c>
      <c r="D38">
        <f>18300</f>
        <v>18300</v>
      </c>
      <c r="E38" s="1">
        <f t="shared" si="2"/>
        <v>0.49326145552560646</v>
      </c>
      <c r="F38" t="s">
        <v>87</v>
      </c>
      <c r="G38" t="s">
        <v>88</v>
      </c>
      <c r="H38" t="s">
        <v>89</v>
      </c>
    </row>
    <row r="39" spans="1:8" x14ac:dyDescent="0.2">
      <c r="A39" t="s">
        <v>91</v>
      </c>
      <c r="B39" t="s">
        <v>99</v>
      </c>
      <c r="C39" t="s">
        <v>92</v>
      </c>
      <c r="E39" s="1">
        <v>0.3</v>
      </c>
      <c r="F39" t="s">
        <v>95</v>
      </c>
      <c r="G39" t="s">
        <v>96</v>
      </c>
      <c r="H39" t="s">
        <v>97</v>
      </c>
    </row>
    <row r="40" spans="1:8" x14ac:dyDescent="0.2">
      <c r="A40" t="s">
        <v>91</v>
      </c>
      <c r="B40" t="s">
        <v>98</v>
      </c>
      <c r="C40" t="s">
        <v>93</v>
      </c>
      <c r="E40" s="1">
        <v>0.19</v>
      </c>
      <c r="F40" t="s">
        <v>95</v>
      </c>
      <c r="G40" t="s">
        <v>96</v>
      </c>
      <c r="H40" t="s">
        <v>97</v>
      </c>
    </row>
    <row r="41" spans="1:8" x14ac:dyDescent="0.2">
      <c r="A41" t="s">
        <v>91</v>
      </c>
      <c r="B41" t="s">
        <v>17</v>
      </c>
      <c r="C41" t="s">
        <v>94</v>
      </c>
      <c r="E41" s="1">
        <v>0.19</v>
      </c>
      <c r="F41" t="s">
        <v>95</v>
      </c>
      <c r="G41" t="s">
        <v>96</v>
      </c>
      <c r="H41" t="s">
        <v>97</v>
      </c>
    </row>
    <row r="42" spans="1:8" x14ac:dyDescent="0.2">
      <c r="A42" t="s">
        <v>91</v>
      </c>
      <c r="B42" t="s">
        <v>73</v>
      </c>
      <c r="C42" t="s">
        <v>73</v>
      </c>
      <c r="E42" s="1">
        <v>0.32</v>
      </c>
      <c r="F42" t="s">
        <v>95</v>
      </c>
      <c r="G42" t="s">
        <v>96</v>
      </c>
      <c r="H42" t="s">
        <v>97</v>
      </c>
    </row>
    <row r="43" spans="1:8" x14ac:dyDescent="0.2">
      <c r="A43" t="s">
        <v>100</v>
      </c>
      <c r="B43" t="s">
        <v>30</v>
      </c>
      <c r="C43" t="s">
        <v>101</v>
      </c>
      <c r="E43" s="1">
        <v>0.54722222222222228</v>
      </c>
      <c r="F43" t="s">
        <v>107</v>
      </c>
      <c r="G43" t="s">
        <v>108</v>
      </c>
      <c r="H43" t="s">
        <v>109</v>
      </c>
    </row>
    <row r="44" spans="1:8" x14ac:dyDescent="0.2">
      <c r="A44" t="s">
        <v>100</v>
      </c>
      <c r="B44" t="s">
        <v>30</v>
      </c>
      <c r="C44" t="s">
        <v>102</v>
      </c>
      <c r="E44" s="1">
        <v>0.18333333333333332</v>
      </c>
      <c r="F44" t="s">
        <v>107</v>
      </c>
      <c r="G44" t="s">
        <v>108</v>
      </c>
      <c r="H44" t="s">
        <v>109</v>
      </c>
    </row>
    <row r="45" spans="1:8" x14ac:dyDescent="0.2">
      <c r="A45" t="s">
        <v>100</v>
      </c>
      <c r="B45" t="s">
        <v>98</v>
      </c>
      <c r="C45" t="s">
        <v>103</v>
      </c>
      <c r="E45" s="1">
        <v>0.11388888888888889</v>
      </c>
      <c r="F45" t="s">
        <v>107</v>
      </c>
      <c r="G45" t="s">
        <v>108</v>
      </c>
      <c r="H45" t="s">
        <v>109</v>
      </c>
    </row>
    <row r="46" spans="1:8" x14ac:dyDescent="0.2">
      <c r="A46" t="s">
        <v>100</v>
      </c>
      <c r="B46" t="s">
        <v>110</v>
      </c>
      <c r="C46" t="s">
        <v>104</v>
      </c>
      <c r="E46" s="1">
        <v>5.5555555555555552E-2</v>
      </c>
      <c r="F46" t="s">
        <v>107</v>
      </c>
      <c r="G46" t="s">
        <v>108</v>
      </c>
      <c r="H46" t="s">
        <v>109</v>
      </c>
    </row>
    <row r="47" spans="1:8" x14ac:dyDescent="0.2">
      <c r="A47" t="s">
        <v>100</v>
      </c>
      <c r="B47" t="s">
        <v>73</v>
      </c>
      <c r="C47" t="s">
        <v>105</v>
      </c>
      <c r="E47" s="1">
        <v>5.2777777777777778E-2</v>
      </c>
      <c r="F47" t="s">
        <v>107</v>
      </c>
      <c r="G47" t="s">
        <v>108</v>
      </c>
      <c r="H47" t="s">
        <v>109</v>
      </c>
    </row>
    <row r="48" spans="1:8" x14ac:dyDescent="0.2">
      <c r="A48" t="s">
        <v>100</v>
      </c>
      <c r="B48" t="s">
        <v>73</v>
      </c>
      <c r="C48" t="s">
        <v>106</v>
      </c>
      <c r="E48" s="1">
        <v>4.7222222222222221E-2</v>
      </c>
      <c r="F48" t="s">
        <v>107</v>
      </c>
      <c r="G48" t="s">
        <v>108</v>
      </c>
      <c r="H48" t="s">
        <v>109</v>
      </c>
    </row>
    <row r="49" spans="1:8" x14ac:dyDescent="0.2">
      <c r="A49" t="s">
        <v>111</v>
      </c>
      <c r="B49" t="s">
        <v>112</v>
      </c>
      <c r="C49" t="s">
        <v>113</v>
      </c>
      <c r="D49">
        <v>275</v>
      </c>
      <c r="E49" s="1">
        <f>D49/SUM($D$49:$D$68)</f>
        <v>4.1704579921140433E-2</v>
      </c>
      <c r="F49" t="s">
        <v>134</v>
      </c>
      <c r="G49" t="s">
        <v>135</v>
      </c>
      <c r="H49" t="s">
        <v>76</v>
      </c>
    </row>
    <row r="50" spans="1:8" x14ac:dyDescent="0.2">
      <c r="A50" t="s">
        <v>111</v>
      </c>
      <c r="B50" t="s">
        <v>112</v>
      </c>
      <c r="C50" t="s">
        <v>114</v>
      </c>
      <c r="D50">
        <v>39</v>
      </c>
      <c r="E50" s="1">
        <f t="shared" ref="E50:E68" si="3">D50/SUM($D$49:$D$68)</f>
        <v>5.9144676979071883E-3</v>
      </c>
      <c r="F50" t="s">
        <v>134</v>
      </c>
      <c r="G50" t="s">
        <v>135</v>
      </c>
      <c r="H50" t="s">
        <v>76</v>
      </c>
    </row>
    <row r="51" spans="1:8" x14ac:dyDescent="0.2">
      <c r="A51" t="s">
        <v>111</v>
      </c>
      <c r="B51" t="s">
        <v>112</v>
      </c>
      <c r="C51" t="s">
        <v>115</v>
      </c>
      <c r="D51">
        <v>14</v>
      </c>
      <c r="E51" s="1">
        <f t="shared" si="3"/>
        <v>2.1231422505307855E-3</v>
      </c>
      <c r="F51" t="s">
        <v>134</v>
      </c>
      <c r="G51" t="s">
        <v>135</v>
      </c>
      <c r="H51" t="s">
        <v>76</v>
      </c>
    </row>
    <row r="52" spans="1:8" x14ac:dyDescent="0.2">
      <c r="A52" t="s">
        <v>111</v>
      </c>
      <c r="B52" t="s">
        <v>68</v>
      </c>
      <c r="C52" t="s">
        <v>116</v>
      </c>
      <c r="D52">
        <v>129</v>
      </c>
      <c r="E52" s="1">
        <f t="shared" si="3"/>
        <v>1.9563239308462238E-2</v>
      </c>
      <c r="F52" t="s">
        <v>134</v>
      </c>
      <c r="G52" t="s">
        <v>135</v>
      </c>
      <c r="H52" t="s">
        <v>76</v>
      </c>
    </row>
    <row r="53" spans="1:8" x14ac:dyDescent="0.2">
      <c r="A53" t="s">
        <v>111</v>
      </c>
      <c r="B53" t="s">
        <v>45</v>
      </c>
      <c r="C53" t="s">
        <v>117</v>
      </c>
      <c r="D53">
        <v>39</v>
      </c>
      <c r="E53" s="1">
        <f t="shared" si="3"/>
        <v>5.9144676979071883E-3</v>
      </c>
      <c r="F53" t="s">
        <v>134</v>
      </c>
      <c r="G53" t="s">
        <v>135</v>
      </c>
      <c r="H53" t="s">
        <v>76</v>
      </c>
    </row>
    <row r="54" spans="1:8" x14ac:dyDescent="0.2">
      <c r="A54" t="s">
        <v>111</v>
      </c>
      <c r="B54" t="s">
        <v>45</v>
      </c>
      <c r="C54" t="s">
        <v>118</v>
      </c>
      <c r="D54">
        <v>67</v>
      </c>
      <c r="E54" s="1">
        <f t="shared" si="3"/>
        <v>1.016075219896876E-2</v>
      </c>
      <c r="F54" t="s">
        <v>134</v>
      </c>
      <c r="G54" t="s">
        <v>135</v>
      </c>
      <c r="H54" t="s">
        <v>76</v>
      </c>
    </row>
    <row r="55" spans="1:8" x14ac:dyDescent="0.2">
      <c r="A55" t="s">
        <v>111</v>
      </c>
      <c r="B55" t="s">
        <v>13</v>
      </c>
      <c r="C55" t="s">
        <v>119</v>
      </c>
      <c r="D55">
        <v>9</v>
      </c>
      <c r="E55" s="1">
        <f t="shared" si="3"/>
        <v>1.3648771610555051E-3</v>
      </c>
      <c r="F55" t="s">
        <v>134</v>
      </c>
      <c r="G55" t="s">
        <v>135</v>
      </c>
      <c r="H55" t="s">
        <v>76</v>
      </c>
    </row>
    <row r="56" spans="1:8" x14ac:dyDescent="0.2">
      <c r="A56" t="s">
        <v>111</v>
      </c>
      <c r="B56" t="s">
        <v>45</v>
      </c>
      <c r="C56" t="s">
        <v>120</v>
      </c>
      <c r="D56">
        <v>5</v>
      </c>
      <c r="E56" s="1">
        <f t="shared" si="3"/>
        <v>7.5826508947528053E-4</v>
      </c>
      <c r="F56" t="s">
        <v>134</v>
      </c>
      <c r="G56" t="s">
        <v>135</v>
      </c>
      <c r="H56" t="s">
        <v>76</v>
      </c>
    </row>
    <row r="57" spans="1:8" x14ac:dyDescent="0.2">
      <c r="A57" t="s">
        <v>111</v>
      </c>
      <c r="B57" t="s">
        <v>121</v>
      </c>
      <c r="C57" t="s">
        <v>122</v>
      </c>
      <c r="D57">
        <v>143</v>
      </c>
      <c r="E57" s="1">
        <f t="shared" si="3"/>
        <v>2.1686381558993023E-2</v>
      </c>
      <c r="F57" t="s">
        <v>134</v>
      </c>
      <c r="G57" t="s">
        <v>135</v>
      </c>
      <c r="H57" t="s">
        <v>76</v>
      </c>
    </row>
    <row r="58" spans="1:8" x14ac:dyDescent="0.2">
      <c r="A58" t="s">
        <v>111</v>
      </c>
      <c r="B58" t="s">
        <v>123</v>
      </c>
      <c r="C58" t="s">
        <v>124</v>
      </c>
      <c r="D58">
        <v>5430</v>
      </c>
      <c r="E58" s="1">
        <f t="shared" si="3"/>
        <v>0.82347588717015474</v>
      </c>
      <c r="F58" t="s">
        <v>134</v>
      </c>
      <c r="G58" t="s">
        <v>135</v>
      </c>
      <c r="H58" t="s">
        <v>76</v>
      </c>
    </row>
    <row r="59" spans="1:8" x14ac:dyDescent="0.2">
      <c r="A59" t="s">
        <v>111</v>
      </c>
      <c r="B59" t="s">
        <v>33</v>
      </c>
      <c r="C59" t="s">
        <v>125</v>
      </c>
      <c r="D59">
        <v>7</v>
      </c>
      <c r="E59" s="1">
        <f t="shared" si="3"/>
        <v>1.0615711252653928E-3</v>
      </c>
      <c r="F59" t="s">
        <v>134</v>
      </c>
      <c r="G59" t="s">
        <v>135</v>
      </c>
      <c r="H59" t="s">
        <v>76</v>
      </c>
    </row>
    <row r="60" spans="1:8" x14ac:dyDescent="0.2">
      <c r="A60" t="s">
        <v>111</v>
      </c>
      <c r="B60" t="s">
        <v>45</v>
      </c>
      <c r="C60" t="s">
        <v>126</v>
      </c>
      <c r="D60">
        <v>20</v>
      </c>
      <c r="E60" s="1">
        <f t="shared" si="3"/>
        <v>3.0330603579011221E-3</v>
      </c>
      <c r="F60" t="s">
        <v>134</v>
      </c>
      <c r="G60" t="s">
        <v>135</v>
      </c>
      <c r="H60" t="s">
        <v>76</v>
      </c>
    </row>
    <row r="61" spans="1:8" x14ac:dyDescent="0.2">
      <c r="A61" t="s">
        <v>111</v>
      </c>
      <c r="B61" t="s">
        <v>45</v>
      </c>
      <c r="C61" t="s">
        <v>127</v>
      </c>
      <c r="D61">
        <v>8</v>
      </c>
      <c r="E61" s="1">
        <f t="shared" si="3"/>
        <v>1.2132241431604489E-3</v>
      </c>
      <c r="F61" t="s">
        <v>134</v>
      </c>
      <c r="G61" t="s">
        <v>135</v>
      </c>
      <c r="H61" t="s">
        <v>76</v>
      </c>
    </row>
    <row r="62" spans="1:8" x14ac:dyDescent="0.2">
      <c r="A62" t="s">
        <v>111</v>
      </c>
      <c r="B62" t="s">
        <v>45</v>
      </c>
      <c r="C62" t="s">
        <v>128</v>
      </c>
      <c r="D62">
        <v>32</v>
      </c>
      <c r="E62" s="1">
        <f t="shared" si="3"/>
        <v>4.8528965726417957E-3</v>
      </c>
      <c r="F62" t="s">
        <v>134</v>
      </c>
      <c r="G62" t="s">
        <v>135</v>
      </c>
      <c r="H62" t="s">
        <v>76</v>
      </c>
    </row>
    <row r="63" spans="1:8" x14ac:dyDescent="0.2">
      <c r="A63" t="s">
        <v>111</v>
      </c>
      <c r="B63" t="s">
        <v>45</v>
      </c>
      <c r="C63" t="s">
        <v>129</v>
      </c>
      <c r="D63">
        <v>334</v>
      </c>
      <c r="E63" s="1">
        <f t="shared" si="3"/>
        <v>5.0652107976948739E-2</v>
      </c>
      <c r="F63" t="s">
        <v>134</v>
      </c>
      <c r="G63" t="s">
        <v>135</v>
      </c>
      <c r="H63" t="s">
        <v>76</v>
      </c>
    </row>
    <row r="64" spans="1:8" x14ac:dyDescent="0.2">
      <c r="A64" t="s">
        <v>111</v>
      </c>
      <c r="B64" t="s">
        <v>13</v>
      </c>
      <c r="C64" t="s">
        <v>130</v>
      </c>
      <c r="D64">
        <v>4</v>
      </c>
      <c r="E64" s="1">
        <f t="shared" si="3"/>
        <v>6.0661207158022447E-4</v>
      </c>
      <c r="F64" t="s">
        <v>134</v>
      </c>
      <c r="G64" t="s">
        <v>135</v>
      </c>
      <c r="H64" t="s">
        <v>76</v>
      </c>
    </row>
    <row r="65" spans="1:8" x14ac:dyDescent="0.2">
      <c r="A65" t="s">
        <v>111</v>
      </c>
      <c r="B65" t="s">
        <v>98</v>
      </c>
      <c r="C65" t="s">
        <v>93</v>
      </c>
      <c r="D65">
        <v>11</v>
      </c>
      <c r="E65" s="1">
        <f t="shared" si="3"/>
        <v>1.6681831968456172E-3</v>
      </c>
      <c r="F65" t="s">
        <v>134</v>
      </c>
      <c r="G65" t="s">
        <v>135</v>
      </c>
      <c r="H65" t="s">
        <v>76</v>
      </c>
    </row>
    <row r="66" spans="1:8" x14ac:dyDescent="0.2">
      <c r="A66" t="s">
        <v>111</v>
      </c>
      <c r="B66" t="s">
        <v>78</v>
      </c>
      <c r="C66" t="s">
        <v>131</v>
      </c>
      <c r="D66">
        <v>7</v>
      </c>
      <c r="E66" s="1">
        <f t="shared" si="3"/>
        <v>1.0615711252653928E-3</v>
      </c>
      <c r="F66" t="s">
        <v>134</v>
      </c>
      <c r="G66" t="s">
        <v>135</v>
      </c>
      <c r="H66" t="s">
        <v>76</v>
      </c>
    </row>
    <row r="67" spans="1:8" x14ac:dyDescent="0.2">
      <c r="A67" t="s">
        <v>111</v>
      </c>
      <c r="B67" t="s">
        <v>78</v>
      </c>
      <c r="C67" t="s">
        <v>132</v>
      </c>
      <c r="D67">
        <v>1</v>
      </c>
      <c r="E67" s="1">
        <f t="shared" si="3"/>
        <v>1.5165301789505612E-4</v>
      </c>
      <c r="F67" t="s">
        <v>134</v>
      </c>
      <c r="G67" t="s">
        <v>135</v>
      </c>
      <c r="H67" t="s">
        <v>76</v>
      </c>
    </row>
    <row r="68" spans="1:8" x14ac:dyDescent="0.2">
      <c r="A68" t="s">
        <v>111</v>
      </c>
      <c r="B68" t="s">
        <v>13</v>
      </c>
      <c r="C68" t="s">
        <v>133</v>
      </c>
      <c r="D68">
        <v>20</v>
      </c>
      <c r="E68" s="1">
        <f t="shared" si="3"/>
        <v>3.0330603579011221E-3</v>
      </c>
      <c r="F68" t="s">
        <v>134</v>
      </c>
      <c r="G68" t="s">
        <v>135</v>
      </c>
      <c r="H68" t="s">
        <v>76</v>
      </c>
    </row>
    <row r="69" spans="1:8" x14ac:dyDescent="0.2">
      <c r="A69" t="s">
        <v>136</v>
      </c>
      <c r="B69" t="s">
        <v>142</v>
      </c>
      <c r="C69" t="s">
        <v>137</v>
      </c>
      <c r="E69" s="1">
        <v>0.85</v>
      </c>
      <c r="F69" t="s">
        <v>139</v>
      </c>
      <c r="G69" t="s">
        <v>140</v>
      </c>
      <c r="H69" t="s">
        <v>141</v>
      </c>
    </row>
    <row r="70" spans="1:8" x14ac:dyDescent="0.2">
      <c r="A70" t="s">
        <v>136</v>
      </c>
      <c r="B70" t="s">
        <v>45</v>
      </c>
      <c r="C70" t="s">
        <v>138</v>
      </c>
      <c r="E70" s="1">
        <v>0.15</v>
      </c>
      <c r="F70" t="s">
        <v>139</v>
      </c>
      <c r="G70" t="s">
        <v>140</v>
      </c>
      <c r="H70" t="s">
        <v>141</v>
      </c>
    </row>
    <row r="71" spans="1:8" x14ac:dyDescent="0.2">
      <c r="A71" t="s">
        <v>144</v>
      </c>
      <c r="B71" t="s">
        <v>154</v>
      </c>
      <c r="C71" t="s">
        <v>145</v>
      </c>
      <c r="E71" s="1">
        <v>0.88</v>
      </c>
      <c r="F71" t="s">
        <v>151</v>
      </c>
      <c r="G71" t="s">
        <v>152</v>
      </c>
      <c r="H71" t="s">
        <v>153</v>
      </c>
    </row>
    <row r="72" spans="1:8" x14ac:dyDescent="0.2">
      <c r="A72" t="s">
        <v>144</v>
      </c>
      <c r="B72" t="s">
        <v>73</v>
      </c>
      <c r="C72" t="s">
        <v>146</v>
      </c>
      <c r="E72" s="1">
        <v>0.04</v>
      </c>
      <c r="F72" t="s">
        <v>151</v>
      </c>
      <c r="G72" t="s">
        <v>152</v>
      </c>
      <c r="H72" t="s">
        <v>153</v>
      </c>
    </row>
    <row r="73" spans="1:8" x14ac:dyDescent="0.2">
      <c r="A73" t="s">
        <v>144</v>
      </c>
      <c r="B73" t="s">
        <v>73</v>
      </c>
      <c r="C73" t="s">
        <v>147</v>
      </c>
      <c r="E73" s="1">
        <v>0.02</v>
      </c>
      <c r="F73" t="s">
        <v>151</v>
      </c>
      <c r="G73" t="s">
        <v>152</v>
      </c>
      <c r="H73" t="s">
        <v>153</v>
      </c>
    </row>
    <row r="74" spans="1:8" x14ac:dyDescent="0.2">
      <c r="A74" t="s">
        <v>144</v>
      </c>
      <c r="B74" t="s">
        <v>73</v>
      </c>
      <c r="C74" t="s">
        <v>148</v>
      </c>
      <c r="E74" s="1">
        <v>0.01</v>
      </c>
      <c r="F74" t="s">
        <v>151</v>
      </c>
      <c r="G74" t="s">
        <v>152</v>
      </c>
      <c r="H74" t="s">
        <v>153</v>
      </c>
    </row>
    <row r="75" spans="1:8" x14ac:dyDescent="0.2">
      <c r="A75" t="s">
        <v>144</v>
      </c>
      <c r="B75" t="s">
        <v>73</v>
      </c>
      <c r="C75" t="s">
        <v>149</v>
      </c>
      <c r="E75" s="1">
        <v>0.01</v>
      </c>
      <c r="F75" t="s">
        <v>151</v>
      </c>
      <c r="G75" t="s">
        <v>152</v>
      </c>
      <c r="H75" t="s">
        <v>153</v>
      </c>
    </row>
    <row r="76" spans="1:8" x14ac:dyDescent="0.2">
      <c r="A76" t="s">
        <v>144</v>
      </c>
      <c r="B76" t="s">
        <v>73</v>
      </c>
      <c r="C76" t="s">
        <v>150</v>
      </c>
      <c r="E76" s="1">
        <v>0.01</v>
      </c>
      <c r="F76" t="s">
        <v>151</v>
      </c>
      <c r="G76" t="s">
        <v>152</v>
      </c>
      <c r="H76" t="s">
        <v>153</v>
      </c>
    </row>
    <row r="77" spans="1:8" x14ac:dyDescent="0.2">
      <c r="A77" t="s">
        <v>144</v>
      </c>
      <c r="B77" t="s">
        <v>73</v>
      </c>
      <c r="C77" t="s">
        <v>73</v>
      </c>
      <c r="E77" s="1">
        <v>0.03</v>
      </c>
      <c r="F77" t="s">
        <v>151</v>
      </c>
      <c r="G77" t="s">
        <v>152</v>
      </c>
      <c r="H77" t="s">
        <v>153</v>
      </c>
    </row>
    <row r="78" spans="1:8" x14ac:dyDescent="0.2">
      <c r="A78" t="s">
        <v>155</v>
      </c>
      <c r="B78" t="s">
        <v>160</v>
      </c>
      <c r="C78" t="s">
        <v>156</v>
      </c>
      <c r="E78" s="1">
        <v>1</v>
      </c>
      <c r="F78" t="s">
        <v>157</v>
      </c>
      <c r="G78" t="s">
        <v>158</v>
      </c>
      <c r="H78" t="s">
        <v>159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Caroline Elizabeth Adkins</dc:creator>
  <cp:lastModifiedBy>Caroline Elizabeth Adkins</cp:lastModifiedBy>
  <dcterms:created xsi:type="dcterms:W3CDTF">2026-08-20T21:03:29Z</dcterms:created>
  <dcterms:modified xsi:type="dcterms:W3CDTF">2026-08-26T18:44:47Z</dcterms:modified>
</cp:coreProperties>
</file>