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defaultThemeVersion="202300"/>
  <mc:AlternateContent xmlns:mc="http://schemas.openxmlformats.org/markup-compatibility/2006">
    <mc:Choice Requires="x15">
      <x15ac:absPath xmlns:x15ac="http://schemas.microsoft.com/office/spreadsheetml/2010/11/ac" url="/Users/carolineadkins/Desktop/"/>
    </mc:Choice>
  </mc:AlternateContent>
  <xr:revisionPtr revIDLastSave="0" documentId="13_ncr:1_{14A2918C-E529-F44A-AFB8-D34FCA0E91E5}" xr6:coauthVersionLast="47" xr6:coauthVersionMax="47" xr10:uidLastSave="{00000000-0000-0000-0000-000000000000}"/>
  <bookViews>
    <workbookView xWindow="0" yWindow="660" windowWidth="28400" windowHeight="21680" activeTab="5" xr2:uid="{DD733A40-C352-434B-90DD-0C52971768EC}"/>
  </bookViews>
  <sheets>
    <sheet name="V1. Markets" sheetId="4" r:id="rId1"/>
    <sheet name="V2. Demand" sheetId="6" r:id="rId2"/>
    <sheet name="V3. Disaggregation Proxies" sheetId="9" r:id="rId3"/>
    <sheet name="X1. Markets" sheetId="5" r:id="rId4"/>
    <sheet name="X2. Demand" sheetId="7" r:id="rId5"/>
    <sheet name="X3. Disaggregation Proxies" sheetId="11"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I248" i="9" l="1" a="1"/>
  <c r="I248" i="9" s="1"/>
  <c r="I249" i="9" a="1"/>
  <c r="I249" i="9" s="1"/>
  <c r="I250" i="9" a="1"/>
  <c r="I250" i="9" s="1"/>
  <c r="I251" i="9" a="1"/>
  <c r="I251" i="9" s="1"/>
  <c r="I252" i="9" a="1"/>
  <c r="I252" i="9" s="1"/>
  <c r="I253" i="9" a="1"/>
  <c r="I253" i="9" s="1"/>
  <c r="I254" i="9" a="1"/>
  <c r="I254" i="9" s="1"/>
  <c r="I255" i="9" a="1"/>
  <c r="I255" i="9" s="1"/>
  <c r="I256" i="9" a="1"/>
  <c r="I256" i="9" s="1"/>
  <c r="I257" i="9" a="1"/>
  <c r="I257" i="9" s="1"/>
  <c r="I258" i="9" a="1"/>
  <c r="I258" i="9" s="1"/>
  <c r="I259" i="9" a="1"/>
  <c r="I259" i="9" s="1"/>
  <c r="I260" i="9" a="1"/>
  <c r="I260" i="9" s="1"/>
  <c r="I261" i="9" a="1"/>
  <c r="I261" i="9" s="1"/>
  <c r="I262" i="9" a="1"/>
  <c r="I262" i="9" s="1"/>
  <c r="I263" i="9" a="1"/>
  <c r="I263" i="9" s="1"/>
  <c r="I264" i="9" a="1"/>
  <c r="I264" i="9" s="1"/>
  <c r="I265" i="9" a="1"/>
  <c r="I265" i="9" s="1"/>
  <c r="I247" i="9" a="1"/>
  <c r="I247" i="9" s="1"/>
  <c r="C268" i="9"/>
  <c r="I266" i="9" s="1"/>
  <c r="F16" i="9"/>
  <c r="F26" i="9"/>
  <c r="C113" i="9"/>
  <c r="C239" i="9"/>
  <c r="I237" i="9"/>
  <c r="I219" i="9" a="1"/>
  <c r="I219" i="9" s="1"/>
  <c r="I220" i="9" a="1"/>
  <c r="I220" i="9" s="1"/>
  <c r="I221" i="9" a="1"/>
  <c r="I221" i="9" s="1"/>
  <c r="I222" i="9" a="1"/>
  <c r="I222" i="9" s="1"/>
  <c r="I223" i="9" a="1"/>
  <c r="I223" i="9" s="1"/>
  <c r="I224" i="9" a="1"/>
  <c r="I224" i="9" s="1"/>
  <c r="I225" i="9" a="1"/>
  <c r="I225" i="9" s="1"/>
  <c r="I226" i="9" a="1"/>
  <c r="I226" i="9" s="1"/>
  <c r="I227" i="9" a="1"/>
  <c r="I227" i="9" s="1"/>
  <c r="I228" i="9" a="1"/>
  <c r="I228" i="9" s="1"/>
  <c r="I229" i="9" a="1"/>
  <c r="I229" i="9" s="1"/>
  <c r="I230" i="9" a="1"/>
  <c r="I230" i="9" s="1"/>
  <c r="I231" i="9" a="1"/>
  <c r="I231" i="9" s="1"/>
  <c r="I232" i="9" a="1"/>
  <c r="I232" i="9" s="1"/>
  <c r="I233" i="9" a="1"/>
  <c r="I233" i="9" s="1"/>
  <c r="I234" i="9" a="1"/>
  <c r="I234" i="9" s="1"/>
  <c r="I235" i="9" a="1"/>
  <c r="I235" i="9"/>
  <c r="I236" i="9" a="1"/>
  <c r="I236" i="9" s="1"/>
  <c r="I218" i="9" a="1"/>
  <c r="I218" i="9" s="1"/>
  <c r="I140" i="9"/>
  <c r="F10" i="9" s="1"/>
  <c r="I122" i="9" a="1"/>
  <c r="I122" i="9" s="1"/>
  <c r="E10" i="9" s="1"/>
  <c r="I123" i="9" a="1"/>
  <c r="I123" i="9" s="1"/>
  <c r="I124" i="9" a="1"/>
  <c r="I124" i="9" s="1"/>
  <c r="I125" i="9" a="1"/>
  <c r="I125" i="9" s="1"/>
  <c r="I126" i="9" a="1"/>
  <c r="I126" i="9" s="1"/>
  <c r="I127" i="9" a="1"/>
  <c r="I127" i="9" s="1"/>
  <c r="I128" i="9" a="1"/>
  <c r="I128" i="9" s="1"/>
  <c r="I129" i="9" a="1"/>
  <c r="I129" i="9" s="1"/>
  <c r="I130" i="9" a="1"/>
  <c r="I130" i="9" s="1"/>
  <c r="I131" i="9" a="1"/>
  <c r="I131" i="9" s="1"/>
  <c r="E19" i="9" s="1"/>
  <c r="I132" i="9" a="1"/>
  <c r="I132" i="9" s="1"/>
  <c r="E20" i="9" s="1"/>
  <c r="I133" i="9" a="1"/>
  <c r="I133" i="9" s="1"/>
  <c r="E21" i="9" s="1"/>
  <c r="I134" i="9" a="1"/>
  <c r="I134" i="9" s="1"/>
  <c r="I135" i="9" a="1"/>
  <c r="I135" i="9" s="1"/>
  <c r="E23" i="9" s="1"/>
  <c r="I136" i="9" a="1"/>
  <c r="I136" i="9" s="1"/>
  <c r="I137" i="9" a="1"/>
  <c r="I137" i="9" s="1"/>
  <c r="I138" i="9" a="1"/>
  <c r="I138" i="9" s="1"/>
  <c r="I139" i="9" a="1"/>
  <c r="I139" i="9" s="1"/>
  <c r="I121" i="9" a="1"/>
  <c r="I121" i="9" s="1"/>
  <c r="G10" i="9" l="1"/>
  <c r="G20" i="9"/>
  <c r="G11" i="9"/>
  <c r="G21" i="9"/>
  <c r="G12" i="9"/>
  <c r="G22" i="9"/>
  <c r="G13" i="9"/>
  <c r="G23" i="9"/>
  <c r="G14" i="9"/>
  <c r="G24" i="9"/>
  <c r="G25" i="9"/>
  <c r="G15" i="9"/>
  <c r="G16" i="9"/>
  <c r="G26" i="9"/>
  <c r="G17" i="9"/>
  <c r="G27" i="9"/>
  <c r="G18" i="9"/>
  <c r="G9" i="9"/>
  <c r="G19" i="9"/>
  <c r="F19" i="9"/>
  <c r="E22" i="9"/>
  <c r="E12" i="9"/>
  <c r="F9" i="9"/>
  <c r="F18" i="9"/>
  <c r="E11" i="9"/>
  <c r="F27" i="9"/>
  <c r="F17" i="9"/>
  <c r="E9" i="9"/>
  <c r="E18" i="9"/>
  <c r="E13" i="9"/>
  <c r="F24" i="9"/>
  <c r="F14" i="9"/>
  <c r="E27" i="9"/>
  <c r="E17" i="9"/>
  <c r="F23" i="9"/>
  <c r="F13" i="9"/>
  <c r="F25" i="9"/>
  <c r="E16" i="9"/>
  <c r="F22" i="9"/>
  <c r="F12" i="9"/>
  <c r="E25" i="9"/>
  <c r="E15" i="9"/>
  <c r="F21" i="9"/>
  <c r="F11" i="9"/>
  <c r="F15" i="9"/>
  <c r="E26" i="9"/>
  <c r="E24" i="9"/>
  <c r="E14" i="9"/>
  <c r="F20" i="9"/>
  <c r="I93" i="9" a="1"/>
  <c r="I93" i="9" s="1"/>
  <c r="I94" i="9" a="1"/>
  <c r="I94" i="9" s="1"/>
  <c r="I95" i="9" a="1"/>
  <c r="I95" i="9" s="1"/>
  <c r="I96" i="9" a="1"/>
  <c r="I96" i="9" s="1"/>
  <c r="I97" i="9" a="1"/>
  <c r="I97" i="9" s="1"/>
  <c r="I98" i="9" a="1"/>
  <c r="I98" i="9" s="1"/>
  <c r="I99" i="9" a="1"/>
  <c r="I99" i="9" s="1"/>
  <c r="I100" i="9" a="1"/>
  <c r="I100" i="9" s="1"/>
  <c r="I101" i="9" a="1"/>
  <c r="I101" i="9" s="1"/>
  <c r="D18" i="9" s="1"/>
  <c r="I102" i="9" a="1"/>
  <c r="I102" i="9" s="1"/>
  <c r="I103" i="9" a="1"/>
  <c r="I103" i="9" s="1"/>
  <c r="D20" i="9" s="1"/>
  <c r="I104" i="9" a="1"/>
  <c r="I104" i="9" s="1"/>
  <c r="I105" i="9" a="1"/>
  <c r="I105" i="9" s="1"/>
  <c r="I106" i="9" a="1"/>
  <c r="I106" i="9" s="1"/>
  <c r="I107" i="9" a="1"/>
  <c r="I107" i="9" s="1"/>
  <c r="D24" i="9" s="1"/>
  <c r="I108" i="9" a="1"/>
  <c r="I108" i="9" s="1"/>
  <c r="I109" i="9" a="1"/>
  <c r="I109" i="9" s="1"/>
  <c r="I110" i="9" a="1"/>
  <c r="I110" i="9" s="1"/>
  <c r="I92" i="9" a="1"/>
  <c r="I92" i="9" s="1"/>
  <c r="D9" i="9" s="1"/>
  <c r="I111" i="9"/>
  <c r="I36" i="9" a="1"/>
  <c r="I36" i="9" s="1"/>
  <c r="J36" i="9" s="1" a="1"/>
  <c r="J36" i="9" s="1"/>
  <c r="I37" i="9" a="1"/>
  <c r="I37" i="9" s="1"/>
  <c r="J37" i="9" s="1" a="1"/>
  <c r="J37" i="9" s="1"/>
  <c r="I38" i="9" a="1"/>
  <c r="I38" i="9" s="1"/>
  <c r="J38" i="9" s="1" a="1"/>
  <c r="J38" i="9" s="1"/>
  <c r="I39" i="9" a="1"/>
  <c r="I39" i="9" s="1"/>
  <c r="J39" i="9" s="1" a="1"/>
  <c r="J39" i="9" s="1"/>
  <c r="I40" i="9" a="1"/>
  <c r="I40" i="9" s="1"/>
  <c r="J40" i="9" s="1" a="1"/>
  <c r="J40" i="9" s="1"/>
  <c r="I41" i="9" a="1"/>
  <c r="I41" i="9" s="1"/>
  <c r="J41" i="9" s="1" a="1"/>
  <c r="J41" i="9" s="1"/>
  <c r="I42" i="9" a="1"/>
  <c r="I42" i="9" s="1"/>
  <c r="J42" i="9" s="1" a="1"/>
  <c r="J42" i="9" s="1"/>
  <c r="I43" i="9" a="1"/>
  <c r="I43" i="9" s="1"/>
  <c r="J43" i="9" s="1" a="1"/>
  <c r="J43" i="9" s="1"/>
  <c r="I44" i="9" a="1"/>
  <c r="I44" i="9" s="1"/>
  <c r="J44" i="9" s="1" a="1"/>
  <c r="J44" i="9" s="1"/>
  <c r="I45" i="9" a="1"/>
  <c r="I45" i="9" s="1"/>
  <c r="J45" i="9" s="1" a="1"/>
  <c r="J45" i="9" s="1"/>
  <c r="I46" i="9" a="1"/>
  <c r="I46" i="9" s="1"/>
  <c r="J46" i="9" s="1" a="1"/>
  <c r="J46" i="9" s="1"/>
  <c r="I47" i="9" a="1"/>
  <c r="I47" i="9" s="1"/>
  <c r="J47" i="9" s="1" a="1"/>
  <c r="J47" i="9" s="1"/>
  <c r="I48" i="9" a="1"/>
  <c r="I48" i="9" s="1"/>
  <c r="J48" i="9" s="1" a="1"/>
  <c r="J48" i="9" s="1"/>
  <c r="I49" i="9" a="1"/>
  <c r="I49" i="9" s="1"/>
  <c r="J49" i="9" s="1" a="1"/>
  <c r="J49" i="9" s="1"/>
  <c r="I50" i="9" a="1"/>
  <c r="I50" i="9" s="1"/>
  <c r="J50" i="9" s="1" a="1"/>
  <c r="J50" i="9" s="1"/>
  <c r="I51" i="9" a="1"/>
  <c r="I51" i="9" s="1"/>
  <c r="J51" i="9" s="1" a="1"/>
  <c r="J51" i="9" s="1"/>
  <c r="I52" i="9" a="1"/>
  <c r="I52" i="9" s="1"/>
  <c r="J52" i="9" s="1" a="1"/>
  <c r="J52" i="9" s="1"/>
  <c r="I53" i="9" a="1"/>
  <c r="I53" i="9" s="1"/>
  <c r="J53" i="9" s="1" a="1"/>
  <c r="J53" i="9" s="1"/>
  <c r="I54" i="9" a="1"/>
  <c r="I54" i="9" s="1"/>
  <c r="J54" i="9" s="1" a="1"/>
  <c r="J54" i="9" s="1"/>
  <c r="J55" i="9"/>
  <c r="D16" i="9" l="1"/>
  <c r="D25" i="9"/>
  <c r="D15" i="9"/>
  <c r="D23" i="9"/>
  <c r="D19" i="9"/>
  <c r="D21" i="9"/>
  <c r="D14" i="9"/>
  <c r="D22" i="9"/>
  <c r="D13" i="9"/>
  <c r="D12" i="9"/>
  <c r="D11" i="9"/>
  <c r="D10" i="9"/>
  <c r="D27" i="9"/>
  <c r="D17" i="9"/>
  <c r="D26" i="9"/>
  <c r="C15" i="9"/>
  <c r="C14" i="9"/>
  <c r="C27" i="9"/>
  <c r="C17" i="9"/>
  <c r="C16" i="9"/>
  <c r="C19" i="9"/>
  <c r="C18" i="9"/>
  <c r="C9" i="9"/>
  <c r="C20" i="9"/>
  <c r="C10" i="9"/>
  <c r="C24" i="9"/>
  <c r="C23" i="9"/>
  <c r="C13" i="9"/>
  <c r="C26" i="9"/>
  <c r="C22" i="9"/>
  <c r="C12" i="9"/>
  <c r="C25" i="9"/>
  <c r="C21" i="9"/>
  <c r="C11" i="9"/>
  <c r="A2" i="7" a="1"/>
  <c r="A2" i="7" s="1"/>
  <c r="B8" i="5" a="1"/>
  <c r="B8" i="5" s="1"/>
  <c r="D8" i="5" s="1"/>
  <c r="B2" i="5" a="1"/>
  <c r="E46" i="4"/>
  <c r="E47" i="4"/>
  <c r="E48" i="4"/>
  <c r="E49" i="4"/>
  <c r="E50" i="4"/>
  <c r="E51" i="4"/>
  <c r="E45" i="4"/>
  <c r="E18" i="4"/>
  <c r="E19" i="4"/>
  <c r="E20" i="4"/>
  <c r="E21" i="4"/>
  <c r="E22" i="4"/>
  <c r="E23" i="4"/>
  <c r="E24" i="4"/>
  <c r="E25" i="4"/>
  <c r="E26" i="4"/>
  <c r="E27" i="4"/>
  <c r="E17" i="4"/>
  <c r="A1" i="11" l="1" a="1"/>
  <c r="A1" i="11" s="1"/>
  <c r="B11" i="7"/>
  <c r="B9" i="7"/>
  <c r="B7" i="7"/>
  <c r="B5" i="7"/>
  <c r="B10" i="7"/>
  <c r="B8" i="7"/>
  <c r="B6" i="7"/>
  <c r="B4" i="7"/>
  <c r="B2" i="7"/>
  <c r="B3" i="7"/>
  <c r="B12" i="7"/>
  <c r="C8" i="5"/>
  <c r="C11" i="5"/>
  <c r="C10" i="5"/>
  <c r="C9" i="5"/>
  <c r="D11" i="5"/>
  <c r="D10" i="5"/>
  <c r="D9" i="5"/>
  <c r="B2" i="5"/>
  <c r="D4" i="5"/>
  <c r="C7" i="5"/>
  <c r="D3" i="5"/>
  <c r="C6" i="5"/>
  <c r="D5" i="5"/>
  <c r="D6" i="5"/>
  <c r="D7" i="5"/>
  <c r="C5" i="5"/>
  <c r="C4" i="5"/>
  <c r="C3" i="5"/>
  <c r="C2" i="5" l="1"/>
  <c r="D2"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<sst xmlns="http://schemas.openxmlformats.org/spreadsheetml/2006/main" count="630" uniqueCount="286">
  <si>
    <t>Major End-Use Markets</t>
  </si>
  <si>
    <t>Cross-Tier Validation</t>
  </si>
  <si>
    <t>Assigned End-Use Category</t>
  </si>
  <si>
    <t>End-Use</t>
  </si>
  <si>
    <t>Demand (kt)</t>
  </si>
  <si>
    <t>% of Demand</t>
  </si>
  <si>
    <t>–</t>
  </si>
  <si>
    <t>Miscellaneous Chemical Manufacturing</t>
  </si>
  <si>
    <t>Pharmaceutical Manufacturing</t>
  </si>
  <si>
    <t>Other</t>
  </si>
  <si>
    <t>Others</t>
  </si>
  <si>
    <t>end_use_category</t>
  </si>
  <si>
    <t>Tier 1</t>
  </si>
  <si>
    <t>Tier 2</t>
  </si>
  <si>
    <t>Tier 3</t>
  </si>
  <si>
    <t>Independent Benchmark Validation</t>
  </si>
  <si>
    <t>Bromine</t>
  </si>
  <si>
    <t>Flame retardant</t>
  </si>
  <si>
    <t>Oil and Gas Drilling</t>
  </si>
  <si>
    <t>Drilling fluids</t>
  </si>
  <si>
    <t>Organic Chemical Manufacturing</t>
  </si>
  <si>
    <t>Organic synthesis</t>
  </si>
  <si>
    <t>Pharmaceuticals</t>
  </si>
  <si>
    <t>Industrial Water Treatment</t>
  </si>
  <si>
    <t>Water treatment</t>
  </si>
  <si>
    <t>(1) Source: Ullmann's Encyclopedia for Industrial Chemistry, Bromine</t>
  </si>
  <si>
    <t>Butyl Rubber</t>
  </si>
  <si>
    <t>Flame Retardants</t>
  </si>
  <si>
    <t>Hydrogen Bromide Flow Batteries</t>
  </si>
  <si>
    <t>Mercury Emission Control</t>
  </si>
  <si>
    <t>Oil &amp; Gas Drilling</t>
  </si>
  <si>
    <t>Other Applications</t>
  </si>
  <si>
    <t>Pesticides</t>
  </si>
  <si>
    <t>Pharmaceutical</t>
  </si>
  <si>
    <t>Plasma Etching</t>
  </si>
  <si>
    <t>PTA Synthesis</t>
  </si>
  <si>
    <t>Water Treatment &amp; Biocides</t>
  </si>
  <si>
    <t>Revenue (Million USD)</t>
  </si>
  <si>
    <t>(1) Source: Markets and Markets, US Bromine Market (2025-2030)</t>
  </si>
  <si>
    <r>
      <t>Assigned Major End-Use Categories (Tier 2)</t>
    </r>
    <r>
      <rPr>
        <b/>
        <vertAlign val="superscript"/>
        <sz val="12"/>
        <color theme="1"/>
        <rFont val="Aptos Narrow (Body)"/>
      </rPr>
      <t>1</t>
    </r>
  </si>
  <si>
    <r>
      <t>Independent Benchmark (Tier 3)</t>
    </r>
    <r>
      <rPr>
        <b/>
        <vertAlign val="superscript"/>
        <sz val="12"/>
        <color theme="1"/>
        <rFont val="Aptos Narrow (Body)"/>
      </rPr>
      <t>1</t>
    </r>
  </si>
  <si>
    <t>Hydrofluoric Acid</t>
  </si>
  <si>
    <r>
      <t>Assigned Major End-Use Categories (Tier 3)</t>
    </r>
    <r>
      <rPr>
        <b/>
        <vertAlign val="superscript"/>
        <sz val="12"/>
        <color theme="1"/>
        <rFont val="Aptos Narrow (Body)"/>
      </rPr>
      <t>1</t>
    </r>
  </si>
  <si>
    <t>Fluorocarbon</t>
  </si>
  <si>
    <t>Fluorinated derivatives</t>
  </si>
  <si>
    <t>Steel Pickling</t>
  </si>
  <si>
    <t>Metal pickling</t>
  </si>
  <si>
    <t>Semiconductor Manufacturing</t>
  </si>
  <si>
    <t>Glass etching</t>
  </si>
  <si>
    <t>Oil refining</t>
  </si>
  <si>
    <t>(1) Source: Grand View Research, Hydrofluoric Acid Market 2022-2030</t>
  </si>
  <si>
    <t>Glass Etching &amp; Cleaning</t>
  </si>
  <si>
    <t>Metal Pickling</t>
  </si>
  <si>
    <t>Oil Refining</t>
  </si>
  <si>
    <t>Production of Fluorinated Derivatives</t>
  </si>
  <si>
    <t>Production of Fluorocarbons</t>
  </si>
  <si>
    <t>Production of Uranium Fuel</t>
  </si>
  <si>
    <t>(1) Source: Markets and Markets, US Hydrofluoric Acid Market (2025-2030)</t>
  </si>
  <si>
    <t>byproduct</t>
  </si>
  <si>
    <t>Assigned</t>
  </si>
  <si>
    <t>Benchmark</t>
  </si>
  <si>
    <t>Br</t>
  </si>
  <si>
    <t>HF</t>
  </si>
  <si>
    <t>Domestic Byproduct Demand</t>
  </si>
  <si>
    <t>Byproduct</t>
  </si>
  <si>
    <t>Assigned Tier</t>
  </si>
  <si>
    <t>Source</t>
  </si>
  <si>
    <t>Notes</t>
  </si>
  <si>
    <t>Benchmark Demand (kt)</t>
  </si>
  <si>
    <t>B</t>
  </si>
  <si>
    <t>BaSO4</t>
  </si>
  <si>
    <t>Ca(OH)2</t>
  </si>
  <si>
    <t>HCl</t>
  </si>
  <si>
    <t>Li</t>
  </si>
  <si>
    <t>Mg(OH)2</t>
  </si>
  <si>
    <t>MgSO4</t>
  </si>
  <si>
    <t>NaOH</t>
  </si>
  <si>
    <t>P2O5</t>
  </si>
  <si>
    <t>Market Reports World, Borates Market Size, Share, Growth, and Industry Analysis, By Type (Borax, Boric Acid, Ulexite), By Application (Glass &amp; Ceramics, Agriculture, Detergents), Regional Insights and Forecast to 2033</t>
  </si>
  <si>
    <t xml:space="preserve">Market Reports World, Barite Products Market Size, Share, Growth, and Industry Analysis, By Type (Up to Grade 3.9, Grade 4.0, Grade 4.1, Grade 4.2, Grade 4.3, Grade above 4.3), By Application (Drilling Industry (Rig), Medical Industry, Rubber &amp; Plastics, </t>
  </si>
  <si>
    <t>represents US consumption of bromine when it was last reported in 2006</t>
  </si>
  <si>
    <t>USGS Mineral Commodity Summaries 2010, Bromine</t>
  </si>
  <si>
    <t>USGS Minerals Yearbook 2023, Lime</t>
  </si>
  <si>
    <t>represents total hydrated lime sold or used by producers (2023)</t>
  </si>
  <si>
    <t>represents US consumption of hydrochloric acid (2019)</t>
  </si>
  <si>
    <t>EPA Water Treatment Chemical Supply Chain Profile, Hydrochloric Acid</t>
  </si>
  <si>
    <t>represnts US consumption of liquid anhydrous hydrogen fluoride (2024)</t>
  </si>
  <si>
    <t>Market Growth Reports, Liquid Anhydrous Hydrogen Fluoride Market Report is Segmented by Types (99.99 AHF, 99.90 AHF, 99.70 AHF), Application (Chemical Industry, Mining &amp; Metallurgical, Etching, Pharmaceuticals, Others), and Geography (North America, Europ</t>
  </si>
  <si>
    <t>represents lithium content of reported US lithium carbonate equivalent consumption in 2024</t>
  </si>
  <si>
    <t>S&amp;P Global, America's Lithium Market Navigates Slow Progress Amid Opportunities</t>
  </si>
  <si>
    <t>represents apparent consumption of magnesium hydroxide (2020)</t>
  </si>
  <si>
    <t>USGS Minerals Yearbook 2020, Magnesium Compounds</t>
  </si>
  <si>
    <t>represents magnesium sulfate shipped by producers (2020)</t>
  </si>
  <si>
    <t>represents US consumption of sodium hydroxide (2019)</t>
  </si>
  <si>
    <t>EPA Water Treatment Chemical Supply Chain Profile, Sodium Hydroxide</t>
  </si>
  <si>
    <t>represnts P2O5 content of phosphate rock sold or used by producers (2023)</t>
  </si>
  <si>
    <t>USGS Minerals Yearbook 2023, Phosphate Rock</t>
  </si>
  <si>
    <t>benchmark_demand_kt</t>
  </si>
  <si>
    <t>represents barite consumption for oil and gas industry in North America (2025)</t>
  </si>
  <si>
    <t>represents borate consumption in North America (2024)</t>
  </si>
  <si>
    <t>Disaggregation Proxies</t>
  </si>
  <si>
    <t>Ground Truth: State-Level Byproduct-Market Demand</t>
  </si>
  <si>
    <t>State Name</t>
  </si>
  <si>
    <t>Use (kt)</t>
  </si>
  <si>
    <t>District</t>
  </si>
  <si>
    <t>Ground Truth</t>
  </si>
  <si>
    <t>Tier 4</t>
  </si>
  <si>
    <t>Alabama</t>
  </si>
  <si>
    <t>Arizona</t>
  </si>
  <si>
    <t>Arkansas</t>
  </si>
  <si>
    <t>California</t>
  </si>
  <si>
    <t>Colorado</t>
  </si>
  <si>
    <t>Connecticut</t>
  </si>
  <si>
    <t>Delaware</t>
  </si>
  <si>
    <t>Florida</t>
  </si>
  <si>
    <t>Georgia</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</si>
  <si>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</si>
  <si>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</si>
  <si>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</si>
  <si>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</si>
  <si>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</si>
  <si>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</si>
  <si>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</si>
  <si>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</si>
  <si>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</si>
  <si>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</si>
  <si>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</si>
  <si>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</si>
  <si>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</si>
  <si>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</si>
  <si>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</si>
  <si>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</si>
  <si>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</si>
  <si>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</si>
  <si>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</si>
  <si>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</si>
  <si>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</si>
  <si>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</si>
  <si>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</si>
  <si>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</si>
  <si>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</si>
  <si>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</si>
  <si>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</si>
  <si>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</si>
  <si>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</si>
  <si>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</si>
  <si>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</si>
  <si>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</si>
  <si>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</si>
  <si>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</si>
  <si>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</si>
  <si>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</si>
  <si>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</si>
  <si>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</si>
  <si>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</si>
  <si>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</si>
  <si>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W</t>
  </si>
  <si>
    <t>(1) Source: USGS Minerals Yearbook 2023, Stone (Crushed) (Table 11)</t>
  </si>
  <si>
    <r>
      <t>Limestone and Dolomite Sold or Used by Producers for Cement Manufacturing in 2023, by State</t>
    </r>
    <r>
      <rPr>
        <b/>
        <vertAlign val="superscript"/>
        <sz val="12"/>
        <color theme="1"/>
        <rFont val="Aptos Narrow (Body)"/>
      </rPr>
      <t>1</t>
    </r>
  </si>
  <si>
    <t>Alabama, Kentucky, Tennessee</t>
  </si>
  <si>
    <t>Arizona and New Mexico</t>
  </si>
  <si>
    <t>Arkansas and Oklahoma</t>
  </si>
  <si>
    <t>Colorado and Wyoming</t>
  </si>
  <si>
    <t>Georgia, Maryland, Virginia, West Virginia</t>
  </si>
  <si>
    <t>Indiana, Ohio</t>
  </si>
  <si>
    <t>Iowa, Nebraska, South Dakota</t>
  </si>
  <si>
    <t>Maine and New York</t>
  </si>
  <si>
    <t xml:space="preserve">Michigan </t>
  </si>
  <si>
    <t>Montana, Nevada, Utah</t>
  </si>
  <si>
    <t>Oregon and Washington</t>
  </si>
  <si>
    <t>Texas, northern</t>
  </si>
  <si>
    <t>Texas, southern</t>
  </si>
  <si>
    <t>Alaska and Hawaii</t>
  </si>
  <si>
    <t>Limestone and Dolomite Sold or Used by Producers for Cement Manufacturing in 2023, by District</t>
  </si>
  <si>
    <r>
      <t>Calcium carbonate (CaCO</t>
    </r>
    <r>
      <rPr>
        <vertAlign val="subscript"/>
        <sz val="12"/>
        <rFont val="Aptos Narrow (Body)"/>
      </rPr>
      <t>3</t>
    </r>
    <r>
      <rPr>
        <sz val="12"/>
        <rFont val="Aptos Narrow (Body)"/>
      </rPr>
      <t>) for Cement Manufacturing is the only byproduct-market pair for which abundant state level use and disaggregation proxy data exists, so we use it for cross-tier validation of disaggregation proxies.</t>
    </r>
  </si>
  <si>
    <t>(1) Districts based on those in USGS Minerals Yearbook 2023, Cement. Districts with sub-state resolution (e.g. Texas, northern) are aggregated to the state level to ensure consistency in tier resolution</t>
  </si>
  <si>
    <t>Tier 1: Direct Scale Proxy</t>
  </si>
  <si>
    <t>Production (kt)</t>
  </si>
  <si>
    <t>(1) Source: USGS Minerals Yearbook 2023, Cement</t>
  </si>
  <si>
    <r>
      <t>Portland and Blended Cement Production in 2023, by USGS District</t>
    </r>
    <r>
      <rPr>
        <b/>
        <vertAlign val="superscript"/>
        <sz val="12"/>
        <color theme="1"/>
        <rFont val="Aptos Narrow (Body)"/>
      </rPr>
      <t>1</t>
    </r>
  </si>
  <si>
    <t>Tier 2: Indirect Scale Proxy</t>
  </si>
  <si>
    <t>Facility Name</t>
  </si>
  <si>
    <r>
      <t>Emissions (t CO</t>
    </r>
    <r>
      <rPr>
        <b/>
        <vertAlign val="subscript"/>
        <sz val="12"/>
        <color theme="1"/>
        <rFont val="Aptos Narrow (Body)"/>
      </rPr>
      <t>2</t>
    </r>
    <r>
      <rPr>
        <b/>
        <sz val="12"/>
        <color theme="1"/>
        <rFont val="Aptos Narrow"/>
        <scheme val="minor"/>
      </rPr>
      <t>e)</t>
    </r>
  </si>
  <si>
    <t>ALAMO SAN ANTONIO CEMENT PLANT</t>
  </si>
  <si>
    <t>ARGOS CEMENT LLC</t>
  </si>
  <si>
    <t>ARGOS CEMENT LLC - HARLEYVILLE PLANT</t>
  </si>
  <si>
    <t>ARGOS CEMENT LLC. - ROBERTA PLANT</t>
  </si>
  <si>
    <t>ARGOS USA -MARTINSBURG</t>
  </si>
  <si>
    <t>ARMSTRONG CEMENT &amp; SUPPLY</t>
  </si>
  <si>
    <t>ASH GROVE CEMENT CO-CHANUTE PLANT</t>
  </si>
  <si>
    <t>ASH GROVE CEMENT COMPANY</t>
  </si>
  <si>
    <t>ASH GROVE CEMENT COMPANY-DURKEE</t>
  </si>
  <si>
    <t>ASH GROVE CEMENT COMPANY-LEAMINGTON</t>
  </si>
  <si>
    <t>ASH GROVE CEMENT COMPANY-LOUISVILLE</t>
  </si>
  <si>
    <t>ASH GROVE CEMENT COMPANY-MONTANA CITY</t>
  </si>
  <si>
    <t>ASH GROVE CEMENT COMPANY-SEATTLE</t>
  </si>
  <si>
    <t>ASH GROVE CEMENT-FOREMAN</t>
  </si>
  <si>
    <t>BROOKSVILLE SOUTH CEMENT PLANT</t>
  </si>
  <si>
    <t>CALPORTLAND COMPANY MOJAVE PLANT</t>
  </si>
  <si>
    <t>CALPORTLAND COMPANY ORO GRANDE PLANT</t>
  </si>
  <si>
    <t>CALPORTLAND COMPANY RILLITO PLANT</t>
  </si>
  <si>
    <t>CALPORTLAND REDDING CEMENT PLANT</t>
  </si>
  <si>
    <t>CAPITOL CEMENT PLANT</t>
  </si>
  <si>
    <t>CEMEX CONSTRUCTION MATERIALS ATLANTIC LLC</t>
  </si>
  <si>
    <t>CEMEX CONSTRUCTION MATERIALS PACIFIC LLC</t>
  </si>
  <si>
    <t>CEMEX CONSTRUCTION MATERIALS SOUTH LLC</t>
  </si>
  <si>
    <t>CEMEX CONSTRUCTION MATERIALS SOUTH, LLC</t>
  </si>
  <si>
    <t>CEMEX MIAMI</t>
  </si>
  <si>
    <t>CEMEX SOUTHEAST LLC</t>
  </si>
  <si>
    <t>CEMEX SOUTHEAST LLC, DEMOPOLIS PLANT</t>
  </si>
  <si>
    <t>CENTRAL PLAINS CEMENT COMPANY</t>
  </si>
  <si>
    <t>CENTRAL PLAINS CEMENT COMPANY LLC</t>
  </si>
  <si>
    <t>CONTINENTAL CEMENT COMPANY LLC</t>
  </si>
  <si>
    <t>DAVENPORT PLANT</t>
  </si>
  <si>
    <t>DRAGON CEMENT</t>
  </si>
  <si>
    <t>DRAKE CEMENT</t>
  </si>
  <si>
    <t>FAIRBORN CEMENT COMPANY LLC</t>
  </si>
  <si>
    <t>GCC DACOTAH</t>
  </si>
  <si>
    <t>GCC PERMIAN, LLC</t>
  </si>
  <si>
    <t>GCC RIO GRANDE INC</t>
  </si>
  <si>
    <t>GCC RIO GRANDE, INC. TIJERAS PLANT</t>
  </si>
  <si>
    <t>GIANT CEMENT COMPANY</t>
  </si>
  <si>
    <t>HEIDELBERG MATERIALS</t>
  </si>
  <si>
    <t>HEIDELBERG MATERIALS/EVANSVILLE CEMENT PLT &amp; QUARRY</t>
  </si>
  <si>
    <t>HEIDELBERG MATERIALS US CEMENT LLC</t>
  </si>
  <si>
    <t>HEIDELBERG MATERIALS US CEMENT LLC/ NAZARETH</t>
  </si>
  <si>
    <t>HERCULES CEMENT STOCKERTOWN PLT QUARRY</t>
  </si>
  <si>
    <t>HM CEMENT SOUTHEAST LLC</t>
  </si>
  <si>
    <t>HOLCIM INCORPORATED</t>
  </si>
  <si>
    <t>HOLCIM (US) INC</t>
  </si>
  <si>
    <t>HOLCIM (US) INC.</t>
  </si>
  <si>
    <t>HOLCIM (US), INC.</t>
  </si>
  <si>
    <t>HOLCIM (US) INC. D/B/A LAFARGE ALPENA</t>
  </si>
  <si>
    <t>HOLCIM (US) INC. DEVIL\S SLIDE PLANT</t>
  </si>
  <si>
    <t>HOLCIM (US) INC JOPPA PLANT</t>
  </si>
  <si>
    <t>HOLCIM (US) INC. - PORTLAND PLANT</t>
  </si>
  <si>
    <t>HOLCIM (US) INC STE GENEVIEVE PLANT</t>
  </si>
  <si>
    <t>HOLCIM US - PAULDING PLANT (INCLUDING SYSTECH ENV CORP)</t>
  </si>
  <si>
    <t>ILLINOIS CEMENT CO</t>
  </si>
  <si>
    <t>KEYSTONE CEMENT COMPANY</t>
  </si>
  <si>
    <t>KOSMOS CEMENT CO</t>
  </si>
  <si>
    <t>LAFARGE NA WHITEHALL PLANT</t>
  </si>
  <si>
    <t>LAFARGE RAVENA CEMENT PLANT</t>
  </si>
  <si>
    <t>LEHIGH CEMENT CO LLC</t>
  </si>
  <si>
    <t>LEHIGH CEMENT CO LLC / WACO PLANT</t>
  </si>
  <si>
    <t>LEHIGH WHITE CEMENT CO LLC</t>
  </si>
  <si>
    <t>LONE STAR IND INC DBA BUZZI UNICEM USA PRYOR CEMENT PLANT</t>
  </si>
  <si>
    <t>LONE STAR INDUSTRIES</t>
  </si>
  <si>
    <t>LONE STAR INDUSTRIES INC</t>
  </si>
  <si>
    <t>LONE STAR INDUSTRIES, INC. /DBA/ BUZZI UNICEM USA</t>
  </si>
  <si>
    <t>MARTIN MARIETTA NORTH TEXAS CEMENT, LLC</t>
  </si>
  <si>
    <t>MARTIN MARIETTA SOUTH TEXAS CEMENT, LLC</t>
  </si>
  <si>
    <t>MITSUBISHI CEMENT CORP CUSHENBURY CEMENT PLANT</t>
  </si>
  <si>
    <t>MONARCH CEMENT COMPANY (THE)</t>
  </si>
  <si>
    <t>MOUNTAIN CEMENT CO</t>
  </si>
  <si>
    <t>NATIONAL CEMENT COMPANY INC.</t>
  </si>
  <si>
    <t>NATIONAL CEMENT CO OF CALIFORNIA INC</t>
  </si>
  <si>
    <t>NEVADA CEMENT COMPANY</t>
  </si>
  <si>
    <t>PHOENIX CEMENT COMPANY\S CLARKDALE FACILITY</t>
  </si>
  <si>
    <t>RIVER CEMENT COMPANY DBA BUZZI UNICEM USA</t>
  </si>
  <si>
    <t>ROANOKE CEMENT CO - CLOVERDALE</t>
  </si>
  <si>
    <t>SIGNAL MOUNTAIN CEMENT CO</t>
  </si>
  <si>
    <t>ST MARYS CEMENT INC</t>
  </si>
  <si>
    <t>SUWANNEE AMERICAN CEMENT</t>
  </si>
  <si>
    <t>SUWANNEE AMERICAN CEMENT COMPANY, LLC</t>
  </si>
  <si>
    <t>TARMAC PENNSUCO COMPLEX</t>
  </si>
  <si>
    <t>TEHACHAPI CEMENT PLANT</t>
  </si>
  <si>
    <t>TEXAS LEHIGH CEMENT COMPANY LP</t>
  </si>
  <si>
    <t>TRIDENT</t>
  </si>
  <si>
    <t>State</t>
  </si>
  <si>
    <t>(1) Source: US EPA Greenhouse Gas Reporting Program</t>
  </si>
  <si>
    <r>
      <t>Carbon Dioxide Emissions from Cement Production Facilities in 2023, by Facility</t>
    </r>
    <r>
      <rPr>
        <b/>
        <vertAlign val="superscript"/>
        <sz val="12"/>
        <color theme="1"/>
        <rFont val="Aptos Narrow (Body)"/>
      </rPr>
      <t>1</t>
    </r>
  </si>
  <si>
    <t>(1) TRUE if all states within district report quantity (i.e. none withhold)</t>
  </si>
  <si>
    <r>
      <t>Complete</t>
    </r>
    <r>
      <rPr>
        <b/>
        <vertAlign val="superscript"/>
        <sz val="12"/>
        <color theme="1"/>
        <rFont val="Aptos Narrow (Body)"/>
      </rPr>
      <t>1</t>
    </r>
  </si>
  <si>
    <t>Portland and Blended Cement Production in 2023, by District</t>
  </si>
  <si>
    <t>Carbon Dioxide Emissions from Cement Production Facilities in 2023, by District</t>
  </si>
  <si>
    <r>
      <t>Percent of Byproduct-Market Demand Attributable to Each District, by Tier</t>
    </r>
    <r>
      <rPr>
        <b/>
        <vertAlign val="superscript"/>
        <sz val="12"/>
        <color theme="1"/>
        <rFont val="Aptos Narrow (Body)"/>
      </rPr>
      <t>1,2</t>
    </r>
  </si>
  <si>
    <t>(2) See sources of data for each tier below</t>
  </si>
  <si>
    <t>Tier 3: Direct Capacity Proxy</t>
  </si>
  <si>
    <r>
      <t>Portland and Blended Cement Grinding Capacity in 2023, by USGS District</t>
    </r>
    <r>
      <rPr>
        <b/>
        <vertAlign val="superscript"/>
        <sz val="12"/>
        <color theme="1"/>
        <rFont val="Aptos Narrow (Body)"/>
      </rPr>
      <t>1</t>
    </r>
  </si>
  <si>
    <t>Portland and Blended Cement Grinding Capacity in 2023, by District</t>
  </si>
  <si>
    <t>Tier 4: Facility Count Proxy</t>
  </si>
  <si>
    <r>
      <t>Portland and Blended Cement Plants in 2023, by USGS District</t>
    </r>
    <r>
      <rPr>
        <b/>
        <vertAlign val="superscript"/>
        <sz val="12"/>
        <color theme="1"/>
        <rFont val="Aptos Narrow (Body)"/>
      </rPr>
      <t>1</t>
    </r>
  </si>
  <si>
    <t>Portland and Blended Cement Grinding Plants in 2023, by District</t>
  </si>
  <si>
    <t>Number of Plants</t>
  </si>
  <si>
    <t>Capacity (kt)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</si>
</sst>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theme="1"/>
      <name val="Aptos Narrow"/>
      <family val="2"/>
      <scheme val="minor"/>
    </font>
    <font>
      <sz val="12"/>
      <color theme="1"/>
      <name val="Aptos Narrow"/>
      <family val="2"/>
      <scheme val="minor"/>
    </font>
    <font>
      <b/>
      <sz val="20"/>
      <color theme="1"/>
      <name val="Aptos Narrow"/>
      <scheme val="minor"/>
    </font>
    <font>
      <b/>
      <sz val="18"/>
      <color theme="1"/>
      <name val="Aptos Narrow"/>
      <scheme val="minor"/>
    </font>
    <font>
      <sz val="14"/>
      <color theme="2" tint="-0.499984740745262"/>
      <name val="Aptos Narrow"/>
      <scheme val="minor"/>
    </font>
    <font>
      <b/>
      <sz val="12"/>
      <color theme="1"/>
      <name val="Aptos Narrow"/>
      <scheme val="minor"/>
    </font>
    <font>
      <u/>
      <sz val="12"/>
      <color theme="10"/>
      <name val="Aptos Narrow"/>
      <family val="2"/>
      <scheme val="minor"/>
    </font>
    <font>
      <sz val="12"/>
      <name val="Aptos Narrow"/>
      <scheme val="minor"/>
    </font>
    <font>
      <vertAlign val="subscript"/>
      <sz val="12"/>
      <name val="Aptos Narrow (Body)"/>
    </font>
    <font>
      <sz val="12"/>
      <name val="Aptos Narrow (Body)"/>
    </font>
    <font>
      <sz val="12"/>
      <color theme="1"/>
      <name val="Aptos Narrow"/>
      <scheme val="minor"/>
    </font>
    <font>
      <b/>
      <vertAlign val="superscript"/>
      <sz val="12"/>
      <color theme="1"/>
      <name val="Aptos Narrow (Body)"/>
    </font>
    <font>
      <b/>
      <vertAlign val="subscript"/>
      <sz val="12"/>
      <color theme="1"/>
      <name val="Aptos Narrow (Body)"/>
    </font>
  </fonts>
  <fills count="6">
    <fill>
      <patternFill patternType="none"/>
    </fill>
    <fill>
      <patternFill patternType="gray125"/>
    </fill>
    <fill>
      <patternFill patternType="solid">
        <fgColor theme="5"/>
        <bgColor indexed="64"/>
      </patternFill>
    </fill>
    <fill>
      <patternFill patternType="solid">
        <fgColor theme="5" tint="0.79998168889431442"/>
        <bgColor indexed="64"/>
      </patternFill>
    </fill>
    <fill>
      <patternFill patternType="solid">
        <fgColor rgb="FFFF0000"/>
        <bgColor indexed="64"/>
      </patternFill>
    </fill>
    <fill>
      <patternFill patternType="solid">
        <fgColor rgb="FFF9BAB1"/>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9" fontId="1" fillId="0" borderId="0" applyFont="0" applyFill="0" applyBorder="0" applyAlignment="0" applyProtection="0"/>
    <xf numFmtId="0" fontId="6" fillId="0" borderId="0" applyNumberFormat="0" applyFill="0" applyBorder="0" applyAlignment="0" applyProtection="0"/>
  </cellStyleXfs>
  <cellXfs count="49">
    <xf numFmtId="0" fontId="0" fillId="0" borderId="0" xfId="0"/>
    <xf numFmtId="0" fontId="0" fillId="2" borderId="0" xfId="0" applyFill="1"/>
    <xf numFmtId="0" fontId="2" fillId="0" borderId="0" xfId="0" applyFont="1"/>
    <xf numFmtId="0" fontId="3" fillId="0" borderId="0" xfId="0" applyFont="1"/>
    <xf numFmtId="0" fontId="4" fillId="0" borderId="0" xfId="0" applyFont="1"/>
    <xf numFmtId="0" fontId="0" fillId="0" borderId="4" xfId="0" applyBorder="1"/>
    <xf numFmtId="0" fontId="0" fillId="0" borderId="0" xfId="0" applyAlignment="1">
      <alignment wrapText="1"/>
    </xf>
    <xf numFmtId="9" fontId="0" fillId="0" borderId="5" xfId="1" applyFont="1" applyBorder="1"/>
    <xf numFmtId="0" fontId="0" fillId="0" borderId="6" xfId="0" applyBorder="1"/>
    <xf numFmtId="0" fontId="0" fillId="0" borderId="7" xfId="0" applyBorder="1"/>
    <xf numFmtId="9" fontId="0" fillId="0" borderId="8" xfId="1" applyFont="1" applyBorder="1"/>
    <xf numFmtId="0" fontId="6" fillId="0" borderId="0" xfId="2"/>
    <xf numFmtId="0" fontId="6" fillId="0" borderId="0" xfId="2" applyFill="1" applyBorder="1"/>
    <xf numFmtId="0" fontId="6" fillId="0" borderId="4" xfId="2" applyFill="1" applyBorder="1"/>
    <xf numFmtId="0" fontId="5" fillId="3" borderId="1" xfId="0" applyFont="1" applyFill="1" applyBorder="1"/>
    <xf numFmtId="0" fontId="5" fillId="3" borderId="2" xfId="0" applyFont="1" applyFill="1" applyBorder="1"/>
    <xf numFmtId="0" fontId="5" fillId="3" borderId="3" xfId="0" applyFont="1" applyFill="1" applyBorder="1"/>
    <xf numFmtId="0" fontId="0" fillId="0" borderId="0" xfId="0" applyAlignment="1">
      <alignment horizontal="left"/>
    </xf>
    <xf numFmtId="0" fontId="0" fillId="4" borderId="0" xfId="0" applyFill="1"/>
    <xf numFmtId="0" fontId="10" fillId="0" borderId="4" xfId="0" applyFont="1" applyBorder="1"/>
    <xf numFmtId="0" fontId="10" fillId="0" borderId="0" xfId="0" applyFont="1"/>
    <xf numFmtId="9" fontId="10" fillId="0" borderId="5" xfId="0" applyNumberFormat="1" applyFont="1" applyBorder="1"/>
    <xf numFmtId="0" fontId="10" fillId="0" borderId="4" xfId="0" applyFont="1" applyBorder="1" applyAlignment="1">
      <alignment wrapText="1"/>
    </xf>
    <xf numFmtId="0" fontId="10" fillId="0" borderId="0" xfId="0" applyFont="1" applyAlignment="1">
      <alignment wrapText="1"/>
    </xf>
    <xf numFmtId="0" fontId="10" fillId="0" borderId="6" xfId="0" applyFont="1" applyBorder="1" applyAlignment="1">
      <alignment wrapText="1"/>
    </xf>
    <xf numFmtId="0" fontId="10" fillId="0" borderId="7" xfId="0" applyFont="1" applyBorder="1" applyAlignment="1">
      <alignment wrapText="1"/>
    </xf>
    <xf numFmtId="9" fontId="10" fillId="0" borderId="8" xfId="0" applyNumberFormat="1" applyFont="1" applyBorder="1"/>
    <xf numFmtId="0" fontId="5" fillId="0" borderId="0" xfId="0" applyFont="1"/>
    <xf numFmtId="0" fontId="5" fillId="5" borderId="1" xfId="0" applyFont="1" applyFill="1" applyBorder="1"/>
    <xf numFmtId="0" fontId="5" fillId="5" borderId="2" xfId="0" applyFont="1" applyFill="1" applyBorder="1"/>
    <xf numFmtId="0" fontId="5" fillId="5" borderId="3" xfId="0" applyFont="1" applyFill="1" applyBorder="1"/>
    <xf numFmtId="0" fontId="6" fillId="0" borderId="0" xfId="2" applyFill="1"/>
    <xf numFmtId="0" fontId="5" fillId="5" borderId="0" xfId="0" applyFont="1" applyFill="1"/>
    <xf numFmtId="0" fontId="0" fillId="4" borderId="0" xfId="0" applyFill="1" applyAlignment="1">
      <alignment wrapText="1"/>
    </xf>
    <xf numFmtId="0" fontId="5" fillId="5" borderId="0" xfId="0" applyFont="1" applyFill="1" applyAlignment="1">
      <alignment wrapText="1"/>
    </xf>
    <xf numFmtId="0" fontId="6" fillId="0" borderId="0" xfId="2" applyAlignment="1">
      <alignment wrapText="1"/>
    </xf>
    <xf numFmtId="0" fontId="0" fillId="0" borderId="5" xfId="0" applyBorder="1"/>
    <xf numFmtId="0" fontId="0" fillId="0" borderId="8" xfId="0" applyBorder="1"/>
    <xf numFmtId="0" fontId="0" fillId="0" borderId="7" xfId="0" applyBorder="1" applyAlignment="1">
      <alignment horizontal="center" vertical="center"/>
    </xf>
    <xf numFmtId="0" fontId="10" fillId="0" borderId="5" xfId="0" applyFont="1" applyBorder="1"/>
    <xf numFmtId="0" fontId="10" fillId="0" borderId="6" xfId="0" applyFont="1" applyBorder="1"/>
    <xf numFmtId="0" fontId="10" fillId="0" borderId="8" xfId="0" applyFont="1" applyBorder="1"/>
    <xf numFmtId="0" fontId="0" fillId="0" borderId="1" xfId="0" applyBorder="1"/>
    <xf numFmtId="0" fontId="0" fillId="0" borderId="3" xfId="0" applyBorder="1"/>
    <xf numFmtId="0" fontId="5" fillId="3" borderId="1" xfId="0" applyFont="1" applyFill="1" applyBorder="1" applyAlignment="1">
      <alignment horizontal="left"/>
    </xf>
    <xf numFmtId="9" fontId="0" fillId="0" borderId="0" xfId="1" applyFont="1" applyBorder="1"/>
    <xf numFmtId="9" fontId="0" fillId="0" borderId="7" xfId="1" applyFont="1" applyBorder="1"/>
    <xf numFmtId="3" fontId="0" fillId="0" borderId="8" xfId="0" applyNumberFormat="1" applyBorder="1"/>
    <xf numFmtId="0" fontId="7" fillId="0" borderId="0" xfId="0" applyFont="1" applyAlignment="1">
      <alignment horizontal="left" vertical="top" wrapText="1"/>
    </xf>
  </cellXfs>
  <cellStyles count="3">
    <cellStyle name="Hyperlink" xfId="2" builtinId="8"/>
    <cellStyle name="Normal" xfId="0" builtinId="0"/>
    <cellStyle name="Percent" xfId="1" builtinId="5"/>
  </cellStyles>
  <dxfs count="0"/>
  <tableStyles count="0" defaultTableStyle="TableStyleMedium2" defaultPivotStyle="PivotStyleLight16"/>
  <colors>
    <mruColors>
      <color rgb="FFF9BAB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randviewresearch.com/industry-analysis/hydrofluoric-acid-market-report" TargetMode="External"/><Relationship Id="rId2" Type="http://schemas.openxmlformats.org/officeDocument/2006/relationships/hyperlink" Target="https://www.marketsandmarkets.com/Market-Reports/geography/bromine-market/US" TargetMode="External"/><Relationship Id="rId1" Type="http://schemas.openxmlformats.org/officeDocument/2006/relationships/hyperlink" Target="https://onlinelibrary.wiley.com/doi/10.1002/14356007.a04_391.pub2" TargetMode="External"/><Relationship Id="rId4" Type="http://schemas.openxmlformats.org/officeDocument/2006/relationships/hyperlink" Target="https://www.marketsandmarkets.com/Market-Reports/geography/hydrofluoric-acid-market/US"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pubs.usgs.gov/myb/vol1/2020/myb1-2020-magnesium-comp.pdf" TargetMode="External"/><Relationship Id="rId3" Type="http://schemas.openxmlformats.org/officeDocument/2006/relationships/hyperlink" Target="https://d9-wret.s3.us-west-2.amazonaws.com/assets/palladium/production/mineral-pubs/bromine/mcs-2010-bromi.pdf" TargetMode="External"/><Relationship Id="rId7" Type="http://schemas.openxmlformats.org/officeDocument/2006/relationships/hyperlink" Target="https://www.spglobal.com/energy/en/news-research/latest-news/metals/102725-americas-lithium-market-navigates-slow-progress-amid-opportunities" TargetMode="External"/><Relationship Id="rId2" Type="http://schemas.openxmlformats.org/officeDocument/2006/relationships/hyperlink" Target="https://www.marketreportsworld.com/market-reports/barite-products-market-14717375" TargetMode="External"/><Relationship Id="rId1" Type="http://schemas.openxmlformats.org/officeDocument/2006/relationships/hyperlink" Target="https://www.marketreportsworld.com/market-reports/borates-market-14721339" TargetMode="External"/><Relationship Id="rId6" Type="http://schemas.openxmlformats.org/officeDocument/2006/relationships/hyperlink" Target="https://www.marketgrowthreports.com/market-reports/liquid-anhydrous-hydrogen-fluoride-market-108451" TargetMode="External"/><Relationship Id="rId11" Type="http://schemas.openxmlformats.org/officeDocument/2006/relationships/hyperlink" Target="https://d9-wret.s3.us-west-2.amazonaws.com/assets/palladium/production/s3fs-public/media/files/myb1-2023-phosp-ert.xlsx" TargetMode="External"/><Relationship Id="rId5" Type="http://schemas.openxmlformats.org/officeDocument/2006/relationships/hyperlink" Target="https://www.epa.gov/system/files/documents/2023-03/Hydrochloric%20Acid%20Supply%20Chain%20Profile.pdf" TargetMode="External"/><Relationship Id="rId10" Type="http://schemas.openxmlformats.org/officeDocument/2006/relationships/hyperlink" Target="https://www.epa.gov/system/files/documents/2023-03/Sodium%20Hydroxide%20Supply%20Chain%20Profile.pdf" TargetMode="External"/><Relationship Id="rId4" Type="http://schemas.openxmlformats.org/officeDocument/2006/relationships/hyperlink" Target="https://d9-wret.s3.us-west-2.amazonaws.com/assets/palladium/production/s3fs-public/media/files/myb1-2023-lime-ert.xlsx" TargetMode="External"/><Relationship Id="rId9" Type="http://schemas.openxmlformats.org/officeDocument/2006/relationships/hyperlink" Target="https://pubs.usgs.gov/myb/vol1/2020/myb1-2020-magnesium-comp.pdf"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enviro.epa.gov/envirofacts/ghg/search" TargetMode="External"/><Relationship Id="rId2" Type="http://schemas.openxmlformats.org/officeDocument/2006/relationships/hyperlink" Target="https://d9-wret.s3.us-west-2.amazonaws.com/assets/palladium/production/s3fs-public/media/files/myb1-2023-cemen-ERT.xlsx" TargetMode="External"/><Relationship Id="rId1" Type="http://schemas.openxmlformats.org/officeDocument/2006/relationships/hyperlink" Target="https://d9-wret.s3.us-west-2.amazonaws.com/assets/palladium/production/s3fs-public/media/files/myb1-2023-stonec-ert.xlsx" TargetMode="External"/><Relationship Id="rId5" Type="http://schemas.openxmlformats.org/officeDocument/2006/relationships/hyperlink" Target="https://d9-wret.s3.us-west-2.amazonaws.com/assets/palladium/production/s3fs-public/media/files/myb1-2023-cemen-ERT.xlsx" TargetMode="External"/><Relationship Id="rId4" Type="http://schemas.openxmlformats.org/officeDocument/2006/relationships/hyperlink" Target="https://d9-wret.s3.us-west-2.amazonaws.com/assets/palladium/production/s3fs-public/media/files/myb1-2023-cemen-ERT.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59886-CDD6-B745-BD2E-15FB5F2CF4D1}">
  <dimension ref="A1:Z52"/>
  <sheetViews>
    <sheetView topLeftCell="A8" workbookViewId="0">
      <selection activeCell="D59" sqref="D59"/>
    </sheetView>
  </sheetViews>
  <sheetFormatPr baseColWidth="10" defaultRowHeight="16"/>
  <cols>
    <col min="1" max="1" width="5.1640625" customWidth="1"/>
    <col min="2" max="2" width="44" customWidth="1"/>
    <col min="3" max="3" width="33" customWidth="1"/>
    <col min="4" max="5" width="18.5" customWidth="1"/>
  </cols>
  <sheetData>
    <row r="1" spans="1:26">
      <c r="A1" s="18"/>
      <c r="B1" s="18"/>
      <c r="C1" s="18"/>
      <c r="D1" s="18"/>
      <c r="E1" s="18"/>
      <c r="F1" s="18"/>
      <c r="G1" s="18"/>
      <c r="H1" s="18"/>
      <c r="I1" s="18"/>
      <c r="J1" s="18"/>
      <c r="K1" s="18"/>
      <c r="L1" s="18"/>
      <c r="M1" s="18"/>
      <c r="N1" s="18"/>
      <c r="O1" s="18"/>
      <c r="P1" s="18"/>
      <c r="Q1" s="18"/>
      <c r="R1" s="18"/>
      <c r="S1" s="18"/>
      <c r="T1" s="18"/>
      <c r="U1" s="18"/>
      <c r="V1" s="18"/>
      <c r="W1" s="18"/>
      <c r="X1" s="18"/>
      <c r="Y1" s="18"/>
      <c r="Z1" s="18"/>
    </row>
    <row r="2" spans="1:26" ht="27">
      <c r="B2" s="2" t="s">
        <v>0</v>
      </c>
    </row>
    <row r="3" spans="1:26" ht="19">
      <c r="B3" s="4" t="s">
        <v>15</v>
      </c>
    </row>
    <row r="4" spans="1:26" ht="19">
      <c r="B4" s="4"/>
    </row>
    <row r="5" spans="1:26" ht="24">
      <c r="B5" s="3" t="s">
        <v>16</v>
      </c>
    </row>
    <row r="6" spans="1:26" ht="19">
      <c r="B6" s="27" t="s">
        <v>39</v>
      </c>
    </row>
    <row r="7" spans="1:26">
      <c r="B7" s="28" t="s">
        <v>2</v>
      </c>
      <c r="C7" s="29" t="s">
        <v>3</v>
      </c>
      <c r="D7" s="29" t="s">
        <v>4</v>
      </c>
      <c r="E7" s="30" t="s">
        <v>5</v>
      </c>
    </row>
    <row r="8" spans="1:26">
      <c r="B8" s="19" t="s">
        <v>7</v>
      </c>
      <c r="C8" s="20" t="s">
        <v>17</v>
      </c>
      <c r="D8">
        <v>483000</v>
      </c>
      <c r="E8" s="21">
        <v>0.58945569929216501</v>
      </c>
    </row>
    <row r="9" spans="1:26">
      <c r="B9" s="19" t="s">
        <v>18</v>
      </c>
      <c r="C9" s="20" t="s">
        <v>19</v>
      </c>
      <c r="D9">
        <v>103500</v>
      </c>
      <c r="E9" s="21">
        <v>0.12631193556260678</v>
      </c>
    </row>
    <row r="10" spans="1:26">
      <c r="B10" s="19" t="s">
        <v>20</v>
      </c>
      <c r="C10" s="20" t="s">
        <v>21</v>
      </c>
      <c r="D10">
        <v>86300</v>
      </c>
      <c r="E10" s="21">
        <v>0.10532096656089822</v>
      </c>
    </row>
    <row r="11" spans="1:26" ht="17">
      <c r="B11" s="22" t="s">
        <v>8</v>
      </c>
      <c r="C11" s="23" t="s">
        <v>22</v>
      </c>
      <c r="D11">
        <v>77600</v>
      </c>
      <c r="E11" s="21">
        <v>9.4703441542592137E-2</v>
      </c>
    </row>
    <row r="12" spans="1:26" ht="17">
      <c r="B12" s="24" t="s">
        <v>23</v>
      </c>
      <c r="C12" s="25" t="s">
        <v>24</v>
      </c>
      <c r="D12" s="9">
        <v>69000</v>
      </c>
      <c r="E12" s="26">
        <v>8.4207957041737863E-2</v>
      </c>
    </row>
    <row r="13" spans="1:26">
      <c r="B13" s="11" t="s">
        <v>25</v>
      </c>
    </row>
    <row r="15" spans="1:26" ht="19">
      <c r="B15" s="27" t="s">
        <v>40</v>
      </c>
    </row>
    <row r="16" spans="1:26">
      <c r="B16" s="28" t="s">
        <v>2</v>
      </c>
      <c r="C16" s="29" t="s">
        <v>3</v>
      </c>
      <c r="D16" s="29" t="s">
        <v>37</v>
      </c>
      <c r="E16" s="30" t="s">
        <v>5</v>
      </c>
    </row>
    <row r="17" spans="1:26">
      <c r="B17" s="5" t="s">
        <v>9</v>
      </c>
      <c r="C17" t="s">
        <v>26</v>
      </c>
      <c r="D17">
        <v>7.9</v>
      </c>
      <c r="E17" s="7">
        <f>D17/SUM($D$17:$D$27)</f>
        <v>8.9752329016132698E-3</v>
      </c>
    </row>
    <row r="18" spans="1:26">
      <c r="B18" s="5" t="s">
        <v>7</v>
      </c>
      <c r="C18" t="s">
        <v>27</v>
      </c>
      <c r="D18">
        <v>369</v>
      </c>
      <c r="E18" s="7">
        <f t="shared" ref="E18:E27" si="0">D18/SUM($D$17:$D$27)</f>
        <v>0.41922290388548056</v>
      </c>
    </row>
    <row r="19" spans="1:26">
      <c r="B19" s="5" t="s">
        <v>9</v>
      </c>
      <c r="C19" t="s">
        <v>28</v>
      </c>
      <c r="D19">
        <v>25.1</v>
      </c>
      <c r="E19" s="7">
        <f t="shared" si="0"/>
        <v>2.851624630765735E-2</v>
      </c>
    </row>
    <row r="20" spans="1:26">
      <c r="B20" s="5" t="s">
        <v>9</v>
      </c>
      <c r="C20" t="s">
        <v>29</v>
      </c>
      <c r="D20">
        <v>33.799999999999997</v>
      </c>
      <c r="E20" s="7">
        <f t="shared" si="0"/>
        <v>3.8400363553737785E-2</v>
      </c>
    </row>
    <row r="21" spans="1:26">
      <c r="B21" s="5" t="s">
        <v>18</v>
      </c>
      <c r="C21" t="s">
        <v>30</v>
      </c>
      <c r="D21">
        <v>250.2</v>
      </c>
      <c r="E21" s="7">
        <f t="shared" si="0"/>
        <v>0.28425357873210633</v>
      </c>
    </row>
    <row r="22" spans="1:26">
      <c r="B22" s="5" t="s">
        <v>9</v>
      </c>
      <c r="C22" t="s">
        <v>31</v>
      </c>
      <c r="D22">
        <v>9</v>
      </c>
      <c r="E22" s="7">
        <f t="shared" si="0"/>
        <v>1.0224948875255623E-2</v>
      </c>
    </row>
    <row r="23" spans="1:26">
      <c r="B23" s="5" t="s">
        <v>9</v>
      </c>
      <c r="C23" t="s">
        <v>32</v>
      </c>
      <c r="D23">
        <v>25.5</v>
      </c>
      <c r="E23" s="7">
        <f t="shared" si="0"/>
        <v>2.8970688479890934E-2</v>
      </c>
    </row>
    <row r="24" spans="1:26">
      <c r="B24" s="5" t="s">
        <v>9</v>
      </c>
      <c r="C24" t="s">
        <v>33</v>
      </c>
      <c r="D24">
        <v>17.2</v>
      </c>
      <c r="E24" s="7">
        <f t="shared" si="0"/>
        <v>1.954101340604408E-2</v>
      </c>
    </row>
    <row r="25" spans="1:26">
      <c r="B25" s="5" t="s">
        <v>9</v>
      </c>
      <c r="C25" t="s">
        <v>34</v>
      </c>
      <c r="D25">
        <v>12.5</v>
      </c>
      <c r="E25" s="7">
        <f t="shared" si="0"/>
        <v>1.4201317882299476E-2</v>
      </c>
    </row>
    <row r="26" spans="1:26">
      <c r="B26" s="5" t="s">
        <v>7</v>
      </c>
      <c r="C26" t="s">
        <v>35</v>
      </c>
      <c r="D26">
        <v>80.7</v>
      </c>
      <c r="E26" s="7">
        <f t="shared" si="0"/>
        <v>9.1683708248125426E-2</v>
      </c>
    </row>
    <row r="27" spans="1:26">
      <c r="B27" s="8" t="s">
        <v>23</v>
      </c>
      <c r="C27" s="9" t="s">
        <v>36</v>
      </c>
      <c r="D27" s="9">
        <v>49.3</v>
      </c>
      <c r="E27" s="10">
        <f t="shared" si="0"/>
        <v>5.6009997727789133E-2</v>
      </c>
    </row>
    <row r="28" spans="1:26">
      <c r="B28" s="13" t="s">
        <v>38</v>
      </c>
    </row>
    <row r="30" spans="1:26">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2" spans="1:26" ht="24">
      <c r="B32" s="3" t="s">
        <v>41</v>
      </c>
    </row>
    <row r="33" spans="2:5" ht="19">
      <c r="B33" s="27" t="s">
        <v>42</v>
      </c>
    </row>
    <row r="34" spans="2:5">
      <c r="B34" s="28" t="s">
        <v>2</v>
      </c>
      <c r="C34" s="29" t="s">
        <v>3</v>
      </c>
      <c r="D34" s="29" t="s">
        <v>4</v>
      </c>
      <c r="E34" s="30" t="s">
        <v>5</v>
      </c>
    </row>
    <row r="35" spans="2:5">
      <c r="B35" s="5" t="s">
        <v>20</v>
      </c>
      <c r="C35" t="s">
        <v>43</v>
      </c>
      <c r="D35" t="s">
        <v>6</v>
      </c>
      <c r="E35" s="7">
        <v>0.56000000000000005</v>
      </c>
    </row>
    <row r="36" spans="2:5">
      <c r="B36" s="5" t="s">
        <v>20</v>
      </c>
      <c r="C36" t="s">
        <v>44</v>
      </c>
      <c r="D36" t="s">
        <v>6</v>
      </c>
      <c r="E36" s="7">
        <v>0.18333333333333332</v>
      </c>
    </row>
    <row r="37" spans="2:5">
      <c r="B37" s="5" t="s">
        <v>45</v>
      </c>
      <c r="C37" t="s">
        <v>46</v>
      </c>
      <c r="D37" t="s">
        <v>6</v>
      </c>
      <c r="E37" s="7">
        <v>0.11388888888888889</v>
      </c>
    </row>
    <row r="38" spans="2:5">
      <c r="B38" s="5" t="s">
        <v>47</v>
      </c>
      <c r="C38" t="s">
        <v>48</v>
      </c>
      <c r="D38" t="s">
        <v>6</v>
      </c>
      <c r="E38" s="7">
        <v>0.06</v>
      </c>
    </row>
    <row r="39" spans="2:5">
      <c r="B39" s="5" t="s">
        <v>9</v>
      </c>
      <c r="C39" t="s">
        <v>49</v>
      </c>
      <c r="D39" t="s">
        <v>6</v>
      </c>
      <c r="E39" s="7">
        <v>0.04</v>
      </c>
    </row>
    <row r="40" spans="2:5">
      <c r="B40" s="8" t="s">
        <v>9</v>
      </c>
      <c r="C40" s="9" t="s">
        <v>10</v>
      </c>
      <c r="D40" s="9" t="s">
        <v>6</v>
      </c>
      <c r="E40" s="10">
        <v>4.7222222222222221E-2</v>
      </c>
    </row>
    <row r="41" spans="2:5">
      <c r="B41" s="31" t="s">
        <v>50</v>
      </c>
    </row>
    <row r="43" spans="2:5" ht="19">
      <c r="B43" s="27" t="s">
        <v>40</v>
      </c>
    </row>
    <row r="44" spans="2:5">
      <c r="B44" s="28" t="s">
        <v>2</v>
      </c>
      <c r="C44" s="29" t="s">
        <v>3</v>
      </c>
      <c r="D44" s="29" t="s">
        <v>37</v>
      </c>
      <c r="E44" s="30" t="s">
        <v>5</v>
      </c>
    </row>
    <row r="45" spans="2:5">
      <c r="B45" s="5" t="s">
        <v>47</v>
      </c>
      <c r="C45" t="s">
        <v>51</v>
      </c>
      <c r="D45">
        <v>37.799999999999997</v>
      </c>
      <c r="E45" s="7">
        <f>D45/SUM($D$45:$D$51)</f>
        <v>5.086114101184068E-2</v>
      </c>
    </row>
    <row r="46" spans="2:5">
      <c r="B46" s="5" t="s">
        <v>45</v>
      </c>
      <c r="C46" t="s">
        <v>52</v>
      </c>
      <c r="D46">
        <v>52.1</v>
      </c>
      <c r="E46" s="7">
        <f t="shared" ref="E46:E51" si="1">D46/SUM($D$45:$D$51)</f>
        <v>7.0102260495156082E-2</v>
      </c>
    </row>
    <row r="47" spans="2:5">
      <c r="B47" s="5" t="s">
        <v>9</v>
      </c>
      <c r="C47" t="s">
        <v>53</v>
      </c>
      <c r="D47">
        <v>33.700000000000003</v>
      </c>
      <c r="E47" s="7">
        <f t="shared" si="1"/>
        <v>4.5344456404736277E-2</v>
      </c>
    </row>
    <row r="48" spans="2:5">
      <c r="B48" s="5" t="s">
        <v>9</v>
      </c>
      <c r="C48" t="s">
        <v>31</v>
      </c>
      <c r="D48">
        <v>18.7</v>
      </c>
      <c r="E48" s="7">
        <f t="shared" si="1"/>
        <v>2.5161463939720127E-2</v>
      </c>
    </row>
    <row r="49" spans="2:5">
      <c r="B49" s="5" t="s">
        <v>20</v>
      </c>
      <c r="C49" t="s">
        <v>54</v>
      </c>
      <c r="D49">
        <v>140.19999999999999</v>
      </c>
      <c r="E49" s="7">
        <f t="shared" si="1"/>
        <v>0.18864370290635088</v>
      </c>
    </row>
    <row r="50" spans="2:5">
      <c r="B50" s="5" t="s">
        <v>20</v>
      </c>
      <c r="C50" t="s">
        <v>55</v>
      </c>
      <c r="D50">
        <v>437.7</v>
      </c>
      <c r="E50" s="7">
        <f t="shared" si="1"/>
        <v>0.58893972012917106</v>
      </c>
    </row>
    <row r="51" spans="2:5">
      <c r="B51" s="8" t="s">
        <v>9</v>
      </c>
      <c r="C51" s="9" t="s">
        <v>56</v>
      </c>
      <c r="D51" s="9">
        <v>23</v>
      </c>
      <c r="E51" s="10">
        <f t="shared" si="1"/>
        <v>3.0947255113024756E-2</v>
      </c>
    </row>
    <row r="52" spans="2:5">
      <c r="B52" s="11" t="s">
        <v>57</v>
      </c>
    </row>
  </sheetData>
  <hyperlinks>
    <hyperlink ref="B13" r:id="rId1" xr:uid="{B3E237F5-6201-7241-BE4E-24DDE6575418}"/>
    <hyperlink ref="B28" r:id="rId2" xr:uid="{31F48FA3-21AE-4844-A943-EB532ED8BC85}"/>
    <hyperlink ref="B41" r:id="rId3" display="(1) Source: EPA Water Treatment Chemical Supply Chain Profile, Hydrochloric Acid" xr:uid="{D1141142-C843-D047-9C82-4356DA0C904F}"/>
    <hyperlink ref="B52" r:id="rId4" xr:uid="{35C6CEE8-C097-9948-BBC1-E2956CF4FB2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35F91-BAA8-C14F-9F13-EFB6B20863AE}">
  <dimension ref="A1:Y16"/>
  <sheetViews>
    <sheetView workbookViewId="0">
      <selection activeCell="F20" sqref="F20"/>
    </sheetView>
  </sheetViews>
  <sheetFormatPr baseColWidth="10" defaultRowHeight="16"/>
  <cols>
    <col min="1" max="1" width="5.1640625" customWidth="1"/>
    <col min="2" max="2" width="16.83203125" customWidth="1"/>
    <col min="3" max="3" width="15" customWidth="1"/>
    <col min="4" max="4" width="22" customWidth="1"/>
    <col min="5" max="5" width="43.83203125" style="6" customWidth="1"/>
    <col min="6" max="6" width="91" style="6" customWidth="1"/>
  </cols>
  <sheetData>
    <row r="1" spans="1:25">
      <c r="A1" s="18"/>
      <c r="B1" s="18"/>
      <c r="C1" s="18"/>
      <c r="D1" s="18"/>
      <c r="E1" s="33"/>
      <c r="F1" s="33"/>
      <c r="G1" s="18"/>
      <c r="H1" s="18"/>
      <c r="I1" s="18"/>
      <c r="J1" s="18"/>
      <c r="K1" s="18"/>
      <c r="L1" s="18"/>
      <c r="M1" s="18"/>
      <c r="N1" s="18"/>
      <c r="O1" s="18"/>
      <c r="P1" s="18"/>
      <c r="Q1" s="18"/>
      <c r="R1" s="18"/>
      <c r="S1" s="18"/>
      <c r="T1" s="18"/>
      <c r="U1" s="18"/>
      <c r="V1" s="18"/>
      <c r="W1" s="18"/>
      <c r="X1" s="18"/>
      <c r="Y1" s="18"/>
    </row>
    <row r="2" spans="1:25" ht="27">
      <c r="B2" s="2" t="s">
        <v>63</v>
      </c>
    </row>
    <row r="3" spans="1:25" ht="19">
      <c r="B3" s="4" t="s">
        <v>15</v>
      </c>
    </row>
    <row r="4" spans="1:25" ht="19">
      <c r="B4" s="4"/>
    </row>
    <row r="5" spans="1:25" ht="17">
      <c r="B5" s="32" t="s">
        <v>64</v>
      </c>
      <c r="C5" s="32" t="s">
        <v>65</v>
      </c>
      <c r="D5" s="32" t="s">
        <v>68</v>
      </c>
      <c r="E5" s="34" t="s">
        <v>67</v>
      </c>
      <c r="F5" s="34" t="s">
        <v>66</v>
      </c>
    </row>
    <row r="6" spans="1:25" ht="34">
      <c r="B6" t="s">
        <v>69</v>
      </c>
      <c r="C6">
        <v>3</v>
      </c>
      <c r="D6">
        <v>580</v>
      </c>
      <c r="E6" s="6" t="s">
        <v>99</v>
      </c>
      <c r="F6" s="35" t="s">
        <v>78</v>
      </c>
    </row>
    <row r="7" spans="1:25" ht="51">
      <c r="B7" t="s">
        <v>70</v>
      </c>
      <c r="C7">
        <v>3</v>
      </c>
      <c r="D7">
        <v>2000</v>
      </c>
      <c r="E7" s="6" t="s">
        <v>98</v>
      </c>
      <c r="F7" s="35" t="s">
        <v>79</v>
      </c>
    </row>
    <row r="8" spans="1:25" ht="34">
      <c r="B8" t="s">
        <v>61</v>
      </c>
      <c r="C8">
        <v>3</v>
      </c>
      <c r="D8">
        <v>275</v>
      </c>
      <c r="E8" s="6" t="s">
        <v>80</v>
      </c>
      <c r="F8" s="35" t="s">
        <v>81</v>
      </c>
    </row>
    <row r="9" spans="1:25" ht="34">
      <c r="B9" t="s">
        <v>71</v>
      </c>
      <c r="C9">
        <v>2</v>
      </c>
      <c r="D9">
        <v>2470</v>
      </c>
      <c r="E9" s="6" t="s">
        <v>83</v>
      </c>
      <c r="F9" s="35" t="s">
        <v>82</v>
      </c>
    </row>
    <row r="10" spans="1:25" ht="34">
      <c r="B10" t="s">
        <v>72</v>
      </c>
      <c r="C10">
        <v>3</v>
      </c>
      <c r="D10">
        <v>1458</v>
      </c>
      <c r="E10" s="6" t="s">
        <v>84</v>
      </c>
      <c r="F10" s="35" t="s">
        <v>85</v>
      </c>
    </row>
    <row r="11" spans="1:25" ht="51">
      <c r="B11" t="s">
        <v>62</v>
      </c>
      <c r="C11">
        <v>3</v>
      </c>
      <c r="D11">
        <v>320</v>
      </c>
      <c r="E11" s="6" t="s">
        <v>86</v>
      </c>
      <c r="F11" s="35" t="s">
        <v>87</v>
      </c>
    </row>
    <row r="12" spans="1:25" ht="34">
      <c r="B12" t="s">
        <v>73</v>
      </c>
      <c r="C12">
        <v>3</v>
      </c>
      <c r="D12">
        <v>3.75</v>
      </c>
      <c r="E12" s="6" t="s">
        <v>88</v>
      </c>
      <c r="F12" s="35" t="s">
        <v>89</v>
      </c>
    </row>
    <row r="13" spans="1:25" ht="34">
      <c r="B13" t="s">
        <v>74</v>
      </c>
      <c r="C13">
        <v>3</v>
      </c>
      <c r="D13">
        <v>190</v>
      </c>
      <c r="E13" s="6" t="s">
        <v>90</v>
      </c>
      <c r="F13" s="35" t="s">
        <v>91</v>
      </c>
    </row>
    <row r="14" spans="1:25" ht="34">
      <c r="B14" t="s">
        <v>75</v>
      </c>
      <c r="C14">
        <v>3</v>
      </c>
      <c r="D14">
        <v>72.900000000000006</v>
      </c>
      <c r="E14" s="6" t="s">
        <v>92</v>
      </c>
      <c r="F14" s="35" t="s">
        <v>91</v>
      </c>
    </row>
    <row r="15" spans="1:25" ht="34">
      <c r="B15" t="s">
        <v>76</v>
      </c>
      <c r="C15">
        <v>3</v>
      </c>
      <c r="D15">
        <v>6000</v>
      </c>
      <c r="E15" s="6" t="s">
        <v>93</v>
      </c>
      <c r="F15" s="35" t="s">
        <v>94</v>
      </c>
    </row>
    <row r="16" spans="1:25" ht="34">
      <c r="B16" t="s">
        <v>77</v>
      </c>
      <c r="C16">
        <v>2</v>
      </c>
      <c r="D16">
        <v>5700</v>
      </c>
      <c r="E16" s="6" t="s">
        <v>95</v>
      </c>
      <c r="F16" s="35" t="s">
        <v>96</v>
      </c>
    </row>
  </sheetData>
  <hyperlinks>
    <hyperlink ref="F6" r:id="rId1" xr:uid="{E0A61302-E760-3F42-9070-A7C6289A59F8}"/>
    <hyperlink ref="F7" r:id="rId2" xr:uid="{B657757A-F86C-5E4E-B760-9142C52901E0}"/>
    <hyperlink ref="F8" r:id="rId3" xr:uid="{8E42E622-5EC4-3242-99B7-032940B684AD}"/>
    <hyperlink ref="F9" r:id="rId4" xr:uid="{75D43406-2C82-AD49-BEEE-61E46F610A2B}"/>
    <hyperlink ref="F10" r:id="rId5" xr:uid="{A365FA2F-6174-6D47-A0C3-8946FE61D0E4}"/>
    <hyperlink ref="F11" r:id="rId6" xr:uid="{3B90BDB8-757A-7646-82F8-ACC474D47BB8}"/>
    <hyperlink ref="F12" r:id="rId7" xr:uid="{10A9827D-262C-4E43-A982-BA50AD78A15B}"/>
    <hyperlink ref="F13" r:id="rId8" xr:uid="{98C4BBC5-E91F-C544-8FEC-CDDF72115AC3}"/>
    <hyperlink ref="F14" r:id="rId9" xr:uid="{BB7B0332-8F56-6B47-82A2-75A844B4E0CF}"/>
    <hyperlink ref="F15" r:id="rId10" xr:uid="{7E11D623-5E2F-D64E-ACCC-B095B776AF85}"/>
    <hyperlink ref="F16" r:id="rId11" xr:uid="{46572126-4DF4-4A45-8D05-07D875C3399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4F4B7-6F38-A946-832A-9F44F1650CE9}">
  <dimension ref="A1:S269"/>
  <sheetViews>
    <sheetView workbookViewId="0">
      <selection activeCell="E44" sqref="E44"/>
    </sheetView>
  </sheetViews>
  <sheetFormatPr baseColWidth="10" defaultRowHeight="16"/>
  <cols>
    <col min="1" max="1" width="5.1640625" customWidth="1"/>
    <col min="2" max="2" width="45.6640625" customWidth="1"/>
    <col min="3" max="7" width="16.83203125" customWidth="1"/>
    <col min="8" max="8" width="37.33203125" customWidth="1"/>
    <col min="9" max="9" width="18.33203125" customWidth="1"/>
  </cols>
  <sheetData>
    <row r="1" spans="1:19">
      <c r="A1" s="1"/>
      <c r="B1" s="1"/>
      <c r="C1" s="1"/>
      <c r="D1" s="1"/>
      <c r="E1" s="1"/>
      <c r="F1" s="1"/>
      <c r="G1" s="1"/>
      <c r="H1" s="1"/>
      <c r="I1" s="1"/>
      <c r="J1" s="1"/>
      <c r="K1" s="1"/>
      <c r="L1" s="1"/>
      <c r="M1" s="1"/>
      <c r="N1" s="1"/>
      <c r="O1" s="1"/>
      <c r="P1" s="1"/>
      <c r="Q1" s="1"/>
      <c r="R1" s="1"/>
      <c r="S1" s="1"/>
    </row>
    <row r="2" spans="1:19" ht="27">
      <c r="B2" s="2" t="s">
        <v>100</v>
      </c>
    </row>
    <row r="3" spans="1:19" ht="19">
      <c r="B3" s="4" t="s">
        <v>1</v>
      </c>
    </row>
    <row r="4" spans="1:19" ht="19">
      <c r="B4" s="4"/>
    </row>
    <row r="5" spans="1:19" ht="37" customHeight="1">
      <c r="B5" s="48" t="s">
        <v>174</v>
      </c>
      <c r="C5" s="48"/>
      <c r="D5" s="48"/>
      <c r="E5" s="48"/>
      <c r="F5" s="48"/>
      <c r="G5" s="48"/>
    </row>
    <row r="6" spans="1:19">
      <c r="B6" s="17"/>
    </row>
    <row r="7" spans="1:19" ht="19">
      <c r="B7" s="27" t="s">
        <v>276</v>
      </c>
    </row>
    <row r="8" spans="1:19">
      <c r="B8" s="44" t="s">
        <v>104</v>
      </c>
      <c r="C8" s="15" t="s">
        <v>105</v>
      </c>
      <c r="D8" s="15" t="s">
        <v>12</v>
      </c>
      <c r="E8" s="15" t="s">
        <v>13</v>
      </c>
      <c r="F8" s="15" t="s">
        <v>14</v>
      </c>
      <c r="G8" s="16" t="s">
        <v>106</v>
      </c>
    </row>
    <row r="9" spans="1:19">
      <c r="B9" s="5" t="s">
        <v>166</v>
      </c>
      <c r="C9" s="45">
        <f t="shared" ref="C9:C27" si="0">IF(ISERROR(_xlfn.XLOOKUP(B9,$H$36:$H$54,$J$36:$J$54)/$J$55), "", (_xlfn.XLOOKUP(B9,$H$36:$H$54,$J$36:$J$54)/$J$55))</f>
        <v>2.3127272727272729E-2</v>
      </c>
      <c r="D9" s="45">
        <f>_xlfn.XLOOKUP(B9,$H$92:$H$110,$I$92:$I$110)/$I$111</f>
        <v>2.2233913580529313E-2</v>
      </c>
      <c r="E9" s="45">
        <f>_xlfn.XLOOKUP(B9,$H$121:$H$139,$I$121:$I$139)/$I$140</f>
        <v>2.1295163541192035E-2</v>
      </c>
      <c r="F9" s="45">
        <f>_xlfn.XLOOKUP(B9,$H$121:$H$139,$I$121:$I$139)/$I$140</f>
        <v>2.1295163541192035E-2</v>
      </c>
      <c r="G9" s="7">
        <f>_xlfn.XLOOKUP(B9,$H$247:$H$265,$I$247:$I$265)/$I$266</f>
        <v>4.0404040404040407E-2</v>
      </c>
    </row>
    <row r="10" spans="1:19">
      <c r="B10" s="5" t="s">
        <v>142</v>
      </c>
      <c r="C10" s="45">
        <f t="shared" si="0"/>
        <v>4.7181818181818179E-2</v>
      </c>
      <c r="D10" s="45">
        <f t="shared" ref="D10:D27" si="1">_xlfn.XLOOKUP(B10,$H$92:$H$110,$I$92:$I$110)/$I$111</f>
        <v>3.9458334286433194E-2</v>
      </c>
      <c r="E10" s="45">
        <f t="shared" ref="E10:E27" si="2">_xlfn.XLOOKUP(B10,$H$121:$H$139,$I$121:$I$139)/$I$140</f>
        <v>4.4032605681508151E-2</v>
      </c>
      <c r="F10" s="45">
        <f t="shared" ref="F10:F27" si="3">_xlfn.XLOOKUP(B10,$H$121:$H$139,$I$121:$I$139)/$I$140</f>
        <v>4.4032605681508151E-2</v>
      </c>
      <c r="G10" s="7">
        <f t="shared" ref="G10:G27" si="4">_xlfn.XLOOKUP(B10,$H$247:$H$265,$I$247:$I$265)/$I$266</f>
        <v>7.0707070707070704E-2</v>
      </c>
    </row>
    <row r="11" spans="1:19">
      <c r="B11" s="5" t="s">
        <v>117</v>
      </c>
      <c r="C11" s="45" t="str">
        <f t="shared" si="0"/>
        <v/>
      </c>
      <c r="D11" s="45">
        <f t="shared" si="1"/>
        <v>1.52000365990347E-2</v>
      </c>
      <c r="E11" s="45">
        <f t="shared" si="2"/>
        <v>1.7139801078028306E-2</v>
      </c>
      <c r="F11" s="45">
        <f t="shared" si="3"/>
        <v>1.7139801078028306E-2</v>
      </c>
      <c r="G11" s="7">
        <f t="shared" si="4"/>
        <v>3.0303030303030304E-2</v>
      </c>
    </row>
    <row r="12" spans="1:19">
      <c r="B12" s="5" t="s">
        <v>164</v>
      </c>
      <c r="C12" s="45">
        <f t="shared" si="0"/>
        <v>4.236363636363636E-2</v>
      </c>
      <c r="D12" s="45">
        <f t="shared" si="1"/>
        <v>4.3941716037239516E-2</v>
      </c>
      <c r="E12" s="45">
        <f t="shared" si="2"/>
        <v>4.9296062800893277E-2</v>
      </c>
      <c r="F12" s="45">
        <f t="shared" si="3"/>
        <v>4.9296062800893277E-2</v>
      </c>
      <c r="G12" s="7">
        <f t="shared" si="4"/>
        <v>6.0606060606060608E-2</v>
      </c>
    </row>
    <row r="13" spans="1:19">
      <c r="B13" s="5" t="s">
        <v>167</v>
      </c>
      <c r="C13" s="45" t="str">
        <f t="shared" si="0"/>
        <v/>
      </c>
      <c r="D13" s="45">
        <f t="shared" si="1"/>
        <v>5.4646933687124005E-2</v>
      </c>
      <c r="E13" s="45">
        <f t="shared" si="2"/>
        <v>4.7991301974609671E-2</v>
      </c>
      <c r="F13" s="45">
        <f t="shared" si="3"/>
        <v>4.7991301974609671E-2</v>
      </c>
      <c r="G13" s="7">
        <f t="shared" si="4"/>
        <v>3.0303030303030304E-2</v>
      </c>
    </row>
    <row r="14" spans="1:19">
      <c r="B14" s="5" t="s">
        <v>165</v>
      </c>
      <c r="C14" s="45" t="str">
        <f t="shared" si="0"/>
        <v/>
      </c>
      <c r="D14" s="45">
        <f t="shared" si="1"/>
        <v>4.1036667657890526E-2</v>
      </c>
      <c r="E14" s="45">
        <f t="shared" si="2"/>
        <v>4.1990455501326858E-2</v>
      </c>
      <c r="F14" s="45">
        <f t="shared" si="3"/>
        <v>4.1990455501326858E-2</v>
      </c>
      <c r="G14" s="7">
        <f t="shared" si="4"/>
        <v>4.0404040404040407E-2</v>
      </c>
    </row>
    <row r="15" spans="1:19">
      <c r="B15" s="5" t="s">
        <v>120</v>
      </c>
      <c r="C15" s="45" t="str">
        <f t="shared" si="0"/>
        <v/>
      </c>
      <c r="D15" s="45">
        <f t="shared" si="1"/>
        <v>5.7323238099595122E-2</v>
      </c>
      <c r="E15" s="45">
        <f t="shared" si="2"/>
        <v>3.3605517492133169E-2</v>
      </c>
      <c r="F15" s="45">
        <f t="shared" si="3"/>
        <v>3.3605517492133169E-2</v>
      </c>
      <c r="G15" s="7">
        <f t="shared" si="4"/>
        <v>6.0606060606060608E-2</v>
      </c>
    </row>
    <row r="16" spans="1:19">
      <c r="B16" s="5" t="s">
        <v>129</v>
      </c>
      <c r="C16" s="45">
        <f t="shared" si="0"/>
        <v>0.10818181818181818</v>
      </c>
      <c r="D16" s="45">
        <f t="shared" si="1"/>
        <v>0.11277077567079169</v>
      </c>
      <c r="E16" s="45">
        <f t="shared" si="2"/>
        <v>0.10300249238021748</v>
      </c>
      <c r="F16" s="45">
        <f t="shared" si="3"/>
        <v>0.10300249238021748</v>
      </c>
      <c r="G16" s="7">
        <f t="shared" si="4"/>
        <v>5.0505050505050504E-2</v>
      </c>
    </row>
    <row r="17" spans="1:19">
      <c r="B17" s="5" t="s">
        <v>114</v>
      </c>
      <c r="C17" s="45">
        <f t="shared" si="0"/>
        <v>4.8818181818181816E-2</v>
      </c>
      <c r="D17" s="45">
        <f t="shared" si="1"/>
        <v>7.2866390648946636E-2</v>
      </c>
      <c r="E17" s="45">
        <f t="shared" si="2"/>
        <v>6.336830976222689E-2</v>
      </c>
      <c r="F17" s="45">
        <f t="shared" si="3"/>
        <v>6.336830976222689E-2</v>
      </c>
      <c r="G17" s="7">
        <f t="shared" si="4"/>
        <v>8.0808080808080815E-2</v>
      </c>
    </row>
    <row r="18" spans="1:19">
      <c r="B18" s="5" t="s">
        <v>163</v>
      </c>
      <c r="C18" s="45" t="str">
        <f t="shared" si="0"/>
        <v/>
      </c>
      <c r="D18" s="45">
        <f t="shared" si="1"/>
        <v>6.862319006336208E-2</v>
      </c>
      <c r="E18" s="45">
        <f t="shared" si="2"/>
        <v>6.5548172775919358E-2</v>
      </c>
      <c r="F18" s="45">
        <f t="shared" si="3"/>
        <v>6.5548172775919358E-2</v>
      </c>
      <c r="G18" s="7">
        <f t="shared" si="4"/>
        <v>6.0606060606060608E-2</v>
      </c>
    </row>
    <row r="19" spans="1:19">
      <c r="B19" s="5" t="s">
        <v>144</v>
      </c>
      <c r="C19" s="45">
        <f t="shared" si="0"/>
        <v>1.8727272727272728E-2</v>
      </c>
      <c r="D19" s="45">
        <f t="shared" si="1"/>
        <v>3.3522428345952378E-2</v>
      </c>
      <c r="E19" s="45">
        <f t="shared" si="2"/>
        <v>3.4855166176611739E-2</v>
      </c>
      <c r="F19" s="45">
        <f t="shared" si="3"/>
        <v>3.4855166176611739E-2</v>
      </c>
      <c r="G19" s="7">
        <f t="shared" si="4"/>
        <v>3.0303030303030304E-2</v>
      </c>
    </row>
    <row r="20" spans="1:19">
      <c r="B20" s="5" t="s">
        <v>159</v>
      </c>
      <c r="C20" s="45" t="str">
        <f t="shared" si="0"/>
        <v/>
      </c>
      <c r="D20" s="45">
        <f t="shared" si="1"/>
        <v>9.0273806528352818E-2</v>
      </c>
      <c r="E20" s="45">
        <f t="shared" si="2"/>
        <v>9.3484702014291016E-2</v>
      </c>
      <c r="F20" s="45">
        <f t="shared" si="3"/>
        <v>9.3484702014291016E-2</v>
      </c>
      <c r="G20" s="7">
        <f t="shared" si="4"/>
        <v>8.0808080808080815E-2</v>
      </c>
    </row>
    <row r="21" spans="1:19">
      <c r="B21" s="5" t="s">
        <v>161</v>
      </c>
      <c r="C21" s="45" t="str">
        <f t="shared" si="0"/>
        <v/>
      </c>
      <c r="D21" s="45">
        <f t="shared" si="1"/>
        <v>2.5550701100258481E-2</v>
      </c>
      <c r="E21" s="45">
        <f t="shared" si="2"/>
        <v>3.0991779528145538E-2</v>
      </c>
      <c r="F21" s="45">
        <f t="shared" si="3"/>
        <v>3.0991779528145538E-2</v>
      </c>
      <c r="G21" s="7">
        <f t="shared" si="4"/>
        <v>4.0404040404040407E-2</v>
      </c>
    </row>
    <row r="22" spans="1:19">
      <c r="B22" s="5" t="s">
        <v>147</v>
      </c>
      <c r="C22" s="45">
        <f t="shared" si="0"/>
        <v>0.18454545454545454</v>
      </c>
      <c r="D22" s="45">
        <f t="shared" si="1"/>
        <v>0.1342727085573118</v>
      </c>
      <c r="E22" s="45">
        <f t="shared" si="2"/>
        <v>0.13128517928573913</v>
      </c>
      <c r="F22" s="45">
        <f t="shared" si="3"/>
        <v>0.13128517928573913</v>
      </c>
      <c r="G22" s="7">
        <f t="shared" si="4"/>
        <v>0.12121212121212122</v>
      </c>
    </row>
    <row r="23" spans="1:19">
      <c r="B23" s="5" t="s">
        <v>160</v>
      </c>
      <c r="C23" s="45" t="str">
        <f t="shared" si="0"/>
        <v/>
      </c>
      <c r="D23" s="45">
        <f t="shared" si="1"/>
        <v>3.4734771370405107E-2</v>
      </c>
      <c r="E23" s="45">
        <f t="shared" si="2"/>
        <v>3.5189335114847446E-2</v>
      </c>
      <c r="F23" s="45">
        <f t="shared" si="3"/>
        <v>3.5189335114847446E-2</v>
      </c>
      <c r="G23" s="7">
        <f t="shared" si="4"/>
        <v>4.0404040404040407E-2</v>
      </c>
    </row>
    <row r="24" spans="1:19">
      <c r="B24" s="5" t="s">
        <v>162</v>
      </c>
      <c r="C24" s="45" t="str">
        <f t="shared" si="0"/>
        <v/>
      </c>
      <c r="D24" s="45">
        <f t="shared" si="1"/>
        <v>3.2149964544685133E-2</v>
      </c>
      <c r="E24" s="45">
        <f t="shared" si="2"/>
        <v>3.1911430571807904E-2</v>
      </c>
      <c r="F24" s="45">
        <f t="shared" si="3"/>
        <v>3.1911430571807904E-2</v>
      </c>
      <c r="G24" s="7">
        <f t="shared" si="4"/>
        <v>4.0404040404040407E-2</v>
      </c>
    </row>
    <row r="25" spans="1:19">
      <c r="B25" s="5" t="s">
        <v>168</v>
      </c>
      <c r="C25" s="45" t="str">
        <f t="shared" si="0"/>
        <v/>
      </c>
      <c r="D25" s="45">
        <f t="shared" si="1"/>
        <v>2.8021135942539514E-2</v>
      </c>
      <c r="E25" s="45">
        <f t="shared" si="2"/>
        <v>3.1325348279702174E-2</v>
      </c>
      <c r="F25" s="45">
        <f t="shared" si="3"/>
        <v>3.1325348279702174E-2</v>
      </c>
      <c r="G25" s="7">
        <f t="shared" si="4"/>
        <v>5.0505050505050504E-2</v>
      </c>
    </row>
    <row r="26" spans="1:19">
      <c r="B26" s="5" t="s">
        <v>110</v>
      </c>
      <c r="C26" s="45">
        <f t="shared" si="0"/>
        <v>0.11181818181818182</v>
      </c>
      <c r="D26" s="45">
        <f t="shared" si="1"/>
        <v>0.10224855319440949</v>
      </c>
      <c r="E26" s="45">
        <f t="shared" si="2"/>
        <v>0.10946350198033845</v>
      </c>
      <c r="F26" s="45">
        <f t="shared" si="3"/>
        <v>0.10946350198033845</v>
      </c>
      <c r="G26" s="7">
        <f t="shared" si="4"/>
        <v>7.0707070707070704E-2</v>
      </c>
    </row>
    <row r="27" spans="1:19">
      <c r="B27" s="8" t="s">
        <v>169</v>
      </c>
      <c r="C27" s="46" t="str">
        <f t="shared" si="0"/>
        <v/>
      </c>
      <c r="D27" s="46">
        <f t="shared" si="1"/>
        <v>1.6675435185396985E-2</v>
      </c>
      <c r="E27" s="46">
        <f t="shared" si="2"/>
        <v>1.4223674060461395E-2</v>
      </c>
      <c r="F27" s="46">
        <f t="shared" si="3"/>
        <v>1.4223674060461395E-2</v>
      </c>
      <c r="G27" s="10">
        <f t="shared" si="4"/>
        <v>4.0404040404040407E-2</v>
      </c>
    </row>
    <row r="28" spans="1:19">
      <c r="B28" t="s">
        <v>175</v>
      </c>
    </row>
    <row r="29" spans="1:19">
      <c r="B29" t="s">
        <v>277</v>
      </c>
    </row>
    <row r="31" spans="1:19">
      <c r="A31" s="1"/>
      <c r="B31" s="1"/>
      <c r="C31" s="1"/>
      <c r="D31" s="1"/>
      <c r="E31" s="1"/>
      <c r="F31" s="1"/>
      <c r="G31" s="1"/>
      <c r="H31" s="1"/>
      <c r="I31" s="1"/>
      <c r="J31" s="1"/>
      <c r="K31" s="1"/>
      <c r="L31" s="1"/>
      <c r="M31" s="1"/>
      <c r="N31" s="1"/>
      <c r="O31" s="1"/>
      <c r="P31" s="1"/>
      <c r="Q31" s="1"/>
      <c r="R31" s="1"/>
      <c r="S31" s="1"/>
    </row>
    <row r="33" spans="2:10" ht="24">
      <c r="B33" s="3" t="s">
        <v>101</v>
      </c>
    </row>
    <row r="34" spans="2:10" ht="19">
      <c r="B34" s="27" t="s">
        <v>158</v>
      </c>
      <c r="H34" s="27" t="s">
        <v>173</v>
      </c>
    </row>
    <row r="35" spans="2:10" ht="19">
      <c r="B35" s="14" t="s">
        <v>102</v>
      </c>
      <c r="C35" s="16" t="s">
        <v>103</v>
      </c>
      <c r="H35" s="14" t="s">
        <v>104</v>
      </c>
      <c r="I35" s="15" t="s">
        <v>273</v>
      </c>
      <c r="J35" s="16" t="s">
        <v>103</v>
      </c>
    </row>
    <row r="36" spans="2:10">
      <c r="B36" s="5" t="s">
        <v>107</v>
      </c>
      <c r="C36" s="36">
        <v>4660</v>
      </c>
      <c r="H36" s="5" t="s">
        <v>166</v>
      </c>
      <c r="I36" t="b" cm="1">
        <f t="array" ref="I36">AND(ISNUMBER(_xlfn.XLOOKUP(TRIM(_xlfn.TEXTSPLIT(SUBSTITUTE(H36," and ",","),",")),$B$36:$B$83,$C$36:$C$83)))</f>
        <v>1</v>
      </c>
      <c r="J36" s="36" cm="1">
        <f t="array" ref="J36">IF(I36,SUM(_xlfn.XLOOKUP(TRIM(_xlfn.TEXTSPLIT(SUBSTITUTE(H36," and ",","),",")),$B$36:$B$83,$C$36:$C$83)),"")</f>
        <v>2544</v>
      </c>
    </row>
    <row r="37" spans="2:10">
      <c r="B37" s="5" t="s">
        <v>108</v>
      </c>
      <c r="C37" s="36" t="s">
        <v>156</v>
      </c>
      <c r="H37" s="5" t="s">
        <v>142</v>
      </c>
      <c r="I37" t="b" cm="1">
        <f t="array" ref="I37">AND(ISNUMBER(_xlfn.XLOOKUP(TRIM(_xlfn.TEXTSPLIT(SUBSTITUTE(H37," and ",","),",")),$B$36:$B$83,$C$36:$C$83)))</f>
        <v>1</v>
      </c>
      <c r="J37" s="36" cm="1">
        <f t="array" ref="J37">IF(I37,SUM(_xlfn.XLOOKUP(TRIM(_xlfn.TEXTSPLIT(SUBSTITUTE(H37," and ",","),",")),$B$36:$B$83,$C$36:$C$83)),"")</f>
        <v>5190</v>
      </c>
    </row>
    <row r="38" spans="2:10">
      <c r="B38" s="5" t="s">
        <v>109</v>
      </c>
      <c r="C38" s="36" t="s">
        <v>156</v>
      </c>
      <c r="H38" s="5" t="s">
        <v>117</v>
      </c>
      <c r="I38" t="b" cm="1">
        <f t="array" ref="I38">AND(ISNUMBER(_xlfn.XLOOKUP(TRIM(_xlfn.TEXTSPLIT(SUBSTITUTE(H38," and ",","),",")),$B$36:$B$83,$C$36:$C$83)))</f>
        <v>0</v>
      </c>
      <c r="J38" s="36" t="str" cm="1">
        <f t="array" ref="J38">IF(I38,SUM(_xlfn.XLOOKUP(TRIM(_xlfn.TEXTSPLIT(SUBSTITUTE(H38," and ",","),",")),$B$36:$B$83,$C$36:$C$83)),"")</f>
        <v/>
      </c>
    </row>
    <row r="39" spans="2:10">
      <c r="B39" s="5" t="s">
        <v>110</v>
      </c>
      <c r="C39" s="36">
        <v>12300</v>
      </c>
      <c r="H39" s="5" t="s">
        <v>164</v>
      </c>
      <c r="I39" t="b" cm="1">
        <f t="array" ref="I39">AND(ISNUMBER(_xlfn.XLOOKUP(TRIM(_xlfn.TEXTSPLIT(SUBSTITUTE(H39," and ",","),",")),$B$36:$B$83,$C$36:$C$83)))</f>
        <v>1</v>
      </c>
      <c r="J39" s="36" cm="1">
        <f t="array" ref="J39">IF(I39,SUM(_xlfn.XLOOKUP(TRIM(_xlfn.TEXTSPLIT(SUBSTITUTE(H39," and ",","),",")),$B$36:$B$83,$C$36:$C$83)),"")</f>
        <v>4660</v>
      </c>
    </row>
    <row r="40" spans="2:10">
      <c r="B40" s="5" t="s">
        <v>111</v>
      </c>
      <c r="C40" s="36">
        <v>3140</v>
      </c>
      <c r="H40" s="5" t="s">
        <v>167</v>
      </c>
      <c r="I40" t="b" cm="1">
        <f t="array" ref="I40">AND(ISNUMBER(_xlfn.XLOOKUP(TRIM(_xlfn.TEXTSPLIT(SUBSTITUTE(H40," and ",","),",")),$B$36:$B$83,$C$36:$C$83)))</f>
        <v>0</v>
      </c>
      <c r="J40" s="36" t="str" cm="1">
        <f t="array" ref="J40">IF(I40,SUM(_xlfn.XLOOKUP(TRIM(_xlfn.TEXTSPLIT(SUBSTITUTE(H40," and ",","),",")),$B$36:$B$83,$C$36:$C$83)),"")</f>
        <v/>
      </c>
    </row>
    <row r="41" spans="2:10">
      <c r="B41" s="5" t="s">
        <v>112</v>
      </c>
      <c r="C41" s="36">
        <v>0</v>
      </c>
      <c r="H41" s="5" t="s">
        <v>165</v>
      </c>
      <c r="I41" t="b" cm="1">
        <f t="array" ref="I41">AND(ISNUMBER(_xlfn.XLOOKUP(TRIM(_xlfn.TEXTSPLIT(SUBSTITUTE(H41," and ",","),",")),$B$36:$B$83,$C$36:$C$83)))</f>
        <v>0</v>
      </c>
      <c r="J41" s="36" t="str" cm="1">
        <f t="array" ref="J41">IF(I41,SUM(_xlfn.XLOOKUP(TRIM(_xlfn.TEXTSPLIT(SUBSTITUTE(H41," and ",","),",")),$B$36:$B$83,$C$36:$C$83)),"")</f>
        <v/>
      </c>
    </row>
    <row r="42" spans="2:10">
      <c r="B42" s="5" t="s">
        <v>113</v>
      </c>
      <c r="C42" s="36">
        <v>0</v>
      </c>
      <c r="H42" s="5" t="s">
        <v>120</v>
      </c>
      <c r="I42" t="b" cm="1">
        <f t="array" ref="I42">AND(ISNUMBER(_xlfn.XLOOKUP(TRIM(_xlfn.TEXTSPLIT(SUBSTITUTE(H42," and ",","),",")),$B$36:$B$83,$C$36:$C$83)))</f>
        <v>0</v>
      </c>
      <c r="J42" s="36" t="str" cm="1">
        <f t="array" ref="J42">IF(I42,SUM(_xlfn.XLOOKUP(TRIM(_xlfn.TEXTSPLIT(SUBSTITUTE(H42," and ",","),",")),$B$36:$B$83,$C$36:$C$83)),"")</f>
        <v/>
      </c>
    </row>
    <row r="43" spans="2:10">
      <c r="B43" s="5" t="s">
        <v>114</v>
      </c>
      <c r="C43" s="36">
        <v>5370</v>
      </c>
      <c r="H43" s="5" t="s">
        <v>129</v>
      </c>
      <c r="I43" t="b" cm="1">
        <f t="array" ref="I43">AND(ISNUMBER(_xlfn.XLOOKUP(TRIM(_xlfn.TEXTSPLIT(SUBSTITUTE(H43," and ",","),",")),$B$36:$B$83,$C$36:$C$83)))</f>
        <v>1</v>
      </c>
      <c r="J43" s="36" cm="1">
        <f t="array" ref="J43">IF(I43,SUM(_xlfn.XLOOKUP(TRIM(_xlfn.TEXTSPLIT(SUBSTITUTE(H43," and ",","),",")),$B$36:$B$83,$C$36:$C$83)),"")</f>
        <v>11900</v>
      </c>
    </row>
    <row r="44" spans="2:10">
      <c r="B44" s="5" t="s">
        <v>115</v>
      </c>
      <c r="C44" s="36">
        <v>530</v>
      </c>
      <c r="H44" s="5" t="s">
        <v>114</v>
      </c>
      <c r="I44" t="b" cm="1">
        <f t="array" ref="I44">AND(ISNUMBER(_xlfn.XLOOKUP(TRIM(_xlfn.TEXTSPLIT(SUBSTITUTE(H44," and ",","),",")),$B$36:$B$83,$C$36:$C$83)))</f>
        <v>1</v>
      </c>
      <c r="J44" s="36" cm="1">
        <f t="array" ref="J44">IF(I44,SUM(_xlfn.XLOOKUP(TRIM(_xlfn.TEXTSPLIT(SUBSTITUTE(H44," and ",","),",")),$B$36:$B$83,$C$36:$C$83)),"")</f>
        <v>5370</v>
      </c>
    </row>
    <row r="45" spans="2:10">
      <c r="B45" s="5" t="s">
        <v>116</v>
      </c>
      <c r="C45" s="36">
        <v>0</v>
      </c>
      <c r="H45" s="5" t="s">
        <v>163</v>
      </c>
      <c r="I45" t="b" cm="1">
        <f t="array" ref="I45">AND(ISNUMBER(_xlfn.XLOOKUP(TRIM(_xlfn.TEXTSPLIT(SUBSTITUTE(H45," and ",","),",")),$B$36:$B$83,$C$36:$C$83)))</f>
        <v>0</v>
      </c>
      <c r="J45" s="36" t="str" cm="1">
        <f t="array" ref="J45">IF(I45,SUM(_xlfn.XLOOKUP(TRIM(_xlfn.TEXTSPLIT(SUBSTITUTE(H45," and ",","),",")),$B$36:$B$83,$C$36:$C$83)),"")</f>
        <v/>
      </c>
    </row>
    <row r="46" spans="2:10">
      <c r="B46" s="5" t="s">
        <v>117</v>
      </c>
      <c r="C46" s="36" t="s">
        <v>156</v>
      </c>
      <c r="H46" s="5" t="s">
        <v>144</v>
      </c>
      <c r="I46" t="b" cm="1">
        <f t="array" ref="I46">AND(ISNUMBER(_xlfn.XLOOKUP(TRIM(_xlfn.TEXTSPLIT(SUBSTITUTE(H46," and ",","),",")),$B$36:$B$83,$C$36:$C$83)))</f>
        <v>1</v>
      </c>
      <c r="J46" s="36" cm="1">
        <f t="array" ref="J46">IF(I46,SUM(_xlfn.XLOOKUP(TRIM(_xlfn.TEXTSPLIT(SUBSTITUTE(H46," and ",","),",")),$B$36:$B$83,$C$36:$C$83)),"")</f>
        <v>2060</v>
      </c>
    </row>
    <row r="47" spans="2:10">
      <c r="B47" s="5" t="s">
        <v>118</v>
      </c>
      <c r="C47" s="36">
        <v>3520</v>
      </c>
      <c r="H47" s="5" t="s">
        <v>159</v>
      </c>
      <c r="I47" t="b" cm="1">
        <f t="array" ref="I47">AND(ISNUMBER(_xlfn.XLOOKUP(TRIM(_xlfn.TEXTSPLIT(SUBSTITUTE(H47," and ",","),",")),$B$36:$B$83,$C$36:$C$83)))</f>
        <v>0</v>
      </c>
      <c r="J47" s="36" t="str" cm="1">
        <f t="array" ref="J47">IF(I47,SUM(_xlfn.XLOOKUP(TRIM(_xlfn.TEXTSPLIT(SUBSTITUTE(H47," and ",","),",")),$B$36:$B$83,$C$36:$C$83)),"")</f>
        <v/>
      </c>
    </row>
    <row r="48" spans="2:10">
      <c r="B48" s="5" t="s">
        <v>119</v>
      </c>
      <c r="C48" s="36">
        <v>2150</v>
      </c>
      <c r="H48" s="5" t="s">
        <v>161</v>
      </c>
      <c r="I48" t="b" cm="1">
        <f t="array" ref="I48">AND(ISNUMBER(_xlfn.XLOOKUP(TRIM(_xlfn.TEXTSPLIT(SUBSTITUTE(H48," and ",","),",")),$B$36:$B$83,$C$36:$C$83)))</f>
        <v>0</v>
      </c>
      <c r="J48" s="36" t="str" cm="1">
        <f t="array" ref="J48">IF(I48,SUM(_xlfn.XLOOKUP(TRIM(_xlfn.TEXTSPLIT(SUBSTITUTE(H48," and ",","),",")),$B$36:$B$83,$C$36:$C$83)),"")</f>
        <v/>
      </c>
    </row>
    <row r="49" spans="2:10">
      <c r="B49" s="5" t="s">
        <v>120</v>
      </c>
      <c r="C49" s="36" t="s">
        <v>156</v>
      </c>
      <c r="H49" s="5" t="s">
        <v>147</v>
      </c>
      <c r="I49" t="b" cm="1">
        <f t="array" ref="I49">AND(ISNUMBER(_xlfn.XLOOKUP(TRIM(_xlfn.TEXTSPLIT(SUBSTITUTE(H49," and ",","),",")),$B$36:$B$83,$C$36:$C$83)))</f>
        <v>1</v>
      </c>
      <c r="J49" s="36" cm="1">
        <f t="array" ref="J49">IF(I49,SUM(_xlfn.XLOOKUP(TRIM(_xlfn.TEXTSPLIT(SUBSTITUTE(H49," and ",","),",")),$B$36:$B$83,$C$36:$C$83)),"")</f>
        <v>20300</v>
      </c>
    </row>
    <row r="50" spans="2:10">
      <c r="B50" s="5" t="s">
        <v>121</v>
      </c>
      <c r="C50" s="36">
        <v>1770</v>
      </c>
      <c r="H50" s="5" t="s">
        <v>160</v>
      </c>
      <c r="I50" t="b" cm="1">
        <f t="array" ref="I50">AND(ISNUMBER(_xlfn.XLOOKUP(TRIM(_xlfn.TEXTSPLIT(SUBSTITUTE(H50," and ",","),",")),$B$36:$B$83,$C$36:$C$83)))</f>
        <v>0</v>
      </c>
      <c r="J50" s="36" t="str" cm="1">
        <f t="array" ref="J50">IF(I50,SUM(_xlfn.XLOOKUP(TRIM(_xlfn.TEXTSPLIT(SUBSTITUTE(H50," and ",","),",")),$B$36:$B$83,$C$36:$C$83)),"")</f>
        <v/>
      </c>
    </row>
    <row r="51" spans="2:10">
      <c r="B51" s="5" t="s">
        <v>122</v>
      </c>
      <c r="C51" s="36">
        <v>0</v>
      </c>
      <c r="H51" s="5" t="s">
        <v>162</v>
      </c>
      <c r="I51" t="b" cm="1">
        <f t="array" ref="I51">AND(ISNUMBER(_xlfn.XLOOKUP(TRIM(_xlfn.TEXTSPLIT(SUBSTITUTE(H51," and ",","),",")),$B$36:$B$83,$C$36:$C$83)))</f>
        <v>0</v>
      </c>
      <c r="J51" s="36" t="str" cm="1">
        <f t="array" ref="J51">IF(I51,SUM(_xlfn.XLOOKUP(TRIM(_xlfn.TEXTSPLIT(SUBSTITUTE(H51," and ",","),",")),$B$36:$B$83,$C$36:$C$83)),"")</f>
        <v/>
      </c>
    </row>
    <row r="52" spans="2:10">
      <c r="B52" s="5" t="s">
        <v>123</v>
      </c>
      <c r="C52" s="36">
        <v>394</v>
      </c>
      <c r="H52" s="5" t="s">
        <v>168</v>
      </c>
      <c r="I52" t="b" cm="1">
        <f t="array" ref="I52">AND(ISNUMBER(_xlfn.XLOOKUP(TRIM(_xlfn.TEXTSPLIT(SUBSTITUTE(H52," and ",","),",")),$B$36:$B$83,$C$36:$C$83)))</f>
        <v>0</v>
      </c>
      <c r="J52" s="36" t="str" cm="1">
        <f t="array" ref="J52">IF(I52,SUM(_xlfn.XLOOKUP(TRIM(_xlfn.TEXTSPLIT(SUBSTITUTE(H52," and ",","),",")),$B$36:$B$83,$C$36:$C$83)),"")</f>
        <v/>
      </c>
    </row>
    <row r="53" spans="2:10">
      <c r="B53" s="5" t="s">
        <v>124</v>
      </c>
      <c r="C53" s="36">
        <v>3660</v>
      </c>
      <c r="H53" s="5" t="s">
        <v>110</v>
      </c>
      <c r="I53" t="b" cm="1">
        <f t="array" ref="I53">AND(ISNUMBER(_xlfn.XLOOKUP(TRIM(_xlfn.TEXTSPLIT(SUBSTITUTE(H53," and ",","),",")),$B$36:$B$83,$C$36:$C$83)))</f>
        <v>1</v>
      </c>
      <c r="J53" s="36" cm="1">
        <f t="array" ref="J53">IF(I53,SUM(_xlfn.XLOOKUP(TRIM(_xlfn.TEXTSPLIT(SUBSTITUTE(H53," and ",","),",")),$B$36:$B$83,$C$36:$C$83)),"")</f>
        <v>12300</v>
      </c>
    </row>
    <row r="54" spans="2:10">
      <c r="B54" s="5" t="s">
        <v>125</v>
      </c>
      <c r="C54" s="36">
        <v>0</v>
      </c>
      <c r="H54" s="5" t="s">
        <v>169</v>
      </c>
      <c r="I54" t="b" cm="1">
        <f t="array" ref="I54">AND(ISNUMBER(_xlfn.XLOOKUP(TRIM(_xlfn.TEXTSPLIT(SUBSTITUTE(H54," and ",","),",")),$B$36:$B$83,$C$36:$C$83)))</f>
        <v>0</v>
      </c>
      <c r="J54" s="36" t="str" cm="1">
        <f t="array" ref="J54">IF(I54,SUM(_xlfn.XLOOKUP(TRIM(_xlfn.TEXTSPLIT(SUBSTITUTE(H54," and ",","),",")),$B$36:$B$83,$C$36:$C$83)),"")</f>
        <v/>
      </c>
    </row>
    <row r="55" spans="2:10">
      <c r="B55" s="5" t="s">
        <v>126</v>
      </c>
      <c r="C55" s="36" t="s">
        <v>156</v>
      </c>
      <c r="H55" s="8" t="s">
        <v>155</v>
      </c>
      <c r="I55" s="38" t="s">
        <v>6</v>
      </c>
      <c r="J55" s="37">
        <f>C84</f>
        <v>110000</v>
      </c>
    </row>
    <row r="56" spans="2:10">
      <c r="B56" s="5" t="s">
        <v>127</v>
      </c>
      <c r="C56" s="36">
        <v>0</v>
      </c>
      <c r="H56" s="5" t="s">
        <v>272</v>
      </c>
    </row>
    <row r="57" spans="2:10">
      <c r="B57" s="5" t="s">
        <v>128</v>
      </c>
      <c r="C57" s="36">
        <v>0</v>
      </c>
    </row>
    <row r="58" spans="2:10">
      <c r="B58" s="5" t="s">
        <v>129</v>
      </c>
      <c r="C58" s="36">
        <v>11900</v>
      </c>
    </row>
    <row r="59" spans="2:10">
      <c r="B59" s="5" t="s">
        <v>130</v>
      </c>
      <c r="C59" s="36">
        <v>718</v>
      </c>
    </row>
    <row r="60" spans="2:10">
      <c r="B60" s="5" t="s">
        <v>131</v>
      </c>
      <c r="C60" s="36" t="s">
        <v>156</v>
      </c>
    </row>
    <row r="61" spans="2:10">
      <c r="B61" s="5" t="s">
        <v>132</v>
      </c>
      <c r="C61" s="36">
        <v>599</v>
      </c>
    </row>
    <row r="62" spans="2:10">
      <c r="B62" s="5" t="s">
        <v>133</v>
      </c>
      <c r="C62" s="36">
        <v>0</v>
      </c>
    </row>
    <row r="63" spans="2:10">
      <c r="B63" s="5" t="s">
        <v>134</v>
      </c>
      <c r="C63" s="36">
        <v>0</v>
      </c>
    </row>
    <row r="64" spans="2:10">
      <c r="B64" s="5" t="s">
        <v>135</v>
      </c>
      <c r="C64" s="36">
        <v>514</v>
      </c>
    </row>
    <row r="65" spans="2:3">
      <c r="B65" s="5" t="s">
        <v>136</v>
      </c>
      <c r="C65" s="36">
        <v>2150</v>
      </c>
    </row>
    <row r="66" spans="2:3">
      <c r="B66" s="5" t="s">
        <v>137</v>
      </c>
      <c r="C66" s="36">
        <v>0</v>
      </c>
    </row>
    <row r="67" spans="2:3">
      <c r="B67" s="5" t="s">
        <v>138</v>
      </c>
      <c r="C67" s="36">
        <v>0</v>
      </c>
    </row>
    <row r="68" spans="2:3">
      <c r="B68" s="5" t="s">
        <v>139</v>
      </c>
      <c r="C68" s="36">
        <v>1140</v>
      </c>
    </row>
    <row r="69" spans="2:3">
      <c r="B69" s="5" t="s">
        <v>140</v>
      </c>
      <c r="C69" s="36">
        <v>1890</v>
      </c>
    </row>
    <row r="70" spans="2:3">
      <c r="B70" s="5" t="s">
        <v>141</v>
      </c>
      <c r="C70" s="36" t="s">
        <v>156</v>
      </c>
    </row>
    <row r="71" spans="2:3">
      <c r="B71" s="5" t="s">
        <v>142</v>
      </c>
      <c r="C71" s="36">
        <v>5190</v>
      </c>
    </row>
    <row r="72" spans="2:3">
      <c r="B72" s="5" t="s">
        <v>143</v>
      </c>
      <c r="C72" s="36">
        <v>0</v>
      </c>
    </row>
    <row r="73" spans="2:3">
      <c r="B73" s="5" t="s">
        <v>144</v>
      </c>
      <c r="C73" s="36">
        <v>2060</v>
      </c>
    </row>
    <row r="74" spans="2:3">
      <c r="B74" s="5" t="s">
        <v>145</v>
      </c>
      <c r="C74" s="36" t="s">
        <v>156</v>
      </c>
    </row>
    <row r="75" spans="2:3">
      <c r="B75" s="5" t="s">
        <v>146</v>
      </c>
      <c r="C75" s="36" t="s">
        <v>156</v>
      </c>
    </row>
    <row r="76" spans="2:3">
      <c r="B76" s="5" t="s">
        <v>147</v>
      </c>
      <c r="C76" s="36">
        <v>20300</v>
      </c>
    </row>
    <row r="77" spans="2:3">
      <c r="B77" s="5" t="s">
        <v>148</v>
      </c>
      <c r="C77" s="36" t="s">
        <v>156</v>
      </c>
    </row>
    <row r="78" spans="2:3">
      <c r="B78" s="5" t="s">
        <v>149</v>
      </c>
      <c r="C78" s="36">
        <v>0</v>
      </c>
    </row>
    <row r="79" spans="2:3">
      <c r="B79" s="5" t="s">
        <v>150</v>
      </c>
      <c r="C79" s="36">
        <v>1460</v>
      </c>
    </row>
    <row r="80" spans="2:3">
      <c r="B80" s="5" t="s">
        <v>151</v>
      </c>
      <c r="C80" s="36">
        <v>637</v>
      </c>
    </row>
    <row r="81" spans="1:19">
      <c r="B81" s="5" t="s">
        <v>152</v>
      </c>
      <c r="C81" s="36" t="s">
        <v>156</v>
      </c>
    </row>
    <row r="82" spans="1:19">
      <c r="B82" s="5" t="s">
        <v>153</v>
      </c>
      <c r="C82" s="36">
        <v>0</v>
      </c>
    </row>
    <row r="83" spans="1:19">
      <c r="B83" s="5" t="s">
        <v>154</v>
      </c>
      <c r="C83" s="36" t="s">
        <v>156</v>
      </c>
    </row>
    <row r="84" spans="1:19">
      <c r="B84" s="8" t="s">
        <v>155</v>
      </c>
      <c r="C84" s="47">
        <v>110000</v>
      </c>
    </row>
    <row r="85" spans="1:19">
      <c r="B85" s="12" t="s">
        <v>157</v>
      </c>
    </row>
    <row r="87" spans="1:19">
      <c r="A87" s="1"/>
      <c r="B87" s="1"/>
      <c r="C87" s="1"/>
      <c r="D87" s="1"/>
      <c r="E87" s="1"/>
      <c r="F87" s="1"/>
      <c r="G87" s="1"/>
      <c r="H87" s="1"/>
      <c r="I87" s="1"/>
      <c r="J87" s="1"/>
      <c r="K87" s="1"/>
      <c r="L87" s="1"/>
      <c r="M87" s="1"/>
      <c r="N87" s="1"/>
      <c r="O87" s="1"/>
      <c r="P87" s="1"/>
      <c r="Q87" s="1"/>
      <c r="R87" s="1"/>
      <c r="S87" s="1"/>
    </row>
    <row r="89" spans="1:19" ht="24">
      <c r="B89" s="3" t="s">
        <v>176</v>
      </c>
    </row>
    <row r="90" spans="1:19" ht="19">
      <c r="B90" s="27" t="s">
        <v>179</v>
      </c>
      <c r="H90" s="27" t="s">
        <v>274</v>
      </c>
    </row>
    <row r="91" spans="1:19">
      <c r="B91" s="14" t="s">
        <v>104</v>
      </c>
      <c r="C91" s="16" t="s">
        <v>177</v>
      </c>
      <c r="H91" s="14" t="s">
        <v>104</v>
      </c>
      <c r="I91" s="16" t="s">
        <v>177</v>
      </c>
    </row>
    <row r="92" spans="1:19">
      <c r="B92" s="19" t="s">
        <v>166</v>
      </c>
      <c r="C92" s="39">
        <v>1944</v>
      </c>
      <c r="H92" s="5" t="s">
        <v>166</v>
      </c>
      <c r="I92" s="36" cm="1">
        <f t="array" ref="I92">SUMPRODUCT(ISNUMBER(SEARCH(H92,$B$92:$B$113))*$C$92:$C$113)</f>
        <v>1944</v>
      </c>
    </row>
    <row r="93" spans="1:19">
      <c r="B93" s="19" t="s">
        <v>142</v>
      </c>
      <c r="C93" s="39">
        <v>3450</v>
      </c>
      <c r="H93" s="5" t="s">
        <v>142</v>
      </c>
      <c r="I93" s="36" cm="1">
        <f t="array" ref="I93">SUMPRODUCT(ISNUMBER(SEARCH(H93,$B$92:$B$113))*$C$92:$C$113)</f>
        <v>3450</v>
      </c>
    </row>
    <row r="94" spans="1:19">
      <c r="B94" s="19" t="s">
        <v>117</v>
      </c>
      <c r="C94" s="39">
        <v>1329</v>
      </c>
      <c r="H94" s="5" t="s">
        <v>117</v>
      </c>
      <c r="I94" s="36" cm="1">
        <f t="array" ref="I94">SUMPRODUCT(ISNUMBER(SEARCH(H94,$B$92:$B$113))*$C$92:$C$113)</f>
        <v>1329</v>
      </c>
    </row>
    <row r="95" spans="1:19">
      <c r="B95" s="19" t="s">
        <v>164</v>
      </c>
      <c r="C95" s="39">
        <v>3842</v>
      </c>
      <c r="H95" s="5" t="s">
        <v>164</v>
      </c>
      <c r="I95" s="36" cm="1">
        <f t="array" ref="I95">SUMPRODUCT(ISNUMBER(SEARCH(H95,$B$92:$B$113))*$C$92:$C$113)</f>
        <v>3842</v>
      </c>
    </row>
    <row r="96" spans="1:19">
      <c r="B96" s="19" t="s">
        <v>167</v>
      </c>
      <c r="C96" s="39">
        <v>4778</v>
      </c>
      <c r="H96" s="5" t="s">
        <v>167</v>
      </c>
      <c r="I96" s="36" cm="1">
        <f t="array" ref="I96">SUMPRODUCT(ISNUMBER(SEARCH(H96,$B$92:$B$113))*$C$92:$C$113)</f>
        <v>4778</v>
      </c>
    </row>
    <row r="97" spans="2:9">
      <c r="B97" s="19" t="s">
        <v>165</v>
      </c>
      <c r="C97" s="39">
        <v>3588</v>
      </c>
      <c r="H97" s="5" t="s">
        <v>165</v>
      </c>
      <c r="I97" s="36" cm="1">
        <f t="array" ref="I97">SUMPRODUCT(ISNUMBER(SEARCH(H97,$B$92:$B$113))*$C$92:$C$113)</f>
        <v>3588</v>
      </c>
    </row>
    <row r="98" spans="2:9">
      <c r="B98" s="19" t="s">
        <v>120</v>
      </c>
      <c r="C98" s="39">
        <v>2778</v>
      </c>
      <c r="H98" s="5" t="s">
        <v>120</v>
      </c>
      <c r="I98" s="36" cm="1">
        <f t="array" ref="I98">SUMPRODUCT(ISNUMBER(SEARCH(H98,$B$92:$B$113))*$C$92:$C$113)</f>
        <v>5012</v>
      </c>
    </row>
    <row r="99" spans="2:9">
      <c r="B99" s="19" t="s">
        <v>129</v>
      </c>
      <c r="C99" s="39">
        <v>9860</v>
      </c>
      <c r="H99" s="5" t="s">
        <v>129</v>
      </c>
      <c r="I99" s="36" cm="1">
        <f t="array" ref="I99">SUMPRODUCT(ISNUMBER(SEARCH(H99,$B$92:$B$113))*$C$92:$C$113)</f>
        <v>9860</v>
      </c>
    </row>
    <row r="100" spans="2:9">
      <c r="B100" s="19" t="s">
        <v>114</v>
      </c>
      <c r="C100" s="39">
        <v>6371</v>
      </c>
      <c r="H100" s="5" t="s">
        <v>114</v>
      </c>
      <c r="I100" s="36" cm="1">
        <f t="array" ref="I100">SUMPRODUCT(ISNUMBER(SEARCH(H100,$B$92:$B$113))*$C$92:$C$113)</f>
        <v>6371</v>
      </c>
    </row>
    <row r="101" spans="2:9">
      <c r="B101" s="19" t="s">
        <v>163</v>
      </c>
      <c r="C101" s="39">
        <v>6000</v>
      </c>
      <c r="H101" s="5" t="s">
        <v>163</v>
      </c>
      <c r="I101" s="36" cm="1">
        <f t="array" ref="I101">SUMPRODUCT(ISNUMBER(SEARCH(H101,$B$92:$B$113))*$C$92:$C$113)</f>
        <v>6000</v>
      </c>
    </row>
    <row r="102" spans="2:9">
      <c r="B102" s="19" t="s">
        <v>144</v>
      </c>
      <c r="C102" s="39">
        <v>2931</v>
      </c>
      <c r="H102" s="5" t="s">
        <v>144</v>
      </c>
      <c r="I102" s="36" cm="1">
        <f t="array" ref="I102">SUMPRODUCT(ISNUMBER(SEARCH(H102,$B$92:$B$113))*$C$92:$C$113)</f>
        <v>2931</v>
      </c>
    </row>
    <row r="103" spans="2:9">
      <c r="B103" s="19" t="s">
        <v>159</v>
      </c>
      <c r="C103" s="39">
        <v>7893</v>
      </c>
      <c r="H103" s="5" t="s">
        <v>159</v>
      </c>
      <c r="I103" s="36" cm="1">
        <f t="array" ref="I103">SUMPRODUCT(ISNUMBER(SEARCH(H103,$B$92:$B$113))*$C$92:$C$113)</f>
        <v>7893</v>
      </c>
    </row>
    <row r="104" spans="2:9">
      <c r="B104" s="19" t="s">
        <v>161</v>
      </c>
      <c r="C104" s="39">
        <v>2234</v>
      </c>
      <c r="H104" s="5" t="s">
        <v>161</v>
      </c>
      <c r="I104" s="36" cm="1">
        <f t="array" ref="I104">SUMPRODUCT(ISNUMBER(SEARCH(H104,$B$92:$B$113))*$C$92:$C$113)</f>
        <v>2234</v>
      </c>
    </row>
    <row r="105" spans="2:9">
      <c r="B105" s="19" t="s">
        <v>170</v>
      </c>
      <c r="C105" s="39">
        <v>6150</v>
      </c>
      <c r="H105" s="5" t="s">
        <v>147</v>
      </c>
      <c r="I105" s="36" cm="1">
        <f t="array" ref="I105">SUMPRODUCT(ISNUMBER(SEARCH(H105,$B$92:$B$113))*$C$92:$C$113)</f>
        <v>11740</v>
      </c>
    </row>
    <row r="106" spans="2:9">
      <c r="B106" s="19" t="s">
        <v>171</v>
      </c>
      <c r="C106" s="39">
        <v>5590</v>
      </c>
      <c r="H106" s="5" t="s">
        <v>160</v>
      </c>
      <c r="I106" s="36" cm="1">
        <f t="array" ref="I106">SUMPRODUCT(ISNUMBER(SEARCH(H106,$B$92:$B$113))*$C$92:$C$113)</f>
        <v>3037</v>
      </c>
    </row>
    <row r="107" spans="2:9">
      <c r="B107" s="19" t="s">
        <v>160</v>
      </c>
      <c r="C107" s="39">
        <v>3037</v>
      </c>
      <c r="H107" s="5" t="s">
        <v>162</v>
      </c>
      <c r="I107" s="36" cm="1">
        <f t="array" ref="I107">SUMPRODUCT(ISNUMBER(SEARCH(H107,$B$92:$B$113))*$C$92:$C$113)</f>
        <v>2811</v>
      </c>
    </row>
    <row r="108" spans="2:9">
      <c r="B108" s="19" t="s">
        <v>162</v>
      </c>
      <c r="C108" s="39">
        <v>2811</v>
      </c>
      <c r="H108" s="5" t="s">
        <v>168</v>
      </c>
      <c r="I108" s="36" cm="1">
        <f t="array" ref="I108">SUMPRODUCT(ISNUMBER(SEARCH(H108,$B$92:$B$113))*$C$92:$C$113)</f>
        <v>2450</v>
      </c>
    </row>
    <row r="109" spans="2:9">
      <c r="B109" s="19" t="s">
        <v>168</v>
      </c>
      <c r="C109" s="39">
        <v>2450</v>
      </c>
      <c r="H109" s="5" t="s">
        <v>110</v>
      </c>
      <c r="I109" s="36" cm="1">
        <f t="array" ref="I109">SUMPRODUCT(ISNUMBER(SEARCH(H109,$B$92:$B$113))*$C$92:$C$113)</f>
        <v>8940</v>
      </c>
    </row>
    <row r="110" spans="2:9">
      <c r="B110" s="19" t="s">
        <v>172</v>
      </c>
      <c r="C110" s="39">
        <v>0</v>
      </c>
      <c r="H110" s="5" t="s">
        <v>169</v>
      </c>
      <c r="I110" s="36" cm="1">
        <f t="array" ref="I110">SUMPRODUCT(ISNUMBER(SEARCH(H110,$B$92:$B$113))*$C$92:$C$113)</f>
        <v>1458</v>
      </c>
    </row>
    <row r="111" spans="2:9">
      <c r="B111" s="19" t="s">
        <v>110</v>
      </c>
      <c r="C111" s="39">
        <v>8940</v>
      </c>
      <c r="H111" s="8" t="s">
        <v>155</v>
      </c>
      <c r="I111" s="37">
        <f>C113</f>
        <v>87434</v>
      </c>
    </row>
    <row r="112" spans="2:9">
      <c r="B112" s="19" t="s">
        <v>169</v>
      </c>
      <c r="C112" s="39">
        <v>1458</v>
      </c>
    </row>
    <row r="113" spans="1:19">
      <c r="B113" s="40" t="s">
        <v>155</v>
      </c>
      <c r="C113" s="41">
        <f>SUM(C92:C112)</f>
        <v>87434</v>
      </c>
    </row>
    <row r="114" spans="1:19">
      <c r="B114" s="13" t="s">
        <v>178</v>
      </c>
    </row>
    <row r="115" spans="1:19">
      <c r="B115" s="20"/>
    </row>
    <row r="116" spans="1:19">
      <c r="A116" s="1"/>
      <c r="B116" s="1"/>
      <c r="C116" s="1"/>
      <c r="D116" s="1"/>
      <c r="E116" s="1"/>
      <c r="F116" s="1"/>
      <c r="G116" s="1"/>
      <c r="H116" s="1"/>
      <c r="I116" s="1"/>
      <c r="J116" s="1"/>
      <c r="K116" s="1"/>
      <c r="L116" s="1"/>
      <c r="M116" s="1"/>
      <c r="N116" s="1"/>
      <c r="O116" s="1"/>
      <c r="P116" s="1"/>
      <c r="Q116" s="1"/>
      <c r="R116" s="1"/>
      <c r="S116" s="1"/>
    </row>
    <row r="118" spans="1:19" ht="24">
      <c r="B118" s="3" t="s">
        <v>180</v>
      </c>
    </row>
    <row r="119" spans="1:19" ht="19">
      <c r="B119" s="27" t="s">
        <v>271</v>
      </c>
      <c r="H119" s="27" t="s">
        <v>275</v>
      </c>
    </row>
    <row r="120" spans="1:19" ht="18">
      <c r="B120" s="14" t="s">
        <v>181</v>
      </c>
      <c r="C120" s="15" t="s">
        <v>269</v>
      </c>
      <c r="D120" s="16" t="s">
        <v>182</v>
      </c>
      <c r="H120" s="14" t="s">
        <v>104</v>
      </c>
      <c r="I120" s="16" t="s">
        <v>285</v>
      </c>
    </row>
    <row r="121" spans="1:19">
      <c r="B121" s="5" t="s">
        <v>183</v>
      </c>
      <c r="C121" t="s">
        <v>147</v>
      </c>
      <c r="D121" s="36">
        <v>787292</v>
      </c>
      <c r="H121" s="5" t="s">
        <v>166</v>
      </c>
      <c r="I121" s="36" cm="1">
        <f t="array" ref="I121">SUMPRODUCT(ISNUMBER(MATCH($C$121:$C$210,TRIM(_xlfn.TEXTSPLIT(SUBSTITUTE(H121," and ",","),",")),0))*$D$121:$D$210)</f>
        <v>1419236</v>
      </c>
    </row>
    <row r="122" spans="1:19">
      <c r="B122" s="5" t="s">
        <v>184</v>
      </c>
      <c r="C122" t="s">
        <v>114</v>
      </c>
      <c r="D122" s="36">
        <v>873429</v>
      </c>
      <c r="H122" s="5" t="s">
        <v>142</v>
      </c>
      <c r="I122" s="36" cm="1">
        <f t="array" ref="I122">SUMPRODUCT(ISNUMBER(MATCH($C$121:$C$210,TRIM(_xlfn.TEXTSPLIT(SUBSTITUTE(H122," and ",","),",")),0))*$D$121:$D$210)</f>
        <v>2934594</v>
      </c>
    </row>
    <row r="123" spans="1:19">
      <c r="B123" s="5" t="s">
        <v>185</v>
      </c>
      <c r="C123" t="s">
        <v>144</v>
      </c>
      <c r="D123" s="36">
        <v>617861</v>
      </c>
      <c r="H123" s="5" t="s">
        <v>117</v>
      </c>
      <c r="I123" s="36" cm="1">
        <f t="array" ref="I123">SUMPRODUCT(ISNUMBER(MATCH($C$121:$C$210,TRIM(_xlfn.TEXTSPLIT(SUBSTITUTE(H123," and ",","),",")),0))*$D$121:$D$210)</f>
        <v>1142298</v>
      </c>
    </row>
    <row r="124" spans="1:19">
      <c r="B124" s="5" t="s">
        <v>186</v>
      </c>
      <c r="C124" t="s">
        <v>107</v>
      </c>
      <c r="D124" s="36">
        <v>1058822</v>
      </c>
      <c r="H124" s="5" t="s">
        <v>164</v>
      </c>
      <c r="I124" s="36" cm="1">
        <f t="array" ref="I124">SUMPRODUCT(ISNUMBER(MATCH($C$121:$C$210,TRIM(_xlfn.TEXTSPLIT(SUBSTITUTE(H124," and ",","),",")),0))*$D$121:$D$210)</f>
        <v>3285382</v>
      </c>
    </row>
    <row r="125" spans="1:19">
      <c r="B125" s="5" t="s">
        <v>187</v>
      </c>
      <c r="C125" t="s">
        <v>152</v>
      </c>
      <c r="D125" s="36">
        <v>846192</v>
      </c>
      <c r="H125" s="5" t="s">
        <v>167</v>
      </c>
      <c r="I125" s="36" cm="1">
        <f t="array" ref="I125">SUMPRODUCT(ISNUMBER(MATCH($C$121:$C$210,TRIM(_xlfn.TEXTSPLIT(SUBSTITUTE(H125," and ",","),",")),0))*$D$121:$D$210)</f>
        <v>3198425</v>
      </c>
    </row>
    <row r="126" spans="1:19">
      <c r="B126" s="5" t="s">
        <v>188</v>
      </c>
      <c r="C126" t="s">
        <v>142</v>
      </c>
      <c r="D126" s="36">
        <v>184561</v>
      </c>
      <c r="H126" s="5" t="s">
        <v>165</v>
      </c>
      <c r="I126" s="36" cm="1">
        <f t="array" ref="I126">SUMPRODUCT(ISNUMBER(MATCH($C$121:$C$210,TRIM(_xlfn.TEXTSPLIT(SUBSTITUTE(H126," and ",","),",")),0))*$D$121:$D$210)</f>
        <v>2798493</v>
      </c>
    </row>
    <row r="127" spans="1:19">
      <c r="B127" s="5" t="s">
        <v>189</v>
      </c>
      <c r="C127" t="s">
        <v>120</v>
      </c>
      <c r="D127" s="36">
        <v>1299990</v>
      </c>
      <c r="H127" s="5" t="s">
        <v>120</v>
      </c>
      <c r="I127" s="36" cm="1">
        <f t="array" ref="I127">SUMPRODUCT(ISNUMBER(MATCH($C$121:$C$210,TRIM(_xlfn.TEXTSPLIT(SUBSTITUTE(H127," and ",","),",")),0))*$D$121:$D$210)</f>
        <v>2239671</v>
      </c>
    </row>
    <row r="128" spans="1:19">
      <c r="B128" s="5" t="s">
        <v>190</v>
      </c>
      <c r="C128" t="s">
        <v>147</v>
      </c>
      <c r="D128" s="36">
        <v>642168</v>
      </c>
      <c r="H128" s="5" t="s">
        <v>129</v>
      </c>
      <c r="I128" s="36" cm="1">
        <f t="array" ref="I128">SUMPRODUCT(ISNUMBER(MATCH($C$121:$C$210,TRIM(_xlfn.TEXTSPLIT(SUBSTITUTE(H128," and ",","),",")),0))*$D$121:$D$210)</f>
        <v>6864697</v>
      </c>
    </row>
    <row r="129" spans="2:9">
      <c r="B129" s="5" t="s">
        <v>191</v>
      </c>
      <c r="C129" t="s">
        <v>141</v>
      </c>
      <c r="D129" s="36">
        <v>580299</v>
      </c>
      <c r="H129" s="5" t="s">
        <v>114</v>
      </c>
      <c r="I129" s="36" cm="1">
        <f t="array" ref="I129">SUMPRODUCT(ISNUMBER(MATCH($C$121:$C$210,TRIM(_xlfn.TEXTSPLIT(SUBSTITUTE(H129," and ",","),",")),0))*$D$121:$D$210)</f>
        <v>4223240</v>
      </c>
    </row>
    <row r="130" spans="2:9">
      <c r="B130" s="5" t="s">
        <v>192</v>
      </c>
      <c r="C130" t="s">
        <v>148</v>
      </c>
      <c r="D130" s="36">
        <v>548943</v>
      </c>
      <c r="H130" s="5" t="s">
        <v>163</v>
      </c>
      <c r="I130" s="36" cm="1">
        <f t="array" ref="I130">SUMPRODUCT(ISNUMBER(MATCH($C$121:$C$210,TRIM(_xlfn.TEXTSPLIT(SUBSTITUTE(H130," and ",","),",")),0))*$D$121:$D$210)</f>
        <v>4368519</v>
      </c>
    </row>
    <row r="131" spans="2:9">
      <c r="B131" s="5" t="s">
        <v>193</v>
      </c>
      <c r="C131" t="s">
        <v>131</v>
      </c>
      <c r="D131" s="36">
        <v>612375</v>
      </c>
      <c r="H131" s="5" t="s">
        <v>144</v>
      </c>
      <c r="I131" s="36" cm="1">
        <f t="array" ref="I131">SUMPRODUCT(ISNUMBER(MATCH($C$121:$C$210,TRIM(_xlfn.TEXTSPLIT(SUBSTITUTE(H131," and ",","),",")),0))*$D$121:$D$210)</f>
        <v>2322955</v>
      </c>
    </row>
    <row r="132" spans="2:9">
      <c r="B132" s="5" t="s">
        <v>194</v>
      </c>
      <c r="C132" t="s">
        <v>130</v>
      </c>
      <c r="D132" s="36">
        <v>323958</v>
      </c>
      <c r="H132" s="5" t="s">
        <v>159</v>
      </c>
      <c r="I132" s="36" cm="1">
        <f t="array" ref="I132">SUMPRODUCT(ISNUMBER(MATCH($C$121:$C$210,TRIM(_xlfn.TEXTSPLIT(SUBSTITUTE(H132," and ",","),",")),0))*$D$121:$D$210)</f>
        <v>6230375</v>
      </c>
    </row>
    <row r="133" spans="2:9">
      <c r="B133" s="5" t="s">
        <v>195</v>
      </c>
      <c r="C133" t="s">
        <v>151</v>
      </c>
      <c r="D133" s="36">
        <v>367651</v>
      </c>
      <c r="H133" s="5" t="s">
        <v>161</v>
      </c>
      <c r="I133" s="36" cm="1">
        <f t="array" ref="I133">SUMPRODUCT(ISNUMBER(MATCH($C$121:$C$210,TRIM(_xlfn.TEXTSPLIT(SUBSTITUTE(H133," and ",","),",")),0))*$D$121:$D$210)</f>
        <v>2065476</v>
      </c>
    </row>
    <row r="134" spans="2:9">
      <c r="B134" s="5" t="s">
        <v>196</v>
      </c>
      <c r="C134" t="s">
        <v>109</v>
      </c>
      <c r="D134" s="36">
        <v>884375</v>
      </c>
      <c r="H134" s="5" t="s">
        <v>147</v>
      </c>
      <c r="I134" s="36" cm="1">
        <f t="array" ref="I134">SUMPRODUCT(ISNUMBER(MATCH($C$121:$C$210,TRIM(_xlfn.TEXTSPLIT(SUBSTITUTE(H134," and ",","),",")),0))*$D$121:$D$210)</f>
        <v>8749623</v>
      </c>
    </row>
    <row r="135" spans="2:9">
      <c r="B135" s="5" t="s">
        <v>197</v>
      </c>
      <c r="C135" t="s">
        <v>114</v>
      </c>
      <c r="D135" s="36">
        <v>746907</v>
      </c>
      <c r="H135" s="5" t="s">
        <v>160</v>
      </c>
      <c r="I135" s="36" cm="1">
        <f t="array" ref="I135">SUMPRODUCT(ISNUMBER(MATCH($C$121:$C$210,TRIM(_xlfn.TEXTSPLIT(SUBSTITUTE(H135," and ",","),",")),0))*$D$121:$D$210)</f>
        <v>2345226</v>
      </c>
    </row>
    <row r="136" spans="2:9">
      <c r="B136" s="5" t="s">
        <v>198</v>
      </c>
      <c r="C136" t="s">
        <v>110</v>
      </c>
      <c r="D136" s="36">
        <v>991489</v>
      </c>
      <c r="H136" s="5" t="s">
        <v>162</v>
      </c>
      <c r="I136" s="36" cm="1">
        <f t="array" ref="I136">SUMPRODUCT(ISNUMBER(MATCH($C$121:$C$210,TRIM(_xlfn.TEXTSPLIT(SUBSTITUTE(H136," and ",","),",")),0))*$D$121:$D$210)</f>
        <v>2126767</v>
      </c>
    </row>
    <row r="137" spans="2:9">
      <c r="B137" s="5" t="s">
        <v>199</v>
      </c>
      <c r="C137" t="s">
        <v>110</v>
      </c>
      <c r="D137" s="36">
        <v>1424150</v>
      </c>
      <c r="H137" s="5" t="s">
        <v>168</v>
      </c>
      <c r="I137" s="36" cm="1">
        <f t="array" ref="I137">SUMPRODUCT(ISNUMBER(MATCH($C$121:$C$210,TRIM(_xlfn.TEXTSPLIT(SUBSTITUTE(H137," and ",","),",")),0))*$D$121:$D$210)</f>
        <v>2087707</v>
      </c>
    </row>
    <row r="138" spans="2:9">
      <c r="B138" s="5" t="s">
        <v>200</v>
      </c>
      <c r="C138" t="s">
        <v>108</v>
      </c>
      <c r="D138" s="36">
        <v>789422</v>
      </c>
      <c r="H138" s="5" t="s">
        <v>110</v>
      </c>
      <c r="I138" s="36" cm="1">
        <f t="array" ref="I138">SUMPRODUCT(ISNUMBER(MATCH($C$121:$C$210,TRIM(_xlfn.TEXTSPLIT(SUBSTITUTE(H138," and ",","),",")),0))*$D$121:$D$210)</f>
        <v>7295297</v>
      </c>
    </row>
    <row r="139" spans="2:9">
      <c r="B139" s="5" t="s">
        <v>201</v>
      </c>
      <c r="C139" t="s">
        <v>110</v>
      </c>
      <c r="D139" s="36">
        <v>372759</v>
      </c>
      <c r="H139" s="5" t="s">
        <v>169</v>
      </c>
      <c r="I139" s="36" cm="1">
        <f t="array" ref="I139">SUMPRODUCT(ISNUMBER(MATCH($C$121:$C$210,TRIM(_xlfn.TEXTSPLIT(SUBSTITUTE(H139," and ",","),",")),0))*$D$121:$D$210)</f>
        <v>947950</v>
      </c>
    </row>
    <row r="140" spans="2:9">
      <c r="B140" s="5" t="s">
        <v>202</v>
      </c>
      <c r="C140" t="s">
        <v>147</v>
      </c>
      <c r="D140" s="36">
        <v>492032</v>
      </c>
      <c r="H140" s="8" t="s">
        <v>155</v>
      </c>
      <c r="I140" s="37">
        <f>SUM(D121:D210)</f>
        <v>66645931</v>
      </c>
    </row>
    <row r="141" spans="2:9">
      <c r="B141" s="5" t="s">
        <v>203</v>
      </c>
      <c r="C141" t="s">
        <v>146</v>
      </c>
      <c r="D141" s="36">
        <v>441463</v>
      </c>
    </row>
    <row r="142" spans="2:9">
      <c r="B142" s="5" t="s">
        <v>204</v>
      </c>
      <c r="C142" t="s">
        <v>110</v>
      </c>
      <c r="D142" s="36">
        <v>1951045</v>
      </c>
    </row>
    <row r="143" spans="2:9">
      <c r="B143" s="5" t="s">
        <v>205</v>
      </c>
      <c r="C143" t="s">
        <v>111</v>
      </c>
      <c r="D143" s="36">
        <v>243722</v>
      </c>
    </row>
    <row r="144" spans="2:9">
      <c r="B144" s="5" t="s">
        <v>206</v>
      </c>
      <c r="C144" t="s">
        <v>147</v>
      </c>
      <c r="D144" s="36">
        <v>1122560</v>
      </c>
    </row>
    <row r="145" spans="2:4">
      <c r="B145" s="5" t="s">
        <v>207</v>
      </c>
      <c r="C145" t="s">
        <v>114</v>
      </c>
      <c r="D145" s="36">
        <v>581354</v>
      </c>
    </row>
    <row r="146" spans="2:4">
      <c r="B146" s="5" t="s">
        <v>208</v>
      </c>
      <c r="C146" t="s">
        <v>115</v>
      </c>
      <c r="D146" s="36">
        <v>405369</v>
      </c>
    </row>
    <row r="147" spans="2:4">
      <c r="B147" s="5" t="s">
        <v>209</v>
      </c>
      <c r="C147" t="s">
        <v>107</v>
      </c>
      <c r="D147" s="36">
        <v>520546</v>
      </c>
    </row>
    <row r="148" spans="2:4">
      <c r="B148" s="5" t="s">
        <v>210</v>
      </c>
      <c r="C148" t="s">
        <v>140</v>
      </c>
      <c r="D148" s="36">
        <v>494937</v>
      </c>
    </row>
    <row r="149" spans="2:4">
      <c r="B149" s="5" t="s">
        <v>211</v>
      </c>
      <c r="C149" t="s">
        <v>129</v>
      </c>
      <c r="D149" s="36">
        <v>780363</v>
      </c>
    </row>
    <row r="150" spans="2:4">
      <c r="B150" s="5" t="s">
        <v>212</v>
      </c>
      <c r="C150" t="s">
        <v>129</v>
      </c>
      <c r="D150" s="36">
        <v>548811</v>
      </c>
    </row>
    <row r="151" spans="2:4">
      <c r="B151" s="5" t="s">
        <v>213</v>
      </c>
      <c r="C151" t="s">
        <v>119</v>
      </c>
      <c r="D151" s="36">
        <v>841277</v>
      </c>
    </row>
    <row r="152" spans="2:4">
      <c r="B152" s="5" t="s">
        <v>214</v>
      </c>
      <c r="C152" t="s">
        <v>123</v>
      </c>
      <c r="D152" s="36">
        <v>236953</v>
      </c>
    </row>
    <row r="153" spans="2:4">
      <c r="B153" s="5" t="s">
        <v>215</v>
      </c>
      <c r="C153" t="s">
        <v>108</v>
      </c>
      <c r="D153" s="36">
        <v>483450</v>
      </c>
    </row>
    <row r="154" spans="2:4">
      <c r="B154" s="5" t="s">
        <v>216</v>
      </c>
      <c r="C154" t="s">
        <v>139</v>
      </c>
      <c r="D154" s="36">
        <v>478200</v>
      </c>
    </row>
    <row r="155" spans="2:4">
      <c r="B155" s="5" t="s">
        <v>217</v>
      </c>
      <c r="C155" t="s">
        <v>145</v>
      </c>
      <c r="D155" s="36">
        <v>825771</v>
      </c>
    </row>
    <row r="156" spans="2:4">
      <c r="B156" s="5" t="s">
        <v>218</v>
      </c>
      <c r="C156" t="s">
        <v>147</v>
      </c>
      <c r="D156" s="36">
        <v>309171</v>
      </c>
    </row>
    <row r="157" spans="2:4">
      <c r="B157" s="5" t="s">
        <v>219</v>
      </c>
      <c r="C157" t="s">
        <v>111</v>
      </c>
      <c r="D157" s="36">
        <v>623704</v>
      </c>
    </row>
    <row r="158" spans="2:4">
      <c r="B158" s="5" t="s">
        <v>220</v>
      </c>
      <c r="C158" t="s">
        <v>135</v>
      </c>
      <c r="D158" s="36">
        <v>304227</v>
      </c>
    </row>
    <row r="159" spans="2:4">
      <c r="B159" s="5" t="s">
        <v>221</v>
      </c>
      <c r="C159" t="s">
        <v>144</v>
      </c>
      <c r="D159" s="36">
        <v>499783</v>
      </c>
    </row>
    <row r="160" spans="2:4">
      <c r="B160" s="5" t="s">
        <v>222</v>
      </c>
      <c r="C160" t="s">
        <v>118</v>
      </c>
      <c r="D160" s="36">
        <v>444881</v>
      </c>
    </row>
    <row r="161" spans="2:4">
      <c r="B161" s="5" t="s">
        <v>223</v>
      </c>
      <c r="C161" t="s">
        <v>142</v>
      </c>
      <c r="D161" s="36">
        <v>583943</v>
      </c>
    </row>
    <row r="162" spans="2:4">
      <c r="B162" s="5" t="s">
        <v>224</v>
      </c>
      <c r="C162" t="s">
        <v>136</v>
      </c>
      <c r="D162" s="36">
        <v>61388</v>
      </c>
    </row>
    <row r="163" spans="2:4">
      <c r="B163" s="5" t="s">
        <v>224</v>
      </c>
      <c r="C163" t="s">
        <v>118</v>
      </c>
      <c r="D163" s="36">
        <v>67822</v>
      </c>
    </row>
    <row r="164" spans="2:4">
      <c r="B164" s="5" t="s">
        <v>224</v>
      </c>
      <c r="C164" t="s">
        <v>124</v>
      </c>
      <c r="D164" s="36">
        <v>1857878</v>
      </c>
    </row>
    <row r="165" spans="2:4">
      <c r="B165" s="5" t="s">
        <v>224</v>
      </c>
      <c r="C165" t="s">
        <v>118</v>
      </c>
      <c r="D165" s="36">
        <v>833267</v>
      </c>
    </row>
    <row r="166" spans="2:4">
      <c r="B166" s="5" t="s">
        <v>225</v>
      </c>
      <c r="C166" t="s">
        <v>142</v>
      </c>
      <c r="D166" s="36">
        <v>646387</v>
      </c>
    </row>
    <row r="167" spans="2:4">
      <c r="B167" s="5" t="s">
        <v>226</v>
      </c>
      <c r="C167" t="s">
        <v>142</v>
      </c>
      <c r="D167" s="36">
        <v>456577</v>
      </c>
    </row>
    <row r="168" spans="2:4">
      <c r="B168" s="5" t="s">
        <v>227</v>
      </c>
      <c r="C168" t="s">
        <v>107</v>
      </c>
      <c r="D168" s="36">
        <v>522543</v>
      </c>
    </row>
    <row r="169" spans="2:4">
      <c r="B169" s="5" t="s">
        <v>228</v>
      </c>
      <c r="C169" t="s">
        <v>140</v>
      </c>
      <c r="D169" s="36">
        <v>429907</v>
      </c>
    </row>
    <row r="170" spans="2:4">
      <c r="B170" s="5" t="s">
        <v>229</v>
      </c>
      <c r="C170" t="s">
        <v>147</v>
      </c>
      <c r="D170" s="36">
        <v>1253349</v>
      </c>
    </row>
    <row r="171" spans="2:4">
      <c r="B171" s="5" t="s">
        <v>229</v>
      </c>
      <c r="C171" t="s">
        <v>107</v>
      </c>
      <c r="D171" s="36">
        <v>615636</v>
      </c>
    </row>
    <row r="172" spans="2:4">
      <c r="B172" s="5" t="s">
        <v>230</v>
      </c>
      <c r="C172" t="s">
        <v>144</v>
      </c>
      <c r="D172" s="36">
        <v>1205311</v>
      </c>
    </row>
    <row r="173" spans="2:4">
      <c r="B173" s="5" t="s">
        <v>231</v>
      </c>
      <c r="C173" t="s">
        <v>124</v>
      </c>
      <c r="D173" s="36">
        <v>451527</v>
      </c>
    </row>
    <row r="174" spans="2:4">
      <c r="B174" s="5" t="s">
        <v>232</v>
      </c>
      <c r="C174" t="s">
        <v>126</v>
      </c>
      <c r="D174" s="36">
        <v>1769013</v>
      </c>
    </row>
    <row r="175" spans="2:4">
      <c r="B175" s="5" t="s">
        <v>233</v>
      </c>
      <c r="C175" t="s">
        <v>148</v>
      </c>
      <c r="D175" s="36">
        <v>579152</v>
      </c>
    </row>
    <row r="176" spans="2:4">
      <c r="B176" s="5" t="s">
        <v>234</v>
      </c>
      <c r="C176" t="s">
        <v>117</v>
      </c>
      <c r="D176" s="36">
        <v>380737</v>
      </c>
    </row>
    <row r="177" spans="2:4">
      <c r="B177" s="5" t="s">
        <v>235</v>
      </c>
      <c r="C177" t="s">
        <v>111</v>
      </c>
      <c r="D177" s="36">
        <v>737083</v>
      </c>
    </row>
    <row r="178" spans="2:4">
      <c r="B178" s="5" t="s">
        <v>236</v>
      </c>
      <c r="C178" t="s">
        <v>129</v>
      </c>
      <c r="D178" s="36">
        <v>2967851</v>
      </c>
    </row>
    <row r="179" spans="2:4">
      <c r="B179" s="5" t="s">
        <v>237</v>
      </c>
      <c r="C179" t="s">
        <v>139</v>
      </c>
      <c r="D179" s="36">
        <v>358128</v>
      </c>
    </row>
    <row r="180" spans="2:4">
      <c r="B180" s="5" t="s">
        <v>238</v>
      </c>
      <c r="C180" t="s">
        <v>117</v>
      </c>
      <c r="D180" s="36">
        <v>761561</v>
      </c>
    </row>
    <row r="181" spans="2:4">
      <c r="B181" s="5" t="s">
        <v>239</v>
      </c>
      <c r="C181" t="s">
        <v>142</v>
      </c>
      <c r="D181" s="36">
        <v>684874</v>
      </c>
    </row>
    <row r="182" spans="2:4">
      <c r="B182" s="5" t="s">
        <v>240</v>
      </c>
      <c r="C182" t="s">
        <v>121</v>
      </c>
      <c r="D182" s="36">
        <v>1333431</v>
      </c>
    </row>
    <row r="183" spans="2:4">
      <c r="B183" s="5" t="s">
        <v>241</v>
      </c>
      <c r="C183" t="s">
        <v>142</v>
      </c>
      <c r="D183" s="36">
        <v>295726</v>
      </c>
    </row>
    <row r="184" spans="2:4">
      <c r="B184" s="5" t="s">
        <v>242</v>
      </c>
      <c r="C184" t="s">
        <v>136</v>
      </c>
      <c r="D184" s="36">
        <v>1120895</v>
      </c>
    </row>
    <row r="185" spans="2:4">
      <c r="B185" s="5" t="s">
        <v>243</v>
      </c>
      <c r="C185" t="s">
        <v>119</v>
      </c>
      <c r="D185" s="36">
        <v>519070</v>
      </c>
    </row>
    <row r="186" spans="2:4">
      <c r="B186" s="5" t="s">
        <v>244</v>
      </c>
      <c r="C186" t="s">
        <v>147</v>
      </c>
      <c r="D186" s="36">
        <v>80285</v>
      </c>
    </row>
    <row r="187" spans="2:4">
      <c r="B187" s="5" t="s">
        <v>245</v>
      </c>
      <c r="C187" t="s">
        <v>142</v>
      </c>
      <c r="D187" s="36">
        <v>82526</v>
      </c>
    </row>
    <row r="188" spans="2:4">
      <c r="B188" s="5" t="s">
        <v>246</v>
      </c>
      <c r="C188" t="s">
        <v>140</v>
      </c>
      <c r="D188" s="36">
        <v>256257</v>
      </c>
    </row>
    <row r="189" spans="2:4">
      <c r="B189" s="5" t="s">
        <v>247</v>
      </c>
      <c r="C189" t="s">
        <v>129</v>
      </c>
      <c r="D189" s="36">
        <v>1010547</v>
      </c>
    </row>
    <row r="190" spans="2:4">
      <c r="B190" s="5" t="s">
        <v>248</v>
      </c>
      <c r="C190" t="s">
        <v>118</v>
      </c>
      <c r="D190" s="36">
        <v>1103084</v>
      </c>
    </row>
    <row r="191" spans="2:4">
      <c r="B191" s="5" t="s">
        <v>249</v>
      </c>
      <c r="C191" t="s">
        <v>147</v>
      </c>
      <c r="D191" s="36">
        <v>632181</v>
      </c>
    </row>
    <row r="192" spans="2:4">
      <c r="B192" s="5" t="s">
        <v>250</v>
      </c>
      <c r="C192" t="s">
        <v>147</v>
      </c>
      <c r="D192" s="36">
        <v>1323231</v>
      </c>
    </row>
    <row r="193" spans="2:4">
      <c r="B193" s="5" t="s">
        <v>251</v>
      </c>
      <c r="C193" t="s">
        <v>147</v>
      </c>
      <c r="D193" s="36">
        <v>1289116</v>
      </c>
    </row>
    <row r="194" spans="2:4">
      <c r="B194" s="5" t="s">
        <v>252</v>
      </c>
      <c r="C194" t="s">
        <v>110</v>
      </c>
      <c r="D194" s="36">
        <v>1221243</v>
      </c>
    </row>
    <row r="195" spans="2:4">
      <c r="B195" s="5" t="s">
        <v>253</v>
      </c>
      <c r="C195" t="s">
        <v>120</v>
      </c>
      <c r="D195" s="36">
        <v>939681</v>
      </c>
    </row>
    <row r="196" spans="2:4">
      <c r="B196" s="5" t="s">
        <v>254</v>
      </c>
      <c r="C196" t="s">
        <v>154</v>
      </c>
      <c r="D196" s="36">
        <v>522258</v>
      </c>
    </row>
    <row r="197" spans="2:4">
      <c r="B197" s="5" t="s">
        <v>255</v>
      </c>
      <c r="C197" t="s">
        <v>107</v>
      </c>
      <c r="D197" s="36">
        <v>923191</v>
      </c>
    </row>
    <row r="198" spans="2:4">
      <c r="B198" s="5" t="s">
        <v>256</v>
      </c>
      <c r="C198" t="s">
        <v>110</v>
      </c>
      <c r="D198" s="36">
        <v>807598</v>
      </c>
    </row>
    <row r="199" spans="2:4">
      <c r="B199" s="5" t="s">
        <v>257</v>
      </c>
      <c r="C199" t="s">
        <v>132</v>
      </c>
      <c r="D199" s="36">
        <v>385165</v>
      </c>
    </row>
    <row r="200" spans="2:4">
      <c r="B200" s="5" t="s">
        <v>258</v>
      </c>
      <c r="C200" t="s">
        <v>108</v>
      </c>
      <c r="D200" s="36">
        <v>768127</v>
      </c>
    </row>
    <row r="201" spans="2:4">
      <c r="B201" s="5" t="s">
        <v>259</v>
      </c>
      <c r="C201" t="s">
        <v>129</v>
      </c>
      <c r="D201" s="36">
        <v>1557125</v>
      </c>
    </row>
    <row r="202" spans="2:4">
      <c r="B202" s="5" t="s">
        <v>260</v>
      </c>
      <c r="C202" t="s">
        <v>150</v>
      </c>
      <c r="D202" s="36">
        <v>807553</v>
      </c>
    </row>
    <row r="203" spans="2:4">
      <c r="B203" s="5" t="s">
        <v>261</v>
      </c>
      <c r="C203" t="s">
        <v>146</v>
      </c>
      <c r="D203" s="36">
        <v>814743</v>
      </c>
    </row>
    <row r="204" spans="2:4">
      <c r="B204" s="5" t="s">
        <v>262</v>
      </c>
      <c r="C204" t="s">
        <v>126</v>
      </c>
      <c r="D204" s="36">
        <v>1429412</v>
      </c>
    </row>
    <row r="205" spans="2:4">
      <c r="B205" s="5" t="s">
        <v>263</v>
      </c>
      <c r="C205" t="s">
        <v>114</v>
      </c>
      <c r="D205" s="36">
        <v>361182</v>
      </c>
    </row>
    <row r="206" spans="2:4">
      <c r="B206" s="5" t="s">
        <v>264</v>
      </c>
      <c r="C206" t="s">
        <v>114</v>
      </c>
      <c r="D206" s="36">
        <v>567263</v>
      </c>
    </row>
    <row r="207" spans="2:4">
      <c r="B207" s="5" t="s">
        <v>265</v>
      </c>
      <c r="C207" t="s">
        <v>114</v>
      </c>
      <c r="D207" s="36">
        <v>1093105</v>
      </c>
    </row>
    <row r="208" spans="2:4">
      <c r="B208" s="5" t="s">
        <v>266</v>
      </c>
      <c r="C208" t="s">
        <v>110</v>
      </c>
      <c r="D208" s="36">
        <v>527013</v>
      </c>
    </row>
    <row r="209" spans="1:19">
      <c r="B209" s="5" t="s">
        <v>267</v>
      </c>
      <c r="C209" t="s">
        <v>147</v>
      </c>
      <c r="D209" s="36">
        <v>818238</v>
      </c>
    </row>
    <row r="210" spans="1:19">
      <c r="B210" s="8" t="s">
        <v>268</v>
      </c>
      <c r="C210" s="9" t="s">
        <v>130</v>
      </c>
      <c r="D210" s="37">
        <v>250489</v>
      </c>
    </row>
    <row r="211" spans="1:19">
      <c r="B211" s="12" t="s">
        <v>270</v>
      </c>
    </row>
    <row r="213" spans="1:19">
      <c r="A213" s="1"/>
      <c r="B213" s="1"/>
      <c r="C213" s="1"/>
      <c r="D213" s="1"/>
      <c r="E213" s="1"/>
      <c r="F213" s="1"/>
      <c r="G213" s="1"/>
      <c r="H213" s="1"/>
      <c r="I213" s="1"/>
      <c r="J213" s="1"/>
      <c r="K213" s="1"/>
      <c r="L213" s="1"/>
      <c r="M213" s="1"/>
      <c r="N213" s="1"/>
      <c r="O213" s="1"/>
      <c r="P213" s="1"/>
      <c r="Q213" s="1"/>
      <c r="R213" s="1"/>
      <c r="S213" s="1"/>
    </row>
    <row r="215" spans="1:19" ht="24">
      <c r="B215" s="3" t="s">
        <v>278</v>
      </c>
    </row>
    <row r="216" spans="1:19" ht="19">
      <c r="B216" s="27" t="s">
        <v>279</v>
      </c>
      <c r="H216" s="27" t="s">
        <v>280</v>
      </c>
    </row>
    <row r="217" spans="1:19">
      <c r="B217" s="14" t="s">
        <v>104</v>
      </c>
      <c r="C217" s="16" t="s">
        <v>285</v>
      </c>
      <c r="H217" s="14" t="s">
        <v>104</v>
      </c>
      <c r="I217" s="16" t="s">
        <v>177</v>
      </c>
    </row>
    <row r="218" spans="1:19">
      <c r="B218" s="19" t="s">
        <v>166</v>
      </c>
      <c r="C218" s="39">
        <v>3258</v>
      </c>
      <c r="H218" s="42" t="s">
        <v>166</v>
      </c>
      <c r="I218" s="43" cm="1">
        <f t="array" ref="I218">SUMPRODUCT(ISNUMBER(SEARCH(H218,$B$218:$B$238))*$C$218:$C$238)</f>
        <v>3258</v>
      </c>
    </row>
    <row r="219" spans="1:19">
      <c r="B219" s="19" t="s">
        <v>142</v>
      </c>
      <c r="C219" s="39">
        <v>5790</v>
      </c>
      <c r="H219" s="5" t="s">
        <v>142</v>
      </c>
      <c r="I219" s="36" cm="1">
        <f t="array" ref="I219">SUMPRODUCT(ISNUMBER(SEARCH(H219,$B$218:$B$238))*$C$218:$C$238)</f>
        <v>5790</v>
      </c>
    </row>
    <row r="220" spans="1:19">
      <c r="B220" s="19" t="s">
        <v>117</v>
      </c>
      <c r="C220" s="39">
        <v>2531</v>
      </c>
      <c r="H220" s="5" t="s">
        <v>117</v>
      </c>
      <c r="I220" s="36" cm="1">
        <f t="array" ref="I220">SUMPRODUCT(ISNUMBER(SEARCH(H220,$B$218:$B$238))*$C$218:$C$238)</f>
        <v>2531</v>
      </c>
    </row>
    <row r="221" spans="1:19">
      <c r="B221" s="19" t="s">
        <v>164</v>
      </c>
      <c r="C221" s="39">
        <v>5679</v>
      </c>
      <c r="H221" s="5" t="s">
        <v>164</v>
      </c>
      <c r="I221" s="36" cm="1">
        <f t="array" ref="I221">SUMPRODUCT(ISNUMBER(SEARCH(H221,$B$218:$B$238))*$C$218:$C$238)</f>
        <v>5679</v>
      </c>
    </row>
    <row r="222" spans="1:19">
      <c r="B222" s="19" t="s">
        <v>167</v>
      </c>
      <c r="C222" s="39">
        <v>5738</v>
      </c>
      <c r="H222" s="5" t="s">
        <v>167</v>
      </c>
      <c r="I222" s="36" cm="1">
        <f t="array" ref="I222">SUMPRODUCT(ISNUMBER(SEARCH(H222,$B$218:$B$238))*$C$218:$C$238)</f>
        <v>5738</v>
      </c>
    </row>
    <row r="223" spans="1:19">
      <c r="B223" s="19" t="s">
        <v>165</v>
      </c>
      <c r="C223" s="39">
        <v>4285</v>
      </c>
      <c r="H223" s="5" t="s">
        <v>165</v>
      </c>
      <c r="I223" s="36" cm="1">
        <f t="array" ref="I223">SUMPRODUCT(ISNUMBER(SEARCH(H223,$B$218:$B$238))*$C$218:$C$238)</f>
        <v>4285</v>
      </c>
    </row>
    <row r="224" spans="1:19">
      <c r="B224" s="19" t="s">
        <v>120</v>
      </c>
      <c r="C224" s="39">
        <v>3172</v>
      </c>
      <c r="H224" s="5" t="s">
        <v>120</v>
      </c>
      <c r="I224" s="36" cm="1">
        <f t="array" ref="I224">SUMPRODUCT(ISNUMBER(SEARCH(H224,$B$218:$B$238))*$C$218:$C$238)</f>
        <v>6787</v>
      </c>
    </row>
    <row r="225" spans="2:9">
      <c r="B225" s="19" t="s">
        <v>129</v>
      </c>
      <c r="C225" s="39">
        <v>11227</v>
      </c>
      <c r="H225" s="5" t="s">
        <v>129</v>
      </c>
      <c r="I225" s="36" cm="1">
        <f t="array" ref="I225">SUMPRODUCT(ISNUMBER(SEARCH(H225,$B$218:$B$238))*$C$218:$C$238)</f>
        <v>11227</v>
      </c>
    </row>
    <row r="226" spans="2:9">
      <c r="B226" s="19" t="s">
        <v>114</v>
      </c>
      <c r="C226" s="39">
        <v>10540</v>
      </c>
      <c r="H226" s="5" t="s">
        <v>114</v>
      </c>
      <c r="I226" s="36" cm="1">
        <f t="array" ref="I226">SUMPRODUCT(ISNUMBER(SEARCH(H226,$B$218:$B$238))*$C$218:$C$238)</f>
        <v>10540</v>
      </c>
    </row>
    <row r="227" spans="2:9">
      <c r="B227" s="19" t="s">
        <v>163</v>
      </c>
      <c r="C227" s="39">
        <v>7930</v>
      </c>
      <c r="H227" s="5" t="s">
        <v>163</v>
      </c>
      <c r="I227" s="36" cm="1">
        <f t="array" ref="I227">SUMPRODUCT(ISNUMBER(SEARCH(H227,$B$218:$B$238))*$C$218:$C$238)</f>
        <v>7930</v>
      </c>
    </row>
    <row r="228" spans="2:9">
      <c r="B228" s="19" t="s">
        <v>144</v>
      </c>
      <c r="C228" s="39">
        <v>5666</v>
      </c>
      <c r="H228" s="5" t="s">
        <v>144</v>
      </c>
      <c r="I228" s="36" cm="1">
        <f t="array" ref="I228">SUMPRODUCT(ISNUMBER(SEARCH(H228,$B$218:$B$238))*$C$218:$C$238)</f>
        <v>5666</v>
      </c>
    </row>
    <row r="229" spans="2:9">
      <c r="B229" s="19" t="s">
        <v>159</v>
      </c>
      <c r="C229" s="39">
        <v>10124</v>
      </c>
      <c r="H229" s="5" t="s">
        <v>159</v>
      </c>
      <c r="I229" s="36" cm="1">
        <f t="array" ref="I229">SUMPRODUCT(ISNUMBER(SEARCH(H229,$B$218:$B$238))*$C$218:$C$238)</f>
        <v>10124</v>
      </c>
    </row>
    <row r="230" spans="2:9">
      <c r="B230" s="19" t="s">
        <v>161</v>
      </c>
      <c r="C230" s="39">
        <v>3615</v>
      </c>
      <c r="H230" s="5" t="s">
        <v>161</v>
      </c>
      <c r="I230" s="36" cm="1">
        <f t="array" ref="I230">SUMPRODUCT(ISNUMBER(SEARCH(H230,$B$218:$B$238))*$C$218:$C$238)</f>
        <v>3615</v>
      </c>
    </row>
    <row r="231" spans="2:9">
      <c r="B231" s="19" t="s">
        <v>170</v>
      </c>
      <c r="C231" s="39">
        <v>8140</v>
      </c>
      <c r="H231" s="5" t="s">
        <v>147</v>
      </c>
      <c r="I231" s="36" cm="1">
        <f t="array" ref="I231">SUMPRODUCT(ISNUMBER(SEARCH(H231,$B$218:$B$238))*$C$218:$C$238)</f>
        <v>15760</v>
      </c>
    </row>
    <row r="232" spans="2:9">
      <c r="B232" s="19" t="s">
        <v>171</v>
      </c>
      <c r="C232" s="39">
        <v>7620</v>
      </c>
      <c r="H232" s="5" t="s">
        <v>160</v>
      </c>
      <c r="I232" s="36" cm="1">
        <f t="array" ref="I232">SUMPRODUCT(ISNUMBER(SEARCH(H232,$B$218:$B$238))*$C$218:$C$238)</f>
        <v>3375</v>
      </c>
    </row>
    <row r="233" spans="2:9">
      <c r="B233" s="19" t="s">
        <v>160</v>
      </c>
      <c r="C233" s="39">
        <v>3375</v>
      </c>
      <c r="H233" s="5" t="s">
        <v>162</v>
      </c>
      <c r="I233" s="36" cm="1">
        <f t="array" ref="I233">SUMPRODUCT(ISNUMBER(SEARCH(H233,$B$218:$B$238))*$C$218:$C$238)</f>
        <v>4275</v>
      </c>
    </row>
    <row r="234" spans="2:9">
      <c r="B234" s="19" t="s">
        <v>162</v>
      </c>
      <c r="C234" s="39">
        <v>4275</v>
      </c>
      <c r="H234" s="5" t="s">
        <v>168</v>
      </c>
      <c r="I234" s="36" cm="1">
        <f t="array" ref="I234">SUMPRODUCT(ISNUMBER(SEARCH(H234,$B$218:$B$238))*$C$218:$C$238)</f>
        <v>3201</v>
      </c>
    </row>
    <row r="235" spans="2:9">
      <c r="B235" s="19" t="s">
        <v>168</v>
      </c>
      <c r="C235" s="39">
        <v>3201</v>
      </c>
      <c r="H235" s="5" t="s">
        <v>110</v>
      </c>
      <c r="I235" s="36" cm="1">
        <f t="array" ref="I235">SUMPRODUCT(ISNUMBER(SEARCH(H235,$B$218:$B$238))*$C$218:$C$238)</f>
        <v>11300</v>
      </c>
    </row>
    <row r="236" spans="2:9">
      <c r="B236" s="19" t="s">
        <v>172</v>
      </c>
      <c r="C236" s="39">
        <v>0</v>
      </c>
      <c r="H236" s="5" t="s">
        <v>169</v>
      </c>
      <c r="I236" s="36" cm="1">
        <f t="array" ref="I236">SUMPRODUCT(ISNUMBER(SEARCH(H236,$B$218:$B$238))*$C$218:$C$238)</f>
        <v>2563</v>
      </c>
    </row>
    <row r="237" spans="2:9">
      <c r="B237" s="19" t="s">
        <v>110</v>
      </c>
      <c r="C237" s="39">
        <v>11300</v>
      </c>
      <c r="H237" s="8" t="s">
        <v>155</v>
      </c>
      <c r="I237" s="37">
        <f>C239</f>
        <v>120029</v>
      </c>
    </row>
    <row r="238" spans="2:9">
      <c r="B238" s="19" t="s">
        <v>169</v>
      </c>
      <c r="C238" s="39">
        <v>2563</v>
      </c>
    </row>
    <row r="239" spans="2:9">
      <c r="B239" s="40" t="s">
        <v>155</v>
      </c>
      <c r="C239" s="41">
        <f>SUM(C218:C238)</f>
        <v>120029</v>
      </c>
    </row>
    <row r="240" spans="2:9">
      <c r="B240" s="13" t="s">
        <v>178</v>
      </c>
    </row>
    <row r="242" spans="1:19">
      <c r="A242" s="1"/>
      <c r="B242" s="1"/>
      <c r="C242" s="1"/>
      <c r="D242" s="1"/>
      <c r="E242" s="1"/>
      <c r="F242" s="1"/>
      <c r="G242" s="1"/>
      <c r="H242" s="1"/>
      <c r="I242" s="1"/>
      <c r="J242" s="1"/>
      <c r="K242" s="1"/>
      <c r="L242" s="1"/>
      <c r="M242" s="1"/>
      <c r="N242" s="1"/>
      <c r="O242" s="1"/>
      <c r="P242" s="1"/>
      <c r="Q242" s="1"/>
      <c r="R242" s="1"/>
      <c r="S242" s="1"/>
    </row>
    <row r="244" spans="1:19" ht="24">
      <c r="B244" s="3" t="s">
        <v>281</v>
      </c>
    </row>
    <row r="245" spans="1:19" ht="19">
      <c r="B245" s="27" t="s">
        <v>282</v>
      </c>
      <c r="H245" s="27" t="s">
        <v>283</v>
      </c>
    </row>
    <row r="246" spans="1:19">
      <c r="B246" s="14" t="s">
        <v>104</v>
      </c>
      <c r="C246" s="16" t="s">
        <v>284</v>
      </c>
      <c r="H246" s="14" t="s">
        <v>104</v>
      </c>
      <c r="I246" s="16" t="s">
        <v>284</v>
      </c>
    </row>
    <row r="247" spans="1:19">
      <c r="B247" s="19" t="s">
        <v>166</v>
      </c>
      <c r="C247" s="39">
        <v>4</v>
      </c>
      <c r="H247" s="5" t="s">
        <v>166</v>
      </c>
      <c r="I247" s="36" cm="1">
        <f t="array" ref="I247">SUMPRODUCT(ISNUMBER(SEARCH(H247,$B$247:$B$267))*$C$247:$C$267)</f>
        <v>4</v>
      </c>
    </row>
    <row r="248" spans="1:19">
      <c r="B248" s="19" t="s">
        <v>142</v>
      </c>
      <c r="C248" s="39">
        <v>7</v>
      </c>
      <c r="H248" s="5" t="s">
        <v>142</v>
      </c>
      <c r="I248" s="36" cm="1">
        <f t="array" ref="I248">SUMPRODUCT(ISNUMBER(SEARCH(H248,$B$247:$B$267))*$C$247:$C$267)</f>
        <v>7</v>
      </c>
    </row>
    <row r="249" spans="1:19">
      <c r="B249" s="19" t="s">
        <v>117</v>
      </c>
      <c r="C249" s="39">
        <v>3</v>
      </c>
      <c r="H249" s="5" t="s">
        <v>117</v>
      </c>
      <c r="I249" s="36" cm="1">
        <f t="array" ref="I249">SUMPRODUCT(ISNUMBER(SEARCH(H249,$B$247:$B$267))*$C$247:$C$267)</f>
        <v>3</v>
      </c>
    </row>
    <row r="250" spans="1:19">
      <c r="B250" s="19" t="s">
        <v>164</v>
      </c>
      <c r="C250" s="39">
        <v>6</v>
      </c>
      <c r="H250" s="5" t="s">
        <v>164</v>
      </c>
      <c r="I250" s="36" cm="1">
        <f t="array" ref="I250">SUMPRODUCT(ISNUMBER(SEARCH(H250,$B$247:$B$267))*$C$247:$C$267)</f>
        <v>6</v>
      </c>
    </row>
    <row r="251" spans="1:19">
      <c r="B251" s="19" t="s">
        <v>167</v>
      </c>
      <c r="C251" s="39">
        <v>3</v>
      </c>
      <c r="H251" s="5" t="s">
        <v>167</v>
      </c>
      <c r="I251" s="36" cm="1">
        <f t="array" ref="I251">SUMPRODUCT(ISNUMBER(SEARCH(H251,$B$247:$B$267))*$C$247:$C$267)</f>
        <v>3</v>
      </c>
    </row>
    <row r="252" spans="1:19">
      <c r="B252" s="19" t="s">
        <v>165</v>
      </c>
      <c r="C252" s="39">
        <v>4</v>
      </c>
      <c r="H252" s="5" t="s">
        <v>165</v>
      </c>
      <c r="I252" s="36" cm="1">
        <f t="array" ref="I252">SUMPRODUCT(ISNUMBER(SEARCH(H252,$B$247:$B$267))*$C$247:$C$267)</f>
        <v>4</v>
      </c>
    </row>
    <row r="253" spans="1:19">
      <c r="B253" s="19" t="s">
        <v>120</v>
      </c>
      <c r="C253" s="39">
        <v>2</v>
      </c>
      <c r="H253" s="5" t="s">
        <v>120</v>
      </c>
      <c r="I253" s="36" cm="1">
        <f t="array" ref="I253">SUMPRODUCT(ISNUMBER(SEARCH(H253,$B$247:$B$267))*$C$247:$C$267)</f>
        <v>6</v>
      </c>
    </row>
    <row r="254" spans="1:19">
      <c r="B254" s="19" t="s">
        <v>129</v>
      </c>
      <c r="C254" s="39">
        <v>5</v>
      </c>
      <c r="H254" s="5" t="s">
        <v>129</v>
      </c>
      <c r="I254" s="36" cm="1">
        <f t="array" ref="I254">SUMPRODUCT(ISNUMBER(SEARCH(H254,$B$247:$B$267))*$C$247:$C$267)</f>
        <v>5</v>
      </c>
    </row>
    <row r="255" spans="1:19">
      <c r="B255" s="19" t="s">
        <v>114</v>
      </c>
      <c r="C255" s="39">
        <v>8</v>
      </c>
      <c r="H255" s="5" t="s">
        <v>114</v>
      </c>
      <c r="I255" s="36" cm="1">
        <f t="array" ref="I255">SUMPRODUCT(ISNUMBER(SEARCH(H255,$B$247:$B$267))*$C$247:$C$267)</f>
        <v>8</v>
      </c>
    </row>
    <row r="256" spans="1:19">
      <c r="B256" s="19" t="s">
        <v>163</v>
      </c>
      <c r="C256" s="39">
        <v>6</v>
      </c>
      <c r="H256" s="5" t="s">
        <v>163</v>
      </c>
      <c r="I256" s="36" cm="1">
        <f t="array" ref="I256">SUMPRODUCT(ISNUMBER(SEARCH(H256,$B$247:$B$267))*$C$247:$C$267)</f>
        <v>6</v>
      </c>
    </row>
    <row r="257" spans="2:9">
      <c r="B257" s="19" t="s">
        <v>144</v>
      </c>
      <c r="C257" s="39">
        <v>3</v>
      </c>
      <c r="H257" s="5" t="s">
        <v>144</v>
      </c>
      <c r="I257" s="36" cm="1">
        <f t="array" ref="I257">SUMPRODUCT(ISNUMBER(SEARCH(H257,$B$247:$B$267))*$C$247:$C$267)</f>
        <v>3</v>
      </c>
    </row>
    <row r="258" spans="2:9">
      <c r="B258" s="19" t="s">
        <v>159</v>
      </c>
      <c r="C258" s="39">
        <v>8</v>
      </c>
      <c r="H258" s="5" t="s">
        <v>159</v>
      </c>
      <c r="I258" s="36" cm="1">
        <f t="array" ref="I258">SUMPRODUCT(ISNUMBER(SEARCH(H258,$B$247:$B$267))*$C$247:$C$267)</f>
        <v>8</v>
      </c>
    </row>
    <row r="259" spans="2:9">
      <c r="B259" s="19" t="s">
        <v>161</v>
      </c>
      <c r="C259" s="39">
        <v>4</v>
      </c>
      <c r="H259" s="5" t="s">
        <v>161</v>
      </c>
      <c r="I259" s="36" cm="1">
        <f t="array" ref="I259">SUMPRODUCT(ISNUMBER(SEARCH(H259,$B$247:$B$267))*$C$247:$C$267)</f>
        <v>4</v>
      </c>
    </row>
    <row r="260" spans="2:9">
      <c r="B260" s="19" t="s">
        <v>170</v>
      </c>
      <c r="C260" s="39">
        <v>6</v>
      </c>
      <c r="H260" s="5" t="s">
        <v>147</v>
      </c>
      <c r="I260" s="36" cm="1">
        <f t="array" ref="I260">SUMPRODUCT(ISNUMBER(SEARCH(H260,$B$247:$B$267))*$C$247:$C$267)</f>
        <v>12</v>
      </c>
    </row>
    <row r="261" spans="2:9">
      <c r="B261" s="19" t="s">
        <v>171</v>
      </c>
      <c r="C261" s="39">
        <v>6</v>
      </c>
      <c r="H261" s="5" t="s">
        <v>160</v>
      </c>
      <c r="I261" s="36" cm="1">
        <f t="array" ref="I261">SUMPRODUCT(ISNUMBER(SEARCH(H261,$B$247:$B$267))*$C$247:$C$267)</f>
        <v>4</v>
      </c>
    </row>
    <row r="262" spans="2:9">
      <c r="B262" s="19" t="s">
        <v>160</v>
      </c>
      <c r="C262" s="39">
        <v>4</v>
      </c>
      <c r="H262" s="5" t="s">
        <v>162</v>
      </c>
      <c r="I262" s="36" cm="1">
        <f t="array" ref="I262">SUMPRODUCT(ISNUMBER(SEARCH(H262,$B$247:$B$267))*$C$247:$C$267)</f>
        <v>4</v>
      </c>
    </row>
    <row r="263" spans="2:9">
      <c r="B263" s="19" t="s">
        <v>162</v>
      </c>
      <c r="C263" s="39">
        <v>4</v>
      </c>
      <c r="H263" s="5" t="s">
        <v>168</v>
      </c>
      <c r="I263" s="36" cm="1">
        <f t="array" ref="I263">SUMPRODUCT(ISNUMBER(SEARCH(H263,$B$247:$B$267))*$C$247:$C$267)</f>
        <v>5</v>
      </c>
    </row>
    <row r="264" spans="2:9">
      <c r="B264" s="19" t="s">
        <v>168</v>
      </c>
      <c r="C264" s="39">
        <v>5</v>
      </c>
      <c r="H264" s="5" t="s">
        <v>110</v>
      </c>
      <c r="I264" s="36" cm="1">
        <f t="array" ref="I264">SUMPRODUCT(ISNUMBER(SEARCH(H264,$B$247:$B$267))*$C$247:$C$267)</f>
        <v>7</v>
      </c>
    </row>
    <row r="265" spans="2:9">
      <c r="B265" s="19" t="s">
        <v>172</v>
      </c>
      <c r="C265" s="39">
        <v>0</v>
      </c>
      <c r="H265" s="5" t="s">
        <v>169</v>
      </c>
      <c r="I265" s="36" cm="1">
        <f t="array" ref="I265">SUMPRODUCT(ISNUMBER(SEARCH(H265,$B$247:$B$267))*$C$247:$C$267)</f>
        <v>4</v>
      </c>
    </row>
    <row r="266" spans="2:9">
      <c r="B266" s="19" t="s">
        <v>110</v>
      </c>
      <c r="C266" s="39">
        <v>7</v>
      </c>
      <c r="H266" s="8" t="s">
        <v>155</v>
      </c>
      <c r="I266" s="37">
        <f>C268</f>
        <v>99</v>
      </c>
    </row>
    <row r="267" spans="2:9">
      <c r="B267" s="19" t="s">
        <v>169</v>
      </c>
      <c r="C267" s="39">
        <v>4</v>
      </c>
    </row>
    <row r="268" spans="2:9">
      <c r="B268" s="40" t="s">
        <v>155</v>
      </c>
      <c r="C268" s="41">
        <f>SUM(C247:C267)</f>
        <v>99</v>
      </c>
    </row>
    <row r="269" spans="2:9">
      <c r="B269" s="12" t="s">
        <v>178</v>
      </c>
    </row>
  </sheetData>
  <mergeCells count="1">
    <mergeCell ref="B5:G5"/>
  </mergeCells>
  <hyperlinks>
    <hyperlink ref="B85" r:id="rId1" display="(1) Source: USGS Minerals Yearbook 2023, Stone (Crushed)" xr:uid="{548A430C-0933-BD46-A04D-233F7DCA4B56}"/>
    <hyperlink ref="B114" r:id="rId2" xr:uid="{4B034E86-59D1-304B-8834-F1902822A2FF}"/>
    <hyperlink ref="B211" r:id="rId3" xr:uid="{176BB449-00A6-5A4B-9A59-B49C345D7031}"/>
    <hyperlink ref="B240" r:id="rId4" xr:uid="{F2BB5557-79DD-B342-AB22-1D24B525ACC2}"/>
    <hyperlink ref="B269" r:id="rId5" xr:uid="{50D54AA6-37A8-4F43-94FB-1A76AEB23900}"/>
  </hyperlink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15B67-C74D-9145-AB87-1B4950580BA5}">
  <dimension ref="A1:D11"/>
  <sheetViews>
    <sheetView workbookViewId="0">
      <selection activeCell="I23" sqref="I23"/>
    </sheetView>
  </sheetViews>
  <sheetFormatPr baseColWidth="10" defaultRowHeight="16"/>
  <cols>
    <col min="2" max="2" width="40.1640625" customWidth="1"/>
  </cols>
  <sheetData>
    <row r="1" spans="1:4">
      <c r="A1" t="s">
        <v>58</v>
      </c>
      <c r="B1" t="s">
        <v>11</v>
      </c>
      <c r="C1" t="s">
        <v>59</v>
      </c>
      <c r="D1" t="s">
        <v>60</v>
      </c>
    </row>
    <row r="2" spans="1:4">
      <c r="A2" t="s">
        <v>61</v>
      </c>
      <c r="B2" t="str" cm="1">
        <f t="array" ref="B2:B7">_xlfn.UNIQUE(_xlfn.VSTACK('V1. Markets'!B8:B12,'V1. Markets'!B17:B27))</f>
        <v>Miscellaneous Chemical Manufacturing</v>
      </c>
      <c r="C2">
        <f>SUMIF('V1. Markets'!$B$8:$B$12,'X1. Markets'!B2,'V1. Markets'!$E$8:$E$12)</f>
        <v>0.58945569929216501</v>
      </c>
      <c r="D2">
        <f>SUMIF('V1. Markets'!$B$17:$B$27,'X1. Markets'!B2,'V1. Markets'!$E$17:$E$27)</f>
        <v>0.510906612133606</v>
      </c>
    </row>
    <row r="3" spans="1:4">
      <c r="A3" t="s">
        <v>61</v>
      </c>
      <c r="B3" t="str">
        <v>Oil and Gas Drilling</v>
      </c>
      <c r="C3">
        <f>SUMIF('V1. Markets'!$B$8:$B$12,'X1. Markets'!B3,'V1. Markets'!$E$8:$E$12)</f>
        <v>0.12631193556260678</v>
      </c>
      <c r="D3">
        <f>SUMIF('V1. Markets'!$B$17:$B$27,'X1. Markets'!B3,'V1. Markets'!$E$17:$E$27)</f>
        <v>0.28425357873210633</v>
      </c>
    </row>
    <row r="4" spans="1:4">
      <c r="A4" t="s">
        <v>61</v>
      </c>
      <c r="B4" t="str">
        <v>Organic Chemical Manufacturing</v>
      </c>
      <c r="C4">
        <f>SUMIF('V1. Markets'!$B$8:$B$12,'X1. Markets'!B4,'V1. Markets'!$E$8:$E$12)</f>
        <v>0.10532096656089822</v>
      </c>
      <c r="D4">
        <f>SUMIF('V1. Markets'!$B$17:$B$27,'X1. Markets'!B4,'V1. Markets'!$E$17:$E$27)</f>
        <v>0</v>
      </c>
    </row>
    <row r="5" spans="1:4">
      <c r="A5" t="s">
        <v>61</v>
      </c>
      <c r="B5" t="str">
        <v>Pharmaceutical Manufacturing</v>
      </c>
      <c r="C5">
        <f>SUMIF('V1. Markets'!$B$8:$B$12,'X1. Markets'!B5,'V1. Markets'!$E$8:$E$12)</f>
        <v>9.4703441542592137E-2</v>
      </c>
      <c r="D5">
        <f>SUMIF('V1. Markets'!$B$17:$B$27,'X1. Markets'!B5,'V1. Markets'!$E$17:$E$27)</f>
        <v>0</v>
      </c>
    </row>
    <row r="6" spans="1:4">
      <c r="A6" t="s">
        <v>61</v>
      </c>
      <c r="B6" t="str">
        <v>Industrial Water Treatment</v>
      </c>
      <c r="C6">
        <f>SUMIF('V1. Markets'!$B$8:$B$12,'X1. Markets'!B6,'V1. Markets'!$E$8:$E$12)</f>
        <v>8.4207957041737863E-2</v>
      </c>
      <c r="D6">
        <f>SUMIF('V1. Markets'!$B$17:$B$27,'X1. Markets'!B6,'V1. Markets'!$E$17:$E$27)</f>
        <v>5.6009997727789133E-2</v>
      </c>
    </row>
    <row r="7" spans="1:4">
      <c r="A7" t="s">
        <v>61</v>
      </c>
      <c r="B7" t="str">
        <v>Other</v>
      </c>
      <c r="C7">
        <f>SUMIF('V1. Markets'!$B$8:$B$12,'X1. Markets'!B7,'V1. Markets'!$E$8:$E$12)</f>
        <v>0</v>
      </c>
      <c r="D7">
        <f>SUMIF('V1. Markets'!$B$17:$B$27,'X1. Markets'!B7,'V1. Markets'!$E$17:$E$27)</f>
        <v>0.14882981140649851</v>
      </c>
    </row>
    <row r="8" spans="1:4">
      <c r="A8" t="s">
        <v>62</v>
      </c>
      <c r="B8" t="str" cm="1">
        <f t="array" ref="B8:B11">_xlfn.UNIQUE(_xlfn.VSTACK('V1. Markets'!B35:B40,'V1. Markets'!B45:B51))</f>
        <v>Organic Chemical Manufacturing</v>
      </c>
      <c r="C8">
        <f>SUMIF('V1. Markets'!$B$35:$B$40,'X1. Markets'!B8,'V1. Markets'!$E$35:$E$40)</f>
        <v>0.7433333333333334</v>
      </c>
      <c r="D8">
        <f>SUMIF('V1. Markets'!$B$45:$B$51,'X1. Markets'!B8,'V1. Markets'!$E$45:$E$51)</f>
        <v>0.77758342303552197</v>
      </c>
    </row>
    <row r="9" spans="1:4">
      <c r="A9" t="s">
        <v>62</v>
      </c>
      <c r="B9" t="str">
        <v>Steel Pickling</v>
      </c>
      <c r="C9">
        <f>SUMIF('V1. Markets'!$B$35:$B$40,'X1. Markets'!B9,'V1. Markets'!$E$35:$E$40)</f>
        <v>0.11388888888888889</v>
      </c>
      <c r="D9">
        <f>SUMIF('V1. Markets'!$B$45:$B$51,'X1. Markets'!B9,'V1. Markets'!$E$45:$E$51)</f>
        <v>7.0102260495156082E-2</v>
      </c>
    </row>
    <row r="10" spans="1:4">
      <c r="A10" t="s">
        <v>62</v>
      </c>
      <c r="B10" t="str">
        <v>Semiconductor Manufacturing</v>
      </c>
      <c r="C10">
        <f>SUMIF('V1. Markets'!$B$35:$B$40,'X1. Markets'!B10,'V1. Markets'!$E$35:$E$40)</f>
        <v>0.06</v>
      </c>
      <c r="D10">
        <f>SUMIF('V1. Markets'!$B$45:$B$51,'X1. Markets'!B10,'V1. Markets'!$E$45:$E$51)</f>
        <v>5.086114101184068E-2</v>
      </c>
    </row>
    <row r="11" spans="1:4">
      <c r="A11" t="s">
        <v>62</v>
      </c>
      <c r="B11" t="str">
        <v>Other</v>
      </c>
      <c r="C11">
        <f>SUMIF('V1. Markets'!$B$35:$B$40,'X1. Markets'!B11,'V1. Markets'!$E$35:$E$40)</f>
        <v>8.7222222222222229E-2</v>
      </c>
      <c r="D11">
        <f>SUMIF('V1. Markets'!$B$45:$B$51,'X1. Markets'!B11,'V1. Markets'!$E$45:$E$51)</f>
        <v>0.10145317545748117</v>
      </c>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150CD-4522-2042-8723-88D7EFAA8ACD}">
  <dimension ref="A1:B12"/>
  <sheetViews>
    <sheetView workbookViewId="0">
      <selection activeCell="C1" sqref="C1:C1048576"/>
    </sheetView>
  </sheetViews>
  <sheetFormatPr baseColWidth="10" defaultRowHeight="16"/>
  <cols>
    <col min="2" max="2" width="21.83203125" customWidth="1"/>
  </cols>
  <sheetData>
    <row r="1" spans="1:2">
      <c r="A1" t="s">
        <v>58</v>
      </c>
      <c r="B1" t="s">
        <v>97</v>
      </c>
    </row>
    <row r="2" spans="1:2">
      <c r="A2" t="str" cm="1">
        <f t="array" ref="A2:A12">_xlfn.UNIQUE('V2. Demand'!B6:B16)</f>
        <v>B</v>
      </c>
      <c r="B2">
        <f>_xlfn.XLOOKUP($A2,'V2. Demand'!$B:$B,'V2. Demand'!D:D)</f>
        <v>580</v>
      </c>
    </row>
    <row r="3" spans="1:2">
      <c r="A3" t="str">
        <v>BaSO4</v>
      </c>
      <c r="B3">
        <f>_xlfn.XLOOKUP($A3,'V2. Demand'!$B:$B,'V2. Demand'!D:D)</f>
        <v>2000</v>
      </c>
    </row>
    <row r="4" spans="1:2">
      <c r="A4" t="str">
        <v>Br</v>
      </c>
      <c r="B4">
        <f>_xlfn.XLOOKUP($A4,'V2. Demand'!$B:$B,'V2. Demand'!D:D)</f>
        <v>275</v>
      </c>
    </row>
    <row r="5" spans="1:2">
      <c r="A5" t="str">
        <v>Ca(OH)2</v>
      </c>
      <c r="B5">
        <f>_xlfn.XLOOKUP($A5,'V2. Demand'!$B:$B,'V2. Demand'!D:D)</f>
        <v>2470</v>
      </c>
    </row>
    <row r="6" spans="1:2">
      <c r="A6" t="str">
        <v>HCl</v>
      </c>
      <c r="B6">
        <f>_xlfn.XLOOKUP($A6,'V2. Demand'!$B:$B,'V2. Demand'!D:D)</f>
        <v>1458</v>
      </c>
    </row>
    <row r="7" spans="1:2">
      <c r="A7" t="str">
        <v>HF</v>
      </c>
      <c r="B7">
        <f>_xlfn.XLOOKUP($A7,'V2. Demand'!$B:$B,'V2. Demand'!D:D)</f>
        <v>320</v>
      </c>
    </row>
    <row r="8" spans="1:2">
      <c r="A8" t="str">
        <v>Li</v>
      </c>
      <c r="B8">
        <f>_xlfn.XLOOKUP($A8,'V2. Demand'!$B:$B,'V2. Demand'!D:D)</f>
        <v>3.75</v>
      </c>
    </row>
    <row r="9" spans="1:2">
      <c r="A9" t="str">
        <v>Mg(OH)2</v>
      </c>
      <c r="B9">
        <f>_xlfn.XLOOKUP($A9,'V2. Demand'!$B:$B,'V2. Demand'!D:D)</f>
        <v>190</v>
      </c>
    </row>
    <row r="10" spans="1:2">
      <c r="A10" t="str">
        <v>MgSO4</v>
      </c>
      <c r="B10">
        <f>_xlfn.XLOOKUP($A10,'V2. Demand'!$B:$B,'V2. Demand'!D:D)</f>
        <v>72.900000000000006</v>
      </c>
    </row>
    <row r="11" spans="1:2">
      <c r="A11" t="str">
        <v>NaOH</v>
      </c>
      <c r="B11">
        <f>_xlfn.XLOOKUP($A11,'V2. Demand'!$B:$B,'V2. Demand'!D:D)</f>
        <v>6000</v>
      </c>
    </row>
    <row r="12" spans="1:2">
      <c r="A12" t="str">
        <v>P2O5</v>
      </c>
      <c r="B12">
        <f>_xlfn.XLOOKUP($A12,'V2. Demand'!$B:$B,'V2. Demand'!D:D)</f>
        <v>5700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B559A-5247-2C42-B0F2-E0D90400AC57}">
  <dimension ref="A1:F20"/>
  <sheetViews>
    <sheetView tabSelected="1" workbookViewId="0">
      <selection activeCell="K35" sqref="K35"/>
    </sheetView>
  </sheetViews>
  <sheetFormatPr baseColWidth="10" defaultRowHeight="16"/>
  <cols>
    <col min="1" max="1" width="35.6640625" customWidth="1"/>
    <col min="2" max="2" width="13.6640625" customWidth="1"/>
  </cols>
  <sheetData>
    <row r="1" spans="1:6">
      <c r="A1" t="str" cm="1">
        <f t="array" ref="A1:F20">'V3. Disaggregation Proxies'!B8:G27</f>
        <v>District</v>
      </c>
      <c r="B1" t="str">
        <v>Ground Truth</v>
      </c>
      <c r="C1" t="str">
        <v>Tier 1</v>
      </c>
      <c r="D1" t="str">
        <v>Tier 2</v>
      </c>
      <c r="E1" t="str">
        <v>Tier 3</v>
      </c>
      <c r="F1" t="str">
        <v>Tier 4</v>
      </c>
    </row>
    <row r="2" spans="1:6">
      <c r="A2" t="str">
        <v>Maine and New York</v>
      </c>
      <c r="B2">
        <v>2.3127272727272729E-2</v>
      </c>
      <c r="C2">
        <v>2.2233913580529313E-2</v>
      </c>
      <c r="D2">
        <v>2.1295163541192035E-2</v>
      </c>
      <c r="E2">
        <v>2.1295163541192035E-2</v>
      </c>
      <c r="F2">
        <v>4.0404040404040407E-2</v>
      </c>
    </row>
    <row r="3" spans="1:6">
      <c r="A3" t="str">
        <v>Pennsylvania</v>
      </c>
      <c r="B3">
        <v>4.7181818181818179E-2</v>
      </c>
      <c r="C3">
        <v>3.9458334286433194E-2</v>
      </c>
      <c r="D3">
        <v>4.4032605681508151E-2</v>
      </c>
      <c r="E3">
        <v>4.4032605681508151E-2</v>
      </c>
      <c r="F3">
        <v>7.0707070707070704E-2</v>
      </c>
    </row>
    <row r="4" spans="1:6">
      <c r="A4" t="str">
        <v>Illinois</v>
      </c>
      <c r="B4" t="str">
        <v/>
      </c>
      <c r="C4">
        <v>1.52000365990347E-2</v>
      </c>
      <c r="D4">
        <v>1.7139801078028306E-2</v>
      </c>
      <c r="E4">
        <v>1.7139801078028306E-2</v>
      </c>
      <c r="F4">
        <v>3.0303030303030304E-2</v>
      </c>
    </row>
    <row r="5" spans="1:6">
      <c r="A5" t="str">
        <v>Indiana, Ohio</v>
      </c>
      <c r="B5">
        <v>4.236363636363636E-2</v>
      </c>
      <c r="C5">
        <v>4.3941716037239516E-2</v>
      </c>
      <c r="D5">
        <v>4.9296062800893277E-2</v>
      </c>
      <c r="E5">
        <v>4.9296062800893277E-2</v>
      </c>
      <c r="F5">
        <v>6.0606060606060608E-2</v>
      </c>
    </row>
    <row r="6" spans="1:6">
      <c r="A6" t="str">
        <v xml:space="preserve">Michigan </v>
      </c>
      <c r="B6" t="str">
        <v/>
      </c>
      <c r="C6">
        <v>5.4646933687124005E-2</v>
      </c>
      <c r="D6">
        <v>4.7991301974609671E-2</v>
      </c>
      <c r="E6">
        <v>4.7991301974609671E-2</v>
      </c>
      <c r="F6">
        <v>3.0303030303030304E-2</v>
      </c>
    </row>
    <row r="7" spans="1:6">
      <c r="A7" t="str">
        <v>Iowa, Nebraska, South Dakota</v>
      </c>
      <c r="B7" t="str">
        <v/>
      </c>
      <c r="C7">
        <v>4.1036667657890526E-2</v>
      </c>
      <c r="D7">
        <v>4.1990455501326858E-2</v>
      </c>
      <c r="E7">
        <v>4.1990455501326858E-2</v>
      </c>
      <c r="F7">
        <v>4.0404040404040407E-2</v>
      </c>
    </row>
    <row r="8" spans="1:6">
      <c r="A8" t="str">
        <v>Kansas</v>
      </c>
      <c r="B8" t="str">
        <v/>
      </c>
      <c r="C8">
        <v>5.7323238099595122E-2</v>
      </c>
      <c r="D8">
        <v>3.3605517492133169E-2</v>
      </c>
      <c r="E8">
        <v>3.3605517492133169E-2</v>
      </c>
      <c r="F8">
        <v>6.0606060606060608E-2</v>
      </c>
    </row>
    <row r="9" spans="1:6">
      <c r="A9" t="str">
        <v>Missouri</v>
      </c>
      <c r="B9">
        <v>0.10818181818181818</v>
      </c>
      <c r="C9">
        <v>0.11277077567079169</v>
      </c>
      <c r="D9">
        <v>0.10300249238021748</v>
      </c>
      <c r="E9">
        <v>0.10300249238021748</v>
      </c>
      <c r="F9">
        <v>5.0505050505050504E-2</v>
      </c>
    </row>
    <row r="10" spans="1:6">
      <c r="A10" t="str">
        <v>Florida</v>
      </c>
      <c r="B10">
        <v>4.8818181818181816E-2</v>
      </c>
      <c r="C10">
        <v>7.2866390648946636E-2</v>
      </c>
      <c r="D10">
        <v>6.336830976222689E-2</v>
      </c>
      <c r="E10">
        <v>6.336830976222689E-2</v>
      </c>
      <c r="F10">
        <v>8.0808080808080815E-2</v>
      </c>
    </row>
    <row r="11" spans="1:6">
      <c r="A11" t="str">
        <v>Georgia, Maryland, Virginia, West Virginia</v>
      </c>
      <c r="B11" t="str">
        <v/>
      </c>
      <c r="C11">
        <v>6.862319006336208E-2</v>
      </c>
      <c r="D11">
        <v>6.5548172775919358E-2</v>
      </c>
      <c r="E11">
        <v>6.5548172775919358E-2</v>
      </c>
      <c r="F11">
        <v>6.0606060606060608E-2</v>
      </c>
    </row>
    <row r="12" spans="1:6">
      <c r="A12" t="str">
        <v>South Carolina</v>
      </c>
      <c r="B12">
        <v>1.8727272727272728E-2</v>
      </c>
      <c r="C12">
        <v>3.3522428345952378E-2</v>
      </c>
      <c r="D12">
        <v>3.4855166176611739E-2</v>
      </c>
      <c r="E12">
        <v>3.4855166176611739E-2</v>
      </c>
      <c r="F12">
        <v>3.0303030303030304E-2</v>
      </c>
    </row>
    <row r="13" spans="1:6">
      <c r="A13" t="str">
        <v>Alabama, Kentucky, Tennessee</v>
      </c>
      <c r="B13" t="str">
        <v/>
      </c>
      <c r="C13">
        <v>9.0273806528352818E-2</v>
      </c>
      <c r="D13">
        <v>9.3484702014291016E-2</v>
      </c>
      <c r="E13">
        <v>9.3484702014291016E-2</v>
      </c>
      <c r="F13">
        <v>8.0808080808080815E-2</v>
      </c>
    </row>
    <row r="14" spans="1:6">
      <c r="A14" t="str">
        <v>Arkansas and Oklahoma</v>
      </c>
      <c r="B14" t="str">
        <v/>
      </c>
      <c r="C14">
        <v>2.5550701100258481E-2</v>
      </c>
      <c r="D14">
        <v>3.0991779528145538E-2</v>
      </c>
      <c r="E14">
        <v>3.0991779528145538E-2</v>
      </c>
      <c r="F14">
        <v>4.0404040404040407E-2</v>
      </c>
    </row>
    <row r="15" spans="1:6">
      <c r="A15" t="str">
        <v>Texas</v>
      </c>
      <c r="B15">
        <v>0.18454545454545454</v>
      </c>
      <c r="C15">
        <v>0.1342727085573118</v>
      </c>
      <c r="D15">
        <v>0.13128517928573913</v>
      </c>
      <c r="E15">
        <v>0.13128517928573913</v>
      </c>
      <c r="F15">
        <v>0.12121212121212122</v>
      </c>
    </row>
    <row r="16" spans="1:6">
      <c r="A16" t="str">
        <v>Arizona and New Mexico</v>
      </c>
      <c r="B16" t="str">
        <v/>
      </c>
      <c r="C16">
        <v>3.4734771370405107E-2</v>
      </c>
      <c r="D16">
        <v>3.5189335114847446E-2</v>
      </c>
      <c r="E16">
        <v>3.5189335114847446E-2</v>
      </c>
      <c r="F16">
        <v>4.0404040404040407E-2</v>
      </c>
    </row>
    <row r="17" spans="1:6">
      <c r="A17" t="str">
        <v>Colorado and Wyoming</v>
      </c>
      <c r="B17" t="str">
        <v/>
      </c>
      <c r="C17">
        <v>3.2149964544685133E-2</v>
      </c>
      <c r="D17">
        <v>3.1911430571807904E-2</v>
      </c>
      <c r="E17">
        <v>3.1911430571807904E-2</v>
      </c>
      <c r="F17">
        <v>4.0404040404040407E-2</v>
      </c>
    </row>
    <row r="18" spans="1:6">
      <c r="A18" t="str">
        <v>Montana, Nevada, Utah</v>
      </c>
      <c r="B18" t="str">
        <v/>
      </c>
      <c r="C18">
        <v>2.8021135942539514E-2</v>
      </c>
      <c r="D18">
        <v>3.1325348279702174E-2</v>
      </c>
      <c r="E18">
        <v>3.1325348279702174E-2</v>
      </c>
      <c r="F18">
        <v>5.0505050505050504E-2</v>
      </c>
    </row>
    <row r="19" spans="1:6">
      <c r="A19" t="str">
        <v>California</v>
      </c>
      <c r="B19">
        <v>0.11181818181818182</v>
      </c>
      <c r="C19">
        <v>0.10224855319440949</v>
      </c>
      <c r="D19">
        <v>0.10946350198033845</v>
      </c>
      <c r="E19">
        <v>0.10946350198033845</v>
      </c>
      <c r="F19">
        <v>7.0707070707070704E-2</v>
      </c>
    </row>
    <row r="20" spans="1:6">
      <c r="A20" t="str">
        <v>Oregon and Washington</v>
      </c>
      <c r="B20" t="str">
        <v/>
      </c>
      <c r="C20">
        <v>1.6675435185396985E-2</v>
      </c>
      <c r="D20">
        <v>1.4223674060461395E-2</v>
      </c>
      <c r="E20">
        <v>1.4223674060461395E-2</v>
      </c>
      <c r="F20">
        <v>4.0404040404040407E-2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V1. Markets</vt:lpstr>
      <vt:lpstr>V2. Demand</vt:lpstr>
      <vt:lpstr>V3. Disaggregation Proxies</vt:lpstr>
      <vt:lpstr>X1. Markets</vt:lpstr>
      <vt:lpstr>X2. Demand</vt:lpstr>
      <vt:lpstr>X3. Disaggregation Proxies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Caroline Elizabeth Adkins</dc:creator>
  <cp:lastModifiedBy>Caroline Elizabeth Adkins</cp:lastModifiedBy>
  <dcterms:created xsi:type="dcterms:W3CDTF">2026-09-17T18:11:56Z</dcterms:created>
  <dcterms:modified xsi:type="dcterms:W3CDTF">2026-09-22T18:41:49Z</dcterms:modified>
</cp:coreProperties>
</file>