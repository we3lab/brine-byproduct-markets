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815E2770-F64E-2A43-BE47-73694384170E}" xr6:coauthVersionLast="47" xr6:coauthVersionMax="47" xr10:uidLastSave="{00000000-0000-0000-0000-000000000000}"/>
  <bookViews>
    <workbookView xWindow="23480" yWindow="-25680" windowWidth="27000" windowHeight="21220" firstSheet="11" activeTab="14" xr2:uid="{D65706C3-802C-AE4E-8AE4-0EFE5C5B92DF}"/>
  </bookViews>
  <sheets>
    <sheet name="B1. B" sheetId="13" r:id="rId1"/>
    <sheet name="B2. BaSO4" sheetId="16" r:id="rId2"/>
    <sheet name="B3. Br" sheetId="18" r:id="rId3"/>
    <sheet name="B4. CaCO3" sheetId="26" r:id="rId4"/>
    <sheet name="B5. CaF2" sheetId="3" r:id="rId5"/>
    <sheet name="B6. Ca(OH)2" sheetId="8" r:id="rId6"/>
    <sheet name="B7. CaSO4" sheetId="4" r:id="rId7"/>
    <sheet name="B8. HCl" sheetId="20" r:id="rId8"/>
    <sheet name="B9. HF" sheetId="22" r:id="rId9"/>
    <sheet name="B10. K2O" sheetId="5" r:id="rId10"/>
    <sheet name="B11. Li" sheetId="19" r:id="rId11"/>
    <sheet name="B12. MgCl2" sheetId="28" r:id="rId12"/>
    <sheet name="B13. Mg(OH)2" sheetId="24" r:id="rId13"/>
    <sheet name="B14. MgSO4" sheetId="25" r:id="rId14"/>
    <sheet name="B15. NaCl" sheetId="29" r:id="rId15"/>
    <sheet name="B16. Na2CO3" sheetId="6" r:id="rId16"/>
    <sheet name="B17. NaOH" sheetId="23" r:id="rId17"/>
    <sheet name="B18. NH3" sheetId="9" r:id="rId18"/>
    <sheet name="B19. P2O5" sheetId="10" r:id="rId19"/>
    <sheet name="B20. SrSO4" sheetId="7" r:id="rId20"/>
    <sheet name="S1. USITC Imports" sheetId="14" r:id="rId21"/>
    <sheet name="S2. USITC Exports" sheetId="15" r:id="rId22"/>
    <sheet name="S3. USITC FAS Value" sheetId="21" r:id="rId23"/>
    <sheet name="X1. Markets" sheetId="33" r:id="rId24"/>
    <sheet name="Sheet1" sheetId="34" r:id="rId25"/>
    <sheet name="X2. BP x Domestic" sheetId="30" r:id="rId26"/>
    <sheet name="X3. BP-Market x State" sheetId="31" r:id="rId27"/>
    <sheet name="X4. Pricing" sheetId="32" r:id="rId28"/>
    <sheet name="PIE Template" sheetId="17" r:id="rId29"/>
    <sheet name="Direct Template" sheetId="1" r:id="rId30"/>
    <sheet name="Indirect Template" sheetId="2"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5" i="13" l="1"/>
  <c r="E47" i="18"/>
  <c r="F47" i="18"/>
  <c r="G47" i="18"/>
  <c r="H47" i="18"/>
  <c r="D47" i="18"/>
  <c r="D197" i="28" l="1"/>
  <c r="E197" i="28"/>
  <c r="F197" i="28"/>
  <c r="G197" i="28"/>
  <c r="H197" i="28"/>
  <c r="I197" i="28"/>
  <c r="J197" i="28"/>
  <c r="K197" i="28"/>
  <c r="L197" i="28"/>
  <c r="M197" i="28"/>
  <c r="N197" i="28"/>
  <c r="D204" i="28"/>
  <c r="E204" i="28"/>
  <c r="F204" i="28"/>
  <c r="G204" i="28"/>
  <c r="H204" i="28"/>
  <c r="I204" i="28"/>
  <c r="J204" i="28"/>
  <c r="K204" i="28"/>
  <c r="L204" i="28"/>
  <c r="M204" i="28"/>
  <c r="N204" i="28"/>
  <c r="D207" i="28"/>
  <c r="E207" i="28"/>
  <c r="F207" i="28"/>
  <c r="G207" i="28"/>
  <c r="H207" i="28"/>
  <c r="I207" i="28"/>
  <c r="J207" i="28"/>
  <c r="K207" i="28"/>
  <c r="L207" i="28"/>
  <c r="M207" i="28"/>
  <c r="N207" i="28"/>
  <c r="I254" i="28" l="1"/>
  <c r="F254" i="28"/>
  <c r="G254" i="28"/>
  <c r="H254" i="28"/>
  <c r="E254" i="28"/>
  <c r="E44" i="19"/>
  <c r="F44" i="19"/>
  <c r="G44" i="19"/>
  <c r="H44" i="19"/>
  <c r="D44" i="19"/>
  <c r="B14" i="30" a="1"/>
  <c r="B14" i="30" s="1"/>
  <c r="B78" i="33" l="1" a="1"/>
  <c r="B78" i="33" s="1"/>
  <c r="B76" i="33" a="1"/>
  <c r="B76" i="33" s="1"/>
  <c r="B73" i="33" a="1"/>
  <c r="B73" i="33" s="1"/>
  <c r="B68" i="33" a="1"/>
  <c r="B68" i="33" s="1"/>
  <c r="B60" i="33" a="1"/>
  <c r="B60" i="33" s="1"/>
  <c r="B57" i="33" a="1"/>
  <c r="B57" i="33" s="1"/>
  <c r="B52" i="33" a="1"/>
  <c r="B52" i="33" s="1"/>
  <c r="B49" i="33" a="1"/>
  <c r="B49" i="33" s="1"/>
  <c r="B48" i="33" a="1"/>
  <c r="B48" i="33" s="1"/>
  <c r="B41" i="33" a="1"/>
  <c r="B41" i="33" s="1"/>
  <c r="B39" i="33" a="1"/>
  <c r="B39" i="33" s="1"/>
  <c r="B33" i="33" a="1"/>
  <c r="B33" i="33" s="1"/>
  <c r="B29" i="33" a="1"/>
  <c r="B29" i="33" s="1"/>
  <c r="B26" i="33" a="1"/>
  <c r="B26" i="33" s="1"/>
  <c r="B17" i="33" a="1"/>
  <c r="B17" i="33" s="1"/>
  <c r="B16" i="33" a="1"/>
  <c r="B16" i="33" s="1"/>
  <c r="B6" i="33" a="1"/>
  <c r="B6" i="33" s="1"/>
  <c r="B4" i="33" a="1"/>
  <c r="B4" i="33" s="1"/>
  <c r="B2" i="33" a="1"/>
  <c r="B2" i="33" s="1"/>
  <c r="B21" i="32" a="1"/>
  <c r="B21" i="32" s="1"/>
  <c r="B20" i="32" a="1"/>
  <c r="B20" i="32" s="1"/>
  <c r="B17" i="32" a="1"/>
  <c r="B17" i="32" s="1"/>
  <c r="B12" i="32" a="1"/>
  <c r="B12" i="32" s="1"/>
  <c r="B11" i="32" a="1"/>
  <c r="B11" i="32" s="1"/>
  <c r="B8" i="32" a="1"/>
  <c r="B8" i="32" s="1"/>
  <c r="B7" i="32" a="1"/>
  <c r="B7" i="32" s="1"/>
  <c r="B6" i="32" a="1"/>
  <c r="B6" i="32" s="1"/>
  <c r="B4" i="32" a="1"/>
  <c r="B4" i="32" s="1"/>
  <c r="B3" i="32" a="1"/>
  <c r="B3" i="32" s="1"/>
  <c r="B2" i="32" a="1"/>
  <c r="B2" i="32" s="1"/>
  <c r="B19" i="30" a="1"/>
  <c r="B19" i="30" s="1"/>
  <c r="B18" i="30" a="1"/>
  <c r="B18" i="30" s="1"/>
  <c r="B15" i="30" a="1"/>
  <c r="B15" i="30" s="1"/>
  <c r="B11" i="30" a="1"/>
  <c r="B11" i="30" s="1"/>
  <c r="B10" i="30" a="1"/>
  <c r="B10" i="30" s="1"/>
  <c r="B7" i="30" a="1"/>
  <c r="B7" i="30" s="1"/>
  <c r="B6" i="30" a="1"/>
  <c r="B6" i="30" s="1"/>
  <c r="B5" i="30" a="1"/>
  <c r="B5" i="30" s="1"/>
  <c r="I32" i="29"/>
  <c r="H32" i="29"/>
  <c r="G32" i="29"/>
  <c r="F32" i="29"/>
  <c r="E32" i="29"/>
  <c r="I253" i="28"/>
  <c r="H253" i="28"/>
  <c r="G253" i="28"/>
  <c r="F253" i="28"/>
  <c r="E253" i="28"/>
  <c r="G30" i="28" a="1"/>
  <c r="G30" i="28" s="1"/>
  <c r="H30" i="28" a="1"/>
  <c r="H30" i="28" s="1"/>
  <c r="D198" i="28"/>
  <c r="E198" i="28"/>
  <c r="F198" i="28"/>
  <c r="G198" i="28"/>
  <c r="H198" i="28"/>
  <c r="I198" i="28"/>
  <c r="J198" i="28"/>
  <c r="D31" i="28" s="1" a="1"/>
  <c r="D31" i="28" s="1"/>
  <c r="K198" i="28"/>
  <c r="E31" i="28" s="1" a="1"/>
  <c r="E31" i="28" s="1"/>
  <c r="L198" i="28"/>
  <c r="F31" i="28" s="1" a="1"/>
  <c r="F31" i="28" s="1"/>
  <c r="M198" i="28"/>
  <c r="G31" i="28" s="1" a="1"/>
  <c r="G31" i="28" s="1"/>
  <c r="N198" i="28"/>
  <c r="H31" i="28" s="1" a="1"/>
  <c r="H31" i="28" s="1"/>
  <c r="D199" i="28"/>
  <c r="E199" i="28"/>
  <c r="F199" i="28"/>
  <c r="G199" i="28"/>
  <c r="H199" i="28"/>
  <c r="I199" i="28"/>
  <c r="J199" i="28"/>
  <c r="K199" i="28"/>
  <c r="L199" i="28"/>
  <c r="M199" i="28"/>
  <c r="N199" i="28"/>
  <c r="D200" i="28"/>
  <c r="E200" i="28"/>
  <c r="F200" i="28"/>
  <c r="G200" i="28"/>
  <c r="H200" i="28"/>
  <c r="I200" i="28"/>
  <c r="J200" i="28"/>
  <c r="K200" i="28"/>
  <c r="L200" i="28"/>
  <c r="F33" i="28" s="1" a="1"/>
  <c r="F33" i="28" s="1"/>
  <c r="M200" i="28"/>
  <c r="G33" i="28" s="1" a="1"/>
  <c r="G33" i="28" s="1"/>
  <c r="N200" i="28"/>
  <c r="H33" i="28" s="1" a="1"/>
  <c r="H33" i="28" s="1"/>
  <c r="D201" i="28"/>
  <c r="E201" i="28"/>
  <c r="F201" i="28"/>
  <c r="G201" i="28"/>
  <c r="H201" i="28"/>
  <c r="I201" i="28"/>
  <c r="J201" i="28"/>
  <c r="D34" i="28" s="1" a="1"/>
  <c r="D34" i="28" s="1"/>
  <c r="K201" i="28"/>
  <c r="E34" i="28" s="1" a="1"/>
  <c r="E34" i="28" s="1"/>
  <c r="L201" i="28"/>
  <c r="F34" i="28" s="1" a="1"/>
  <c r="F34" i="28" s="1"/>
  <c r="M201" i="28"/>
  <c r="G34" i="28" s="1" a="1"/>
  <c r="G34" i="28" s="1"/>
  <c r="N201" i="28"/>
  <c r="H34" i="28" s="1" a="1"/>
  <c r="H34" i="28" s="1"/>
  <c r="D202" i="28"/>
  <c r="E202" i="28"/>
  <c r="F202" i="28"/>
  <c r="G202" i="28"/>
  <c r="H202" i="28"/>
  <c r="I202" i="28"/>
  <c r="J202" i="28"/>
  <c r="D35" i="28" s="1" a="1"/>
  <c r="D35" i="28" s="1"/>
  <c r="K202" i="28"/>
  <c r="E35" i="28" s="1" a="1"/>
  <c r="E35" i="28" s="1"/>
  <c r="L202" i="28"/>
  <c r="F35" i="28" s="1" a="1"/>
  <c r="F35" i="28" s="1"/>
  <c r="M202" i="28"/>
  <c r="G35" i="28" s="1" a="1"/>
  <c r="G35" i="28" s="1"/>
  <c r="N202" i="28"/>
  <c r="H35" i="28" s="1" a="1"/>
  <c r="H35" i="28" s="1"/>
  <c r="D203" i="28"/>
  <c r="E203" i="28"/>
  <c r="F203" i="28"/>
  <c r="G203" i="28"/>
  <c r="H203" i="28"/>
  <c r="I203" i="28"/>
  <c r="J203" i="28"/>
  <c r="K203" i="28"/>
  <c r="L203" i="28"/>
  <c r="M203" i="28"/>
  <c r="N203" i="28"/>
  <c r="D205" i="28"/>
  <c r="E205" i="28"/>
  <c r="F205" i="28"/>
  <c r="G205" i="28"/>
  <c r="H205" i="28"/>
  <c r="I205" i="28"/>
  <c r="J205" i="28"/>
  <c r="K205" i="28"/>
  <c r="L205" i="28"/>
  <c r="M205" i="28"/>
  <c r="N205" i="28"/>
  <c r="D206" i="28"/>
  <c r="E206" i="28"/>
  <c r="F206" i="28"/>
  <c r="G206" i="28"/>
  <c r="H206" i="28"/>
  <c r="I206" i="28"/>
  <c r="J206" i="28"/>
  <c r="K206" i="28"/>
  <c r="E39" i="28" s="1" a="1"/>
  <c r="E39" i="28" s="1"/>
  <c r="L206" i="28"/>
  <c r="F39" i="28" s="1" a="1"/>
  <c r="F39" i="28" s="1"/>
  <c r="M206" i="28"/>
  <c r="G39" i="28" s="1" a="1"/>
  <c r="G39" i="28" s="1"/>
  <c r="N206" i="28"/>
  <c r="D208" i="28"/>
  <c r="E208" i="28"/>
  <c r="F208" i="28"/>
  <c r="G208" i="28"/>
  <c r="H208" i="28"/>
  <c r="I208" i="28"/>
  <c r="J208" i="28"/>
  <c r="D41" i="28" s="1" a="1"/>
  <c r="D41" i="28" s="1"/>
  <c r="K208" i="28"/>
  <c r="E41" i="28" s="1" a="1"/>
  <c r="E41" i="28" s="1"/>
  <c r="L208" i="28"/>
  <c r="F41" i="28" s="1" a="1"/>
  <c r="F41" i="28" s="1"/>
  <c r="M208" i="28"/>
  <c r="G41" i="28" s="1" a="1"/>
  <c r="G41" i="28" s="1"/>
  <c r="N208" i="28"/>
  <c r="H41" i="28" s="1" a="1"/>
  <c r="H41" i="28" s="1"/>
  <c r="D209" i="28"/>
  <c r="E209" i="28"/>
  <c r="F209" i="28"/>
  <c r="G209" i="28"/>
  <c r="H209" i="28"/>
  <c r="I209" i="28"/>
  <c r="J209" i="28"/>
  <c r="D42" i="28" s="1" a="1"/>
  <c r="D42" i="28" s="1"/>
  <c r="K209" i="28"/>
  <c r="E42" i="28" s="1" a="1"/>
  <c r="E42" i="28" s="1"/>
  <c r="L209" i="28"/>
  <c r="F42" i="28" s="1" a="1"/>
  <c r="F42" i="28" s="1"/>
  <c r="M209" i="28"/>
  <c r="G42" i="28" s="1" a="1"/>
  <c r="G42" i="28" s="1"/>
  <c r="N209" i="28"/>
  <c r="H42" i="28" s="1" a="1"/>
  <c r="H42" i="28" s="1"/>
  <c r="D210" i="28"/>
  <c r="E210" i="28"/>
  <c r="F210" i="28"/>
  <c r="G210" i="28"/>
  <c r="H210" i="28"/>
  <c r="I210" i="28"/>
  <c r="J210" i="28"/>
  <c r="D43" i="28" s="1" a="1"/>
  <c r="D43" i="28" s="1"/>
  <c r="K210" i="28"/>
  <c r="E43" i="28" s="1" a="1"/>
  <c r="E43" i="28" s="1"/>
  <c r="L210" i="28"/>
  <c r="F43" i="28" s="1" a="1"/>
  <c r="F43" i="28" s="1"/>
  <c r="M210" i="28"/>
  <c r="G43" i="28" s="1" a="1"/>
  <c r="G43" i="28" s="1"/>
  <c r="N210" i="28"/>
  <c r="H43" i="28" s="1" a="1"/>
  <c r="H43" i="28" s="1"/>
  <c r="D211" i="28"/>
  <c r="E211" i="28"/>
  <c r="F211" i="28"/>
  <c r="G211" i="28"/>
  <c r="H211" i="28"/>
  <c r="I211" i="28"/>
  <c r="J211" i="28"/>
  <c r="D44" i="28" s="1" a="1"/>
  <c r="D44" i="28" s="1"/>
  <c r="K211" i="28"/>
  <c r="E44" i="28" s="1" a="1"/>
  <c r="E44" i="28" s="1"/>
  <c r="L211" i="28"/>
  <c r="F44" i="28" s="1" a="1"/>
  <c r="F44" i="28" s="1"/>
  <c r="M211" i="28"/>
  <c r="G44" i="28" s="1" a="1"/>
  <c r="G44" i="28" s="1"/>
  <c r="N211" i="28"/>
  <c r="H44" i="28" s="1" a="1"/>
  <c r="H44" i="28" s="1"/>
  <c r="D212" i="28"/>
  <c r="E212" i="28"/>
  <c r="F212" i="28"/>
  <c r="G212" i="28"/>
  <c r="H212" i="28"/>
  <c r="I212" i="28"/>
  <c r="J212" i="28"/>
  <c r="D45" i="28" s="1" a="1"/>
  <c r="D45" i="28" s="1"/>
  <c r="K212" i="28"/>
  <c r="E45" i="28" s="1" a="1"/>
  <c r="E45" i="28" s="1"/>
  <c r="L212" i="28"/>
  <c r="F45" i="28" s="1" a="1"/>
  <c r="F45" i="28" s="1"/>
  <c r="M212" i="28"/>
  <c r="G45" i="28" s="1" a="1"/>
  <c r="G45" i="28" s="1"/>
  <c r="N212" i="28"/>
  <c r="H45" i="28" s="1" a="1"/>
  <c r="H45" i="28" s="1"/>
  <c r="D213" i="28"/>
  <c r="E213" i="28"/>
  <c r="F213" i="28"/>
  <c r="G213" i="28"/>
  <c r="H213" i="28"/>
  <c r="I213" i="28"/>
  <c r="J213" i="28"/>
  <c r="K213" i="28"/>
  <c r="L213" i="28"/>
  <c r="F46" i="28" s="1" a="1"/>
  <c r="F46" i="28" s="1"/>
  <c r="M213" i="28"/>
  <c r="G46" i="28" s="1" a="1"/>
  <c r="G46" i="28" s="1"/>
  <c r="N213" i="28"/>
  <c r="H46" i="28" s="1" a="1"/>
  <c r="H46" i="28" s="1"/>
  <c r="D214" i="28"/>
  <c r="E214" i="28"/>
  <c r="F214" i="28"/>
  <c r="G214" i="28"/>
  <c r="H214" i="28"/>
  <c r="I214" i="28"/>
  <c r="J214" i="28"/>
  <c r="K214" i="28"/>
  <c r="L214" i="28"/>
  <c r="M214" i="28"/>
  <c r="N214" i="28"/>
  <c r="D215" i="28"/>
  <c r="E215" i="28"/>
  <c r="F215" i="28"/>
  <c r="G215" i="28"/>
  <c r="H215" i="28"/>
  <c r="I215" i="28"/>
  <c r="J215" i="28"/>
  <c r="D48" i="28" s="1" a="1"/>
  <c r="D48" i="28" s="1"/>
  <c r="K215" i="28"/>
  <c r="E48" i="28" s="1" a="1"/>
  <c r="E48" i="28" s="1"/>
  <c r="L215" i="28"/>
  <c r="F48" i="28" s="1" a="1"/>
  <c r="F48" i="28" s="1"/>
  <c r="M215" i="28"/>
  <c r="G48" i="28" s="1" a="1"/>
  <c r="G48" i="28" s="1"/>
  <c r="N215" i="28"/>
  <c r="H48" i="28" s="1" a="1"/>
  <c r="H48" i="28" s="1"/>
  <c r="D216" i="28"/>
  <c r="E216" i="28"/>
  <c r="F216" i="28"/>
  <c r="G216" i="28"/>
  <c r="H216" i="28"/>
  <c r="I216" i="28"/>
  <c r="J216" i="28"/>
  <c r="D49" i="28" s="1" a="1"/>
  <c r="D49" i="28" s="1"/>
  <c r="K216" i="28"/>
  <c r="E49" i="28" s="1" a="1"/>
  <c r="E49" i="28" s="1"/>
  <c r="L216" i="28"/>
  <c r="F49" i="28" s="1" a="1"/>
  <c r="F49" i="28" s="1"/>
  <c r="M216" i="28"/>
  <c r="G49" i="28" s="1" a="1"/>
  <c r="G49" i="28" s="1"/>
  <c r="N216" i="28"/>
  <c r="H49" i="28" s="1" a="1"/>
  <c r="H49" i="28" s="1"/>
  <c r="D217" i="28"/>
  <c r="E217" i="28"/>
  <c r="F217" i="28"/>
  <c r="G217" i="28"/>
  <c r="H217" i="28"/>
  <c r="I217" i="28"/>
  <c r="J217" i="28"/>
  <c r="D50" i="28" s="1" a="1"/>
  <c r="D50" i="28" s="1"/>
  <c r="K217" i="28"/>
  <c r="E50" i="28" s="1" a="1"/>
  <c r="E50" i="28" s="1"/>
  <c r="L217" i="28"/>
  <c r="F50" i="28" s="1" a="1"/>
  <c r="F50" i="28" s="1"/>
  <c r="M217" i="28"/>
  <c r="G50" i="28" s="1" a="1"/>
  <c r="G50" i="28" s="1"/>
  <c r="N217" i="28"/>
  <c r="H50" i="28" s="1" a="1"/>
  <c r="H50" i="28" s="1"/>
  <c r="D218" i="28"/>
  <c r="E218" i="28"/>
  <c r="F218" i="28"/>
  <c r="G218" i="28"/>
  <c r="H218" i="28"/>
  <c r="I218" i="28"/>
  <c r="J218" i="28"/>
  <c r="D51" i="28" s="1" a="1"/>
  <c r="D51" i="28" s="1"/>
  <c r="K218" i="28"/>
  <c r="L218" i="28"/>
  <c r="F51" i="28" s="1" a="1"/>
  <c r="F51" i="28" s="1"/>
  <c r="M218" i="28"/>
  <c r="N218" i="28"/>
  <c r="D219" i="28"/>
  <c r="E219" i="28"/>
  <c r="F219" i="28"/>
  <c r="G219" i="28"/>
  <c r="H219" i="28"/>
  <c r="I219" i="28"/>
  <c r="J219" i="28"/>
  <c r="D52" i="28" s="1" a="1"/>
  <c r="D52" i="28" s="1"/>
  <c r="K219" i="28"/>
  <c r="E52" i="28" s="1" a="1"/>
  <c r="E52" i="28" s="1"/>
  <c r="L219" i="28"/>
  <c r="F52" i="28" s="1" a="1"/>
  <c r="F52" i="28" s="1"/>
  <c r="M219" i="28"/>
  <c r="G52" i="28" s="1" a="1"/>
  <c r="G52" i="28" s="1"/>
  <c r="N219" i="28"/>
  <c r="H52" i="28" s="1" a="1"/>
  <c r="H52" i="28" s="1"/>
  <c r="D220" i="28"/>
  <c r="E220" i="28"/>
  <c r="F220" i="28"/>
  <c r="G220" i="28"/>
  <c r="H220" i="28"/>
  <c r="I220" i="28"/>
  <c r="J220" i="28"/>
  <c r="K220" i="28"/>
  <c r="L220" i="28"/>
  <c r="M220" i="28"/>
  <c r="N220" i="28"/>
  <c r="D221" i="28"/>
  <c r="E221" i="28"/>
  <c r="F221" i="28"/>
  <c r="G221" i="28"/>
  <c r="H221" i="28"/>
  <c r="I221" i="28"/>
  <c r="J221" i="28"/>
  <c r="D54" i="28" s="1" a="1"/>
  <c r="D54" i="28" s="1"/>
  <c r="K221" i="28"/>
  <c r="E54" i="28" s="1" a="1"/>
  <c r="E54" i="28" s="1"/>
  <c r="L221" i="28"/>
  <c r="M221" i="28"/>
  <c r="G54" i="28" s="1" a="1"/>
  <c r="G54" i="28" s="1"/>
  <c r="N221" i="28"/>
  <c r="D222" i="28"/>
  <c r="E222" i="28"/>
  <c r="F222" i="28"/>
  <c r="G222" i="28"/>
  <c r="H222" i="28"/>
  <c r="I222" i="28"/>
  <c r="J222" i="28"/>
  <c r="D55" i="28" s="1" a="1"/>
  <c r="D55" i="28" s="1"/>
  <c r="K222" i="28"/>
  <c r="E55" i="28" s="1" a="1"/>
  <c r="E55" i="28" s="1"/>
  <c r="L222" i="28"/>
  <c r="F55" i="28" s="1" a="1"/>
  <c r="F55" i="28" s="1"/>
  <c r="M222" i="28"/>
  <c r="G55" i="28" s="1" a="1"/>
  <c r="G55" i="28" s="1"/>
  <c r="N222" i="28"/>
  <c r="H55" i="28" s="1" a="1"/>
  <c r="H55" i="28" s="1"/>
  <c r="D223" i="28"/>
  <c r="E223" i="28"/>
  <c r="F223" i="28"/>
  <c r="G223" i="28"/>
  <c r="H223" i="28"/>
  <c r="I223" i="28"/>
  <c r="J223" i="28"/>
  <c r="K223" i="28"/>
  <c r="L223" i="28"/>
  <c r="F56" i="28" s="1" a="1"/>
  <c r="F56" i="28" s="1"/>
  <c r="M223" i="28"/>
  <c r="G56" i="28" s="1" a="1"/>
  <c r="G56" i="28" s="1"/>
  <c r="N223" i="28"/>
  <c r="H56" i="28" s="1" a="1"/>
  <c r="H56" i="28" s="1"/>
  <c r="D224" i="28"/>
  <c r="E224" i="28"/>
  <c r="F224" i="28"/>
  <c r="G224" i="28"/>
  <c r="H224" i="28"/>
  <c r="I224" i="28"/>
  <c r="J224" i="28"/>
  <c r="D57" i="28" s="1" a="1"/>
  <c r="D57" i="28" s="1"/>
  <c r="K224" i="28"/>
  <c r="E57" i="28" s="1" a="1"/>
  <c r="E57" i="28" s="1"/>
  <c r="L224" i="28"/>
  <c r="F57" i="28" s="1" a="1"/>
  <c r="F57" i="28" s="1"/>
  <c r="M224" i="28"/>
  <c r="N224" i="28"/>
  <c r="H57" i="28" s="1" a="1"/>
  <c r="H57" i="28" s="1"/>
  <c r="D225" i="28"/>
  <c r="E225" i="28"/>
  <c r="F225" i="28"/>
  <c r="G225" i="28"/>
  <c r="H225" i="28"/>
  <c r="I225" i="28"/>
  <c r="J225" i="28"/>
  <c r="D58" i="28" s="1" a="1"/>
  <c r="D58" i="28" s="1"/>
  <c r="K225" i="28"/>
  <c r="E58" i="28" s="1" a="1"/>
  <c r="E58" i="28" s="1"/>
  <c r="L225" i="28"/>
  <c r="F58" i="28" s="1" a="1"/>
  <c r="F58" i="28" s="1"/>
  <c r="M225" i="28"/>
  <c r="G58" i="28" s="1" a="1"/>
  <c r="G58" i="28" s="1"/>
  <c r="N225" i="28"/>
  <c r="H58" i="28" s="1" a="1"/>
  <c r="H58" i="28" s="1"/>
  <c r="D226" i="28"/>
  <c r="E226" i="28"/>
  <c r="F226" i="28"/>
  <c r="G226" i="28"/>
  <c r="H226" i="28"/>
  <c r="I226" i="28"/>
  <c r="J226" i="28"/>
  <c r="K226" i="28"/>
  <c r="E59" i="28" s="1" a="1"/>
  <c r="E59" i="28" s="1"/>
  <c r="L226" i="28"/>
  <c r="F59" i="28" s="1" a="1"/>
  <c r="F59" i="28" s="1"/>
  <c r="M226" i="28"/>
  <c r="G59" i="28" s="1" a="1"/>
  <c r="G59" i="28" s="1"/>
  <c r="N226" i="28"/>
  <c r="H59" i="28" s="1" a="1"/>
  <c r="H59" i="28" s="1"/>
  <c r="D227" i="28"/>
  <c r="E227" i="28"/>
  <c r="F227" i="28"/>
  <c r="G227" i="28"/>
  <c r="H227" i="28"/>
  <c r="I227" i="28"/>
  <c r="J227" i="28"/>
  <c r="K227" i="28"/>
  <c r="E60" i="28" s="1" a="1"/>
  <c r="E60" i="28" s="1"/>
  <c r="L227" i="28"/>
  <c r="M227" i="28"/>
  <c r="N227" i="28"/>
  <c r="D228" i="28"/>
  <c r="E228" i="28"/>
  <c r="F228" i="28"/>
  <c r="G228" i="28"/>
  <c r="H228" i="28"/>
  <c r="I228" i="28"/>
  <c r="J228" i="28"/>
  <c r="D61" i="28" s="1" a="1"/>
  <c r="D61" i="28" s="1"/>
  <c r="K228" i="28"/>
  <c r="E61" i="28" s="1" a="1"/>
  <c r="E61" i="28" s="1"/>
  <c r="L228" i="28"/>
  <c r="F61" i="28" s="1" a="1"/>
  <c r="F61" i="28" s="1"/>
  <c r="M228" i="28"/>
  <c r="G61" i="28" s="1" a="1"/>
  <c r="G61" i="28" s="1"/>
  <c r="N228" i="28"/>
  <c r="H61" i="28" s="1" a="1"/>
  <c r="H61" i="28" s="1"/>
  <c r="D229" i="28"/>
  <c r="E229" i="28"/>
  <c r="F229" i="28"/>
  <c r="G229" i="28"/>
  <c r="H229" i="28"/>
  <c r="I229" i="28"/>
  <c r="J229" i="28"/>
  <c r="K229" i="28"/>
  <c r="L229" i="28"/>
  <c r="M229" i="28"/>
  <c r="N229" i="28"/>
  <c r="D230" i="28"/>
  <c r="E230" i="28"/>
  <c r="F230" i="28"/>
  <c r="G230" i="28"/>
  <c r="H230" i="28"/>
  <c r="I230" i="28"/>
  <c r="J230" i="28"/>
  <c r="D63" i="28" s="1" a="1"/>
  <c r="D63" i="28" s="1"/>
  <c r="K230" i="28"/>
  <c r="E63" i="28" s="1" a="1"/>
  <c r="E63" i="28" s="1"/>
  <c r="L230" i="28"/>
  <c r="M230" i="28"/>
  <c r="G63" i="28" s="1" a="1"/>
  <c r="G63" i="28" s="1"/>
  <c r="N230" i="28"/>
  <c r="D231" i="28"/>
  <c r="E231" i="28"/>
  <c r="F231" i="28"/>
  <c r="G231" i="28"/>
  <c r="H231" i="28"/>
  <c r="I231" i="28"/>
  <c r="J231" i="28"/>
  <c r="D64" i="28" s="1" a="1"/>
  <c r="D64" i="28" s="1"/>
  <c r="K231" i="28"/>
  <c r="E64" i="28" s="1" a="1"/>
  <c r="E64" i="28" s="1"/>
  <c r="L231" i="28"/>
  <c r="F64" i="28" s="1" a="1"/>
  <c r="F64" i="28" s="1"/>
  <c r="M231" i="28"/>
  <c r="G64" i="28" s="1" a="1"/>
  <c r="G64" i="28" s="1"/>
  <c r="N231" i="28"/>
  <c r="H64" i="28" s="1" a="1"/>
  <c r="H64" i="28" s="1"/>
  <c r="D232" i="28"/>
  <c r="E232" i="28"/>
  <c r="F232" i="28"/>
  <c r="G232" i="28"/>
  <c r="H232" i="28"/>
  <c r="I232" i="28"/>
  <c r="J232" i="28"/>
  <c r="K232" i="28"/>
  <c r="L232" i="28"/>
  <c r="F65" i="28" s="1" a="1"/>
  <c r="F65" i="28" s="1"/>
  <c r="M232" i="28"/>
  <c r="G65" i="28" s="1" a="1"/>
  <c r="G65" i="28" s="1"/>
  <c r="N232" i="28"/>
  <c r="D233" i="28"/>
  <c r="E233" i="28"/>
  <c r="F233" i="28"/>
  <c r="G233" i="28"/>
  <c r="H233" i="28"/>
  <c r="I233" i="28"/>
  <c r="J233" i="28"/>
  <c r="D66" i="28" s="1" a="1"/>
  <c r="D66" i="28" s="1"/>
  <c r="K233" i="28"/>
  <c r="E66" i="28" s="1" a="1"/>
  <c r="E66" i="28" s="1"/>
  <c r="L233" i="28"/>
  <c r="F66" i="28" s="1" a="1"/>
  <c r="F66" i="28" s="1"/>
  <c r="M233" i="28"/>
  <c r="G66" i="28" s="1" a="1"/>
  <c r="G66" i="28" s="1"/>
  <c r="N233" i="28"/>
  <c r="H66" i="28" s="1" a="1"/>
  <c r="H66" i="28" s="1"/>
  <c r="D234" i="28"/>
  <c r="E234" i="28"/>
  <c r="F234" i="28"/>
  <c r="G234" i="28"/>
  <c r="H234" i="28"/>
  <c r="I234" i="28"/>
  <c r="J234" i="28"/>
  <c r="D67" i="28" s="1" a="1"/>
  <c r="D67" i="28" s="1"/>
  <c r="K234" i="28"/>
  <c r="L234" i="28"/>
  <c r="M234" i="28"/>
  <c r="N234" i="28"/>
  <c r="D235" i="28"/>
  <c r="E235" i="28"/>
  <c r="F235" i="28"/>
  <c r="G235" i="28"/>
  <c r="H235" i="28"/>
  <c r="I235" i="28"/>
  <c r="J235" i="28"/>
  <c r="D68" i="28" s="1" a="1"/>
  <c r="D68" i="28" s="1"/>
  <c r="K235" i="28"/>
  <c r="E68" i="28" s="1" a="1"/>
  <c r="E68" i="28" s="1"/>
  <c r="L235" i="28"/>
  <c r="F68" i="28" s="1" a="1"/>
  <c r="F68" i="28" s="1"/>
  <c r="M235" i="28"/>
  <c r="G68" i="28" s="1" a="1"/>
  <c r="G68" i="28" s="1"/>
  <c r="N235" i="28"/>
  <c r="H68" i="28" s="1" a="1"/>
  <c r="H68" i="28" s="1"/>
  <c r="D236" i="28"/>
  <c r="E236" i="28"/>
  <c r="F236" i="28"/>
  <c r="G236" i="28"/>
  <c r="H236" i="28"/>
  <c r="I236" i="28"/>
  <c r="J236" i="28"/>
  <c r="K236" i="28"/>
  <c r="L236" i="28"/>
  <c r="F69" i="28" s="1" a="1"/>
  <c r="F69" i="28" s="1"/>
  <c r="M236" i="28"/>
  <c r="N236" i="28"/>
  <c r="D237" i="28"/>
  <c r="E237" i="28"/>
  <c r="F237" i="28"/>
  <c r="G237" i="28"/>
  <c r="H237" i="28"/>
  <c r="I237" i="28"/>
  <c r="J237" i="28"/>
  <c r="D70" i="28" s="1" a="1"/>
  <c r="D70" i="28" s="1"/>
  <c r="K237" i="28"/>
  <c r="E70" i="28" s="1" a="1"/>
  <c r="E70" i="28" s="1"/>
  <c r="L237" i="28"/>
  <c r="F70" i="28" s="1" a="1"/>
  <c r="F70" i="28" s="1"/>
  <c r="M237" i="28"/>
  <c r="G70" i="28" s="1" a="1"/>
  <c r="G70" i="28" s="1"/>
  <c r="N237" i="28"/>
  <c r="H70" i="28" s="1" a="1"/>
  <c r="H70" i="28" s="1"/>
  <c r="D238" i="28"/>
  <c r="E238" i="28"/>
  <c r="F238" i="28"/>
  <c r="G238" i="28"/>
  <c r="H238" i="28"/>
  <c r="I238" i="28"/>
  <c r="J238" i="28"/>
  <c r="K238" i="28"/>
  <c r="L238" i="28"/>
  <c r="M238" i="28"/>
  <c r="N238" i="28"/>
  <c r="D239" i="28"/>
  <c r="E239" i="28"/>
  <c r="F239" i="28"/>
  <c r="G239" i="28"/>
  <c r="H239" i="28"/>
  <c r="I239" i="28"/>
  <c r="J239" i="28"/>
  <c r="D72" i="28" s="1" a="1"/>
  <c r="D72" i="28" s="1"/>
  <c r="K239" i="28"/>
  <c r="E72" i="28" s="1" a="1"/>
  <c r="E72" i="28" s="1"/>
  <c r="L239" i="28"/>
  <c r="F72" i="28" s="1" a="1"/>
  <c r="F72" i="28" s="1"/>
  <c r="M239" i="28"/>
  <c r="G72" i="28" s="1" a="1"/>
  <c r="G72" i="28" s="1"/>
  <c r="N239" i="28"/>
  <c r="H72" i="28" s="1" a="1"/>
  <c r="H72" i="28" s="1"/>
  <c r="D240" i="28"/>
  <c r="E240" i="28"/>
  <c r="F240" i="28"/>
  <c r="G240" i="28"/>
  <c r="H240" i="28"/>
  <c r="I240" i="28"/>
  <c r="J240" i="28"/>
  <c r="D73" i="28" s="1" a="1"/>
  <c r="D73" i="28" s="1"/>
  <c r="K240" i="28"/>
  <c r="E73" i="28" s="1" a="1"/>
  <c r="E73" i="28" s="1"/>
  <c r="L240" i="28"/>
  <c r="F73" i="28" s="1" a="1"/>
  <c r="F73" i="28" s="1"/>
  <c r="M240" i="28"/>
  <c r="G73" i="28" s="1" a="1"/>
  <c r="G73" i="28" s="1"/>
  <c r="N240" i="28"/>
  <c r="H73" i="28" s="1" a="1"/>
  <c r="H73" i="28" s="1"/>
  <c r="D241" i="28"/>
  <c r="E241" i="28"/>
  <c r="F241" i="28"/>
  <c r="G241" i="28"/>
  <c r="H241" i="28"/>
  <c r="I241" i="28"/>
  <c r="J241" i="28"/>
  <c r="D74" i="28" s="1" a="1"/>
  <c r="D74" i="28" s="1"/>
  <c r="K241" i="28"/>
  <c r="E74" i="28" s="1" a="1"/>
  <c r="E74" i="28" s="1"/>
  <c r="L241" i="28"/>
  <c r="F74" i="28" s="1" a="1"/>
  <c r="F74" i="28" s="1"/>
  <c r="M241" i="28"/>
  <c r="G74" i="28" s="1" a="1"/>
  <c r="G74" i="28" s="1"/>
  <c r="N241" i="28"/>
  <c r="H74" i="28" s="1" a="1"/>
  <c r="H74" i="28" s="1"/>
  <c r="D242" i="28"/>
  <c r="E242" i="28"/>
  <c r="F242" i="28"/>
  <c r="G242" i="28"/>
  <c r="H242" i="28"/>
  <c r="I242" i="28"/>
  <c r="J242" i="28"/>
  <c r="K242" i="28"/>
  <c r="L242" i="28"/>
  <c r="M242" i="28"/>
  <c r="N242" i="28"/>
  <c r="H75" i="28" s="1" a="1"/>
  <c r="H75" i="28" s="1"/>
  <c r="D243" i="28"/>
  <c r="E243" i="28"/>
  <c r="F243" i="28"/>
  <c r="G243" i="28"/>
  <c r="H243" i="28"/>
  <c r="I243" i="28"/>
  <c r="J243" i="28"/>
  <c r="D76" i="28" s="1" a="1"/>
  <c r="D76" i="28" s="1"/>
  <c r="K243" i="28"/>
  <c r="E76" i="28" s="1" a="1"/>
  <c r="E76" i="28" s="1"/>
  <c r="L243" i="28"/>
  <c r="F76" i="28" s="1" a="1"/>
  <c r="F76" i="28" s="1"/>
  <c r="M243" i="28"/>
  <c r="G76" i="28" s="1" a="1"/>
  <c r="G76" i="28" s="1"/>
  <c r="N243" i="28"/>
  <c r="H76" i="28" s="1" a="1"/>
  <c r="H76" i="28" s="1"/>
  <c r="D244" i="28"/>
  <c r="E244" i="28"/>
  <c r="F244" i="28"/>
  <c r="G244" i="28"/>
  <c r="H244" i="28"/>
  <c r="I244" i="28"/>
  <c r="J244" i="28"/>
  <c r="D77" i="28" s="1" a="1"/>
  <c r="D77" i="28" s="1"/>
  <c r="K244" i="28"/>
  <c r="E77" i="28" s="1" a="1"/>
  <c r="E77" i="28" s="1"/>
  <c r="L244" i="28"/>
  <c r="F77" i="28" s="1" a="1"/>
  <c r="F77" i="28" s="1"/>
  <c r="M244" i="28"/>
  <c r="G77" i="28" s="1" a="1"/>
  <c r="G77" i="28" s="1"/>
  <c r="N244" i="28"/>
  <c r="H77" i="28" s="1" a="1"/>
  <c r="H77" i="28" s="1"/>
  <c r="D245" i="28"/>
  <c r="E245" i="28"/>
  <c r="F245" i="28"/>
  <c r="G245" i="28"/>
  <c r="H245" i="28"/>
  <c r="I245" i="28"/>
  <c r="J245" i="28"/>
  <c r="D78" i="28" s="1" a="1"/>
  <c r="D78" i="28" s="1"/>
  <c r="K245" i="28"/>
  <c r="E78" i="28" s="1" a="1"/>
  <c r="E78" i="28" s="1"/>
  <c r="L245" i="28"/>
  <c r="F78" i="28" s="1" a="1"/>
  <c r="F78" i="28" s="1"/>
  <c r="M245" i="28"/>
  <c r="G78" i="28" s="1" a="1"/>
  <c r="G78" i="28" s="1"/>
  <c r="N245" i="28"/>
  <c r="H78" i="28" s="1" a="1"/>
  <c r="H78" i="28" s="1"/>
  <c r="D246" i="28"/>
  <c r="E246" i="28"/>
  <c r="F246" i="28"/>
  <c r="G246" i="28"/>
  <c r="H246" i="28"/>
  <c r="I246" i="28"/>
  <c r="J246" i="28"/>
  <c r="D79" i="28" s="1" a="1"/>
  <c r="D79" i="28" s="1"/>
  <c r="K246" i="28"/>
  <c r="E79" i="28" s="1" a="1"/>
  <c r="E79" i="28" s="1"/>
  <c r="L246" i="28"/>
  <c r="F79" i="28" s="1" a="1"/>
  <c r="F79" i="28" s="1"/>
  <c r="M246" i="28"/>
  <c r="G79" i="28" s="1" a="1"/>
  <c r="G79" i="28" s="1"/>
  <c r="N246" i="28"/>
  <c r="H79" i="28" s="1" a="1"/>
  <c r="H79" i="28" s="1"/>
  <c r="E196" i="28"/>
  <c r="F196" i="28"/>
  <c r="G196" i="28"/>
  <c r="H196" i="28"/>
  <c r="I196" i="28"/>
  <c r="J196" i="28"/>
  <c r="D29" i="28" s="1" a="1"/>
  <c r="D29" i="28" s="1"/>
  <c r="K196" i="28"/>
  <c r="L196" i="28"/>
  <c r="M196" i="28"/>
  <c r="N196" i="28"/>
  <c r="D196" i="28"/>
  <c r="E75" i="28" l="1" a="1"/>
  <c r="E75" i="28" s="1"/>
  <c r="E65" i="28" a="1"/>
  <c r="E65" i="28" s="1"/>
  <c r="G53" i="28" a="1"/>
  <c r="G53" i="28" s="1"/>
  <c r="D46" i="28" a="1"/>
  <c r="D46" i="28" s="1"/>
  <c r="D36" i="28" a="1"/>
  <c r="D36" i="28" s="1"/>
  <c r="H32" i="28" a="1"/>
  <c r="H32" i="28" s="1"/>
  <c r="E29" i="28" a="1"/>
  <c r="E29" i="28" s="1"/>
  <c r="F75" i="28" a="1"/>
  <c r="F75" i="28" s="1"/>
  <c r="E69" i="28" a="1"/>
  <c r="E69" i="28" s="1"/>
  <c r="G67" i="28" a="1"/>
  <c r="G67" i="28" s="1"/>
  <c r="H65" i="28" a="1"/>
  <c r="H65" i="28" s="1"/>
  <c r="H63" i="28" a="1"/>
  <c r="H63" i="28" s="1"/>
  <c r="D60" i="28" a="1"/>
  <c r="D60" i="28" s="1"/>
  <c r="G57" i="28" a="1"/>
  <c r="G57" i="28" s="1"/>
  <c r="D56" i="28" a="1"/>
  <c r="D56" i="28" s="1"/>
  <c r="H53" i="28" a="1"/>
  <c r="H53" i="28" s="1"/>
  <c r="G47" i="28" a="1"/>
  <c r="G47" i="28" s="1"/>
  <c r="E46" i="28" a="1"/>
  <c r="E46" i="28" s="1"/>
  <c r="D40" i="28" a="1"/>
  <c r="D40" i="28" s="1"/>
  <c r="F38" i="28" a="1"/>
  <c r="F38" i="28" s="1"/>
  <c r="G37" i="28" a="1"/>
  <c r="G37" i="28" s="1"/>
  <c r="E36" i="28" a="1"/>
  <c r="E36" i="28" s="1"/>
  <c r="D30" i="28" a="1"/>
  <c r="D30" i="28" s="1"/>
  <c r="F47" i="28" a="1"/>
  <c r="F47" i="28" s="1"/>
  <c r="F37" i="28" a="1"/>
  <c r="F37" i="28" s="1"/>
  <c r="H54" i="28" a="1"/>
  <c r="H54" i="28" s="1"/>
  <c r="E47" i="28" a="1"/>
  <c r="E47" i="28" s="1"/>
  <c r="E37" i="28" a="1"/>
  <c r="E37" i="28" s="1"/>
  <c r="D47" i="28" a="1"/>
  <c r="D47" i="28" s="1"/>
  <c r="D37" i="28" a="1"/>
  <c r="D37" i="28" s="1"/>
  <c r="D75" i="28" a="1"/>
  <c r="D75" i="28" s="1"/>
  <c r="H71" i="28" a="1"/>
  <c r="H71" i="28" s="1"/>
  <c r="E71" i="28" a="1"/>
  <c r="E71" i="28" s="1"/>
  <c r="D65" i="28" a="1"/>
  <c r="D65" i="28" s="1"/>
  <c r="F63" i="28" a="1"/>
  <c r="F63" i="28" s="1"/>
  <c r="G62" i="28" a="1"/>
  <c r="G62" i="28" s="1"/>
  <c r="F53" i="28" a="1"/>
  <c r="F53" i="28" s="1"/>
  <c r="H51" i="28" a="1"/>
  <c r="H51" i="28" s="1"/>
  <c r="E51" i="28" a="1"/>
  <c r="E51" i="28" s="1"/>
  <c r="G32" i="28" a="1"/>
  <c r="G32" i="28" s="1"/>
  <c r="G71" i="28" a="1"/>
  <c r="G71" i="28" s="1"/>
  <c r="G69" i="28" a="1"/>
  <c r="G69" i="28" s="1"/>
  <c r="H67" i="28" a="1"/>
  <c r="H67" i="28" s="1"/>
  <c r="F62" i="28" a="1"/>
  <c r="F62" i="28" s="1"/>
  <c r="H60" i="28" a="1"/>
  <c r="H60" i="28" s="1"/>
  <c r="E56" i="28" a="1"/>
  <c r="E56" i="28" s="1"/>
  <c r="D53" i="28" a="1"/>
  <c r="D53" i="28" s="1"/>
  <c r="G51" i="28" a="1"/>
  <c r="G51" i="28" s="1"/>
  <c r="H40" i="28" a="1"/>
  <c r="H40" i="28" s="1"/>
  <c r="E38" i="28" a="1"/>
  <c r="E38" i="28" s="1"/>
  <c r="H36" i="28" a="1"/>
  <c r="H36" i="28" s="1"/>
  <c r="E33" i="28" a="1"/>
  <c r="E33" i="28" s="1"/>
  <c r="F32" i="28" a="1"/>
  <c r="F32" i="28" s="1"/>
  <c r="H29" i="28" a="1"/>
  <c r="H29" i="28" s="1"/>
  <c r="F71" i="28" a="1"/>
  <c r="F71" i="28" s="1"/>
  <c r="H69" i="28" a="1"/>
  <c r="H69" i="28" s="1"/>
  <c r="D69" i="28" a="1"/>
  <c r="D69" i="28" s="1"/>
  <c r="E62" i="28" a="1"/>
  <c r="E62" i="28" s="1"/>
  <c r="G60" i="28" a="1"/>
  <c r="G60" i="28" s="1"/>
  <c r="D59" i="28" a="1"/>
  <c r="D59" i="28" s="1"/>
  <c r="G40" i="28" a="1"/>
  <c r="G40" i="28" s="1"/>
  <c r="H39" i="28" a="1"/>
  <c r="H39" i="28" s="1"/>
  <c r="D39" i="28" a="1"/>
  <c r="D39" i="28" s="1"/>
  <c r="D33" i="28" a="1"/>
  <c r="D33" i="28" s="1"/>
  <c r="E32" i="28" a="1"/>
  <c r="E32" i="28" s="1"/>
  <c r="G29" i="28" a="1"/>
  <c r="G29" i="28" s="1"/>
  <c r="D62" i="28" a="1"/>
  <c r="D62" i="28" s="1"/>
  <c r="F60" i="28" a="1"/>
  <c r="F60" i="28" s="1"/>
  <c r="F40" i="28" a="1"/>
  <c r="F40" i="28" s="1"/>
  <c r="H38" i="28" a="1"/>
  <c r="H38" i="28" s="1"/>
  <c r="D38" i="28" a="1"/>
  <c r="D38" i="28" s="1"/>
  <c r="D32" i="28" a="1"/>
  <c r="D32" i="28" s="1"/>
  <c r="F30" i="28" a="1"/>
  <c r="F30" i="28" s="1"/>
  <c r="F29" i="28" a="1"/>
  <c r="F29" i="28" s="1"/>
  <c r="D71" i="28" a="1"/>
  <c r="D71" i="28" s="1"/>
  <c r="E67" i="28" a="1"/>
  <c r="E67" i="28" s="1"/>
  <c r="H47" i="28" a="1"/>
  <c r="H47" i="28" s="1"/>
  <c r="E40" i="28" a="1"/>
  <c r="E40" i="28" s="1"/>
  <c r="G38" i="28" a="1"/>
  <c r="G38" i="28" s="1"/>
  <c r="H37" i="28" a="1"/>
  <c r="H37" i="28" s="1"/>
  <c r="E30" i="28" a="1"/>
  <c r="E30" i="28" s="1"/>
  <c r="E53" i="28" a="1"/>
  <c r="E53" i="28" s="1"/>
  <c r="H62" i="28" a="1"/>
  <c r="H62" i="28" s="1"/>
  <c r="F54" i="28" a="1"/>
  <c r="F54" i="28" s="1"/>
  <c r="G36" i="28" a="1"/>
  <c r="G36" i="28" s="1"/>
  <c r="F67" i="28" a="1"/>
  <c r="F67" i="28" s="1"/>
  <c r="F36" i="28" a="1"/>
  <c r="F36" i="28" s="1"/>
  <c r="G75" i="28" a="1"/>
  <c r="G75" i="28" s="1"/>
  <c r="C104" i="31" l="1" a="1"/>
  <c r="C104" i="31" s="1"/>
  <c r="I150" i="26"/>
  <c r="H150" i="26"/>
  <c r="G150" i="26"/>
  <c r="F150" i="26"/>
  <c r="E150" i="26"/>
  <c r="E15" i="26" l="1"/>
  <c r="E16" i="26"/>
  <c r="E17" i="26"/>
  <c r="E18" i="26"/>
  <c r="E19" i="26"/>
  <c r="E27" i="25"/>
  <c r="F27" i="25"/>
  <c r="G27" i="25"/>
  <c r="H27" i="25"/>
  <c r="D27" i="25"/>
  <c r="J44" i="25"/>
  <c r="K44" i="25"/>
  <c r="L44" i="25"/>
  <c r="M44" i="25"/>
  <c r="I44" i="25"/>
  <c r="I43" i="25"/>
  <c r="J43" i="25"/>
  <c r="K43" i="25"/>
  <c r="L43" i="25"/>
  <c r="M43" i="25"/>
  <c r="E43" i="25"/>
  <c r="F43" i="25"/>
  <c r="G43" i="25"/>
  <c r="H43" i="25"/>
  <c r="D43" i="25"/>
  <c r="F55" i="25"/>
  <c r="E28" i="25" s="1"/>
  <c r="I53" i="25"/>
  <c r="H53" i="25"/>
  <c r="G53" i="25"/>
  <c r="F53" i="25"/>
  <c r="E53" i="25"/>
  <c r="I52" i="25"/>
  <c r="I55" i="25" s="1"/>
  <c r="H28" i="25" s="1"/>
  <c r="H52" i="25"/>
  <c r="H55" i="25" s="1"/>
  <c r="G28" i="25" s="1"/>
  <c r="G52" i="25"/>
  <c r="G55" i="25" s="1"/>
  <c r="F28" i="25" s="1"/>
  <c r="F52" i="25"/>
  <c r="E52" i="25"/>
  <c r="E55" i="25" s="1"/>
  <c r="D28" i="25" s="1"/>
  <c r="I69" i="25"/>
  <c r="H69" i="25"/>
  <c r="G69" i="25"/>
  <c r="F69" i="25"/>
  <c r="E69" i="25"/>
  <c r="I54" i="25"/>
  <c r="H54" i="25"/>
  <c r="G54" i="25"/>
  <c r="F54" i="25"/>
  <c r="E54" i="25"/>
  <c r="I62" i="24"/>
  <c r="H62" i="24"/>
  <c r="G62" i="24"/>
  <c r="F62" i="24"/>
  <c r="E62" i="24"/>
  <c r="E25" i="24"/>
  <c r="F25" i="24"/>
  <c r="G25" i="24"/>
  <c r="H25" i="24"/>
  <c r="D25" i="24"/>
  <c r="H42" i="24"/>
  <c r="G42" i="24"/>
  <c r="E42" i="24"/>
  <c r="F42" i="24"/>
  <c r="D42" i="24"/>
  <c r="F50" i="24"/>
  <c r="E26" i="24" s="1"/>
  <c r="G50" i="24"/>
  <c r="F26" i="24" s="1"/>
  <c r="H50" i="24"/>
  <c r="G26" i="24" s="1"/>
  <c r="I50" i="24"/>
  <c r="H26" i="24" s="1"/>
  <c r="E50" i="24"/>
  <c r="D26" i="24" s="1"/>
  <c r="B11" i="33" l="1" a="1"/>
  <c r="B11" i="33" s="1"/>
  <c r="H141" i="26"/>
  <c r="G141" i="26"/>
  <c r="C53" i="31" s="1" a="1"/>
  <c r="C53" i="31" s="1"/>
  <c r="H84" i="26"/>
  <c r="G84" i="26"/>
  <c r="C2" i="31" s="1" a="1"/>
  <c r="C2" i="31" s="1"/>
  <c r="A1" i="34" l="1" a="1"/>
  <c r="A1" i="34" s="1"/>
  <c r="B1" i="34" s="1"/>
  <c r="H44" i="23"/>
  <c r="E44" i="23"/>
  <c r="F44" i="23"/>
  <c r="F27" i="23" s="1"/>
  <c r="G44" i="23"/>
  <c r="D44" i="23"/>
  <c r="I64" i="23"/>
  <c r="H64" i="23"/>
  <c r="G64" i="23"/>
  <c r="F64" i="23"/>
  <c r="E64" i="23"/>
  <c r="I52" i="23"/>
  <c r="H28" i="23" s="1"/>
  <c r="H52" i="23"/>
  <c r="G28" i="23" s="1"/>
  <c r="G52" i="23"/>
  <c r="F28" i="23" s="1"/>
  <c r="F52" i="23"/>
  <c r="E28" i="23" s="1"/>
  <c r="E52" i="23"/>
  <c r="D28" i="23" s="1"/>
  <c r="D27" i="23"/>
  <c r="H27" i="23"/>
  <c r="G27" i="23"/>
  <c r="E27" i="23"/>
  <c r="H46" i="22"/>
  <c r="H47" i="22" s="1"/>
  <c r="H28" i="22" s="1"/>
  <c r="E44" i="22"/>
  <c r="E45" i="22" s="1"/>
  <c r="E46" i="22" s="1"/>
  <c r="E47" i="22" s="1"/>
  <c r="E28" i="22" s="1"/>
  <c r="F44" i="22"/>
  <c r="F45" i="22" s="1"/>
  <c r="F46" i="22" s="1"/>
  <c r="F47" i="22" s="1"/>
  <c r="F28" i="22" s="1"/>
  <c r="G44" i="22"/>
  <c r="G45" i="22" s="1"/>
  <c r="G46" i="22" s="1"/>
  <c r="G47" i="22" s="1"/>
  <c r="G28" i="22" s="1"/>
  <c r="H44" i="22"/>
  <c r="H45" i="22" s="1"/>
  <c r="D44" i="22"/>
  <c r="D45" i="22" s="1"/>
  <c r="D46" i="22" s="1"/>
  <c r="D47" i="22" s="1"/>
  <c r="D28" i="22" s="1"/>
  <c r="I69" i="22"/>
  <c r="H69" i="22"/>
  <c r="G69" i="22"/>
  <c r="F69" i="22"/>
  <c r="E69" i="22"/>
  <c r="I57" i="22"/>
  <c r="H29" i="22" s="1"/>
  <c r="H57" i="22"/>
  <c r="G29" i="22" s="1"/>
  <c r="G57" i="22"/>
  <c r="F29" i="22" s="1"/>
  <c r="F57" i="22"/>
  <c r="E29" i="22" s="1"/>
  <c r="E57" i="22"/>
  <c r="D29" i="22" s="1"/>
  <c r="F63" i="20"/>
  <c r="G63" i="20"/>
  <c r="H63" i="20"/>
  <c r="I63" i="20"/>
  <c r="E63" i="20"/>
  <c r="F51" i="20"/>
  <c r="E27" i="20" s="1"/>
  <c r="G51" i="20"/>
  <c r="F27" i="20" s="1"/>
  <c r="H51" i="20"/>
  <c r="G27" i="20" s="1"/>
  <c r="I51" i="20"/>
  <c r="H27" i="20" s="1"/>
  <c r="E51" i="20"/>
  <c r="D27" i="20" s="1"/>
  <c r="H43" i="20"/>
  <c r="H26" i="20" s="1"/>
  <c r="G43" i="20"/>
  <c r="G26" i="20" s="1"/>
  <c r="E43" i="20"/>
  <c r="E26" i="20" s="1"/>
  <c r="F43" i="20"/>
  <c r="F26" i="20" s="1"/>
  <c r="D43" i="20"/>
  <c r="D26" i="20" s="1"/>
  <c r="E34" i="19"/>
  <c r="F34" i="19"/>
  <c r="G34" i="19"/>
  <c r="H34" i="19"/>
  <c r="D34" i="19"/>
  <c r="E68" i="18"/>
  <c r="F68" i="18"/>
  <c r="G68" i="18"/>
  <c r="H68" i="18"/>
  <c r="D68" i="18"/>
  <c r="E28" i="18"/>
  <c r="F28" i="18"/>
  <c r="G28" i="18"/>
  <c r="H28" i="18"/>
  <c r="E29" i="18"/>
  <c r="F29" i="18"/>
  <c r="G29" i="18"/>
  <c r="H29" i="18"/>
  <c r="D29" i="18"/>
  <c r="D28" i="18"/>
  <c r="E27" i="18"/>
  <c r="E30" i="18" s="1"/>
  <c r="F27" i="18"/>
  <c r="F30" i="18" s="1"/>
  <c r="G27" i="18"/>
  <c r="G30" i="18" s="1"/>
  <c r="H27" i="18"/>
  <c r="H30" i="18" s="1"/>
  <c r="D27" i="18"/>
  <c r="D30" i="18" s="1"/>
  <c r="E16" i="18"/>
  <c r="E17" i="18"/>
  <c r="E18" i="18"/>
  <c r="E19" i="18"/>
  <c r="E15" i="18"/>
  <c r="B4" i="30" l="1" a="1"/>
  <c r="B4" i="30" s="1"/>
  <c r="B60" i="34"/>
  <c r="B32" i="34"/>
  <c r="B35" i="34"/>
  <c r="B27" i="34"/>
  <c r="B66" i="34"/>
  <c r="B48" i="34"/>
  <c r="B41" i="34"/>
  <c r="B53" i="34"/>
  <c r="B30" i="34"/>
  <c r="B38" i="34"/>
  <c r="B52" i="34"/>
  <c r="B20" i="34"/>
  <c r="B23" i="34"/>
  <c r="B12" i="34"/>
  <c r="B62" i="34"/>
  <c r="B47" i="34"/>
  <c r="B63" i="34"/>
  <c r="B49" i="34"/>
  <c r="B29" i="34"/>
  <c r="B59" i="34"/>
  <c r="B25" i="34"/>
  <c r="B6" i="34"/>
  <c r="B71" i="34"/>
  <c r="B43" i="34"/>
  <c r="B58" i="34"/>
  <c r="B34" i="34"/>
  <c r="B68" i="34"/>
  <c r="B7" i="34"/>
  <c r="B21" i="34"/>
  <c r="B22" i="34"/>
  <c r="B65" i="34"/>
  <c r="B55" i="34"/>
  <c r="B18" i="34"/>
  <c r="B4" i="34"/>
  <c r="B39" i="34"/>
  <c r="B17" i="34"/>
  <c r="B64" i="34"/>
  <c r="B51" i="34"/>
  <c r="B57" i="34"/>
  <c r="B16" i="34"/>
  <c r="B15" i="34"/>
  <c r="B36" i="34"/>
  <c r="B5" i="34"/>
  <c r="B40" i="34"/>
  <c r="B24" i="34"/>
  <c r="B2" i="34"/>
  <c r="B26" i="34"/>
  <c r="B70" i="34"/>
  <c r="B37" i="34"/>
  <c r="B69" i="34"/>
  <c r="B67" i="34"/>
  <c r="B61" i="34"/>
  <c r="B9" i="34"/>
  <c r="B31" i="34"/>
  <c r="B19" i="34"/>
  <c r="B14" i="34"/>
  <c r="B11" i="34"/>
  <c r="B50" i="34"/>
  <c r="B45" i="34"/>
  <c r="B46" i="34"/>
  <c r="B3" i="34"/>
  <c r="B8" i="34"/>
  <c r="B54" i="34"/>
  <c r="B44" i="34"/>
  <c r="B13" i="34"/>
  <c r="B33" i="34"/>
  <c r="B28" i="34"/>
  <c r="B56" i="34"/>
  <c r="B42" i="34"/>
  <c r="B10" i="34"/>
  <c r="E24" i="16"/>
  <c r="F24" i="16"/>
  <c r="G24" i="16"/>
  <c r="H24" i="16"/>
  <c r="D24" i="16"/>
  <c r="J9" i="15"/>
  <c r="E53" i="16" s="1"/>
  <c r="J10" i="15"/>
  <c r="G54" i="16" s="1"/>
  <c r="J11" i="15"/>
  <c r="J12" i="15"/>
  <c r="J13" i="15"/>
  <c r="J14" i="15"/>
  <c r="J15" i="15"/>
  <c r="J16" i="15"/>
  <c r="J17" i="15"/>
  <c r="J18" i="15"/>
  <c r="J19" i="15"/>
  <c r="J20" i="15"/>
  <c r="J21" i="15"/>
  <c r="J22" i="15"/>
  <c r="J23" i="15"/>
  <c r="J24" i="15"/>
  <c r="J25" i="15"/>
  <c r="J26" i="15"/>
  <c r="J27" i="15"/>
  <c r="J28" i="15"/>
  <c r="J29" i="15"/>
  <c r="J30" i="15"/>
  <c r="J31" i="15"/>
  <c r="J32" i="15"/>
  <c r="J33" i="15"/>
  <c r="J34" i="15"/>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G53" i="16"/>
  <c r="E54" i="16"/>
  <c r="I47" i="16"/>
  <c r="I48" i="16" s="1"/>
  <c r="H25" i="16" s="1"/>
  <c r="H47" i="16"/>
  <c r="H48" i="16" s="1"/>
  <c r="G25" i="16" s="1"/>
  <c r="G47" i="16"/>
  <c r="G48" i="16" s="1"/>
  <c r="F25" i="16" s="1"/>
  <c r="F47" i="16"/>
  <c r="F48" i="16" s="1"/>
  <c r="E25" i="16" s="1"/>
  <c r="E47" i="16"/>
  <c r="E48" i="16" s="1"/>
  <c r="D25" i="16" s="1"/>
  <c r="E63" i="13"/>
  <c r="H62" i="13"/>
  <c r="G26" i="13" s="1"/>
  <c r="I62" i="13"/>
  <c r="H26" i="13" s="1"/>
  <c r="E62" i="13"/>
  <c r="D26" i="13" s="1"/>
  <c r="J8" i="15"/>
  <c r="F63" i="13" s="1"/>
  <c r="J7" i="15"/>
  <c r="F62" i="13" s="1"/>
  <c r="E26" i="13" s="1"/>
  <c r="J6" i="15"/>
  <c r="E64" i="13" s="1"/>
  <c r="E51" i="13"/>
  <c r="F51" i="13"/>
  <c r="G51" i="13"/>
  <c r="H51" i="13"/>
  <c r="I51" i="13"/>
  <c r="E52" i="13"/>
  <c r="F52" i="13"/>
  <c r="G52" i="13"/>
  <c r="H52" i="13"/>
  <c r="I52" i="13"/>
  <c r="F50" i="13"/>
  <c r="G50" i="13"/>
  <c r="H50" i="13"/>
  <c r="I50" i="13"/>
  <c r="E50" i="13"/>
  <c r="J7" i="14"/>
  <c r="J8" i="14"/>
  <c r="J6" i="14"/>
  <c r="E24" i="13"/>
  <c r="F24" i="13"/>
  <c r="G24" i="13"/>
  <c r="H24" i="13"/>
  <c r="D24" i="13"/>
  <c r="I63" i="13" l="1"/>
  <c r="H63" i="13"/>
  <c r="G63" i="13"/>
  <c r="G33" i="29"/>
  <c r="G34" i="29" s="1"/>
  <c r="I33" i="29"/>
  <c r="I34" i="29" s="1"/>
  <c r="F33" i="29"/>
  <c r="F34" i="29" s="1"/>
  <c r="H33" i="29"/>
  <c r="H34" i="29" s="1"/>
  <c r="E33" i="29"/>
  <c r="E34" i="29" s="1"/>
  <c r="B16" i="32" s="1" a="1"/>
  <c r="B16" i="32" s="1"/>
  <c r="G62" i="13"/>
  <c r="F26" i="13" s="1"/>
  <c r="I64" i="13"/>
  <c r="I57" i="23"/>
  <c r="H57" i="23"/>
  <c r="G57" i="23"/>
  <c r="F57" i="23"/>
  <c r="E57" i="23"/>
  <c r="I54" i="16"/>
  <c r="F56" i="20"/>
  <c r="G56" i="20"/>
  <c r="H56" i="20"/>
  <c r="I56" i="20"/>
  <c r="E56" i="20"/>
  <c r="H54" i="16"/>
  <c r="F54" i="16"/>
  <c r="H64" i="13"/>
  <c r="I53" i="16"/>
  <c r="I55" i="16" s="1"/>
  <c r="H26" i="16" s="1"/>
  <c r="H27" i="16" s="1"/>
  <c r="F151" i="26"/>
  <c r="F152" i="26" s="1"/>
  <c r="G151" i="26"/>
  <c r="G152" i="26" s="1"/>
  <c r="H151" i="26"/>
  <c r="H152" i="26" s="1"/>
  <c r="I151" i="26"/>
  <c r="I152" i="26" s="1"/>
  <c r="E151" i="26"/>
  <c r="E152" i="26" s="1"/>
  <c r="G64" i="13"/>
  <c r="H53" i="16"/>
  <c r="H55" i="16" s="1"/>
  <c r="G26" i="16" s="1"/>
  <c r="G27" i="16" s="1"/>
  <c r="F61" i="25"/>
  <c r="G61" i="25"/>
  <c r="I61" i="25"/>
  <c r="H61" i="25"/>
  <c r="E61" i="25"/>
  <c r="G60" i="25"/>
  <c r="E60" i="25"/>
  <c r="F60" i="25"/>
  <c r="I60" i="25"/>
  <c r="H60" i="25"/>
  <c r="F64" i="13"/>
  <c r="F53" i="16"/>
  <c r="F55" i="16" s="1"/>
  <c r="E26" i="16" s="1"/>
  <c r="E27" i="16" s="1"/>
  <c r="F255" i="28"/>
  <c r="G255" i="28"/>
  <c r="H255" i="28"/>
  <c r="I255" i="28"/>
  <c r="E255" i="28"/>
  <c r="H55" i="24"/>
  <c r="I55" i="24"/>
  <c r="E55" i="24"/>
  <c r="G55" i="24"/>
  <c r="F55" i="24"/>
  <c r="I62" i="22"/>
  <c r="E62" i="22"/>
  <c r="H62" i="22"/>
  <c r="G62" i="22"/>
  <c r="F62" i="22"/>
  <c r="E55" i="16"/>
  <c r="D26" i="16" s="1"/>
  <c r="D27" i="16" s="1"/>
  <c r="G55" i="16"/>
  <c r="F26" i="16" s="1"/>
  <c r="F27" i="16" s="1"/>
  <c r="G65" i="13"/>
  <c r="I65" i="13"/>
  <c r="H65" i="13"/>
  <c r="F65" i="13"/>
  <c r="I55" i="13"/>
  <c r="H25" i="13" s="1"/>
  <c r="H27" i="13" s="1"/>
  <c r="E55" i="13"/>
  <c r="D25" i="13" s="1"/>
  <c r="D27" i="13" s="1"/>
  <c r="B2" i="30" s="1" a="1"/>
  <c r="B2" i="30" s="1"/>
  <c r="G55" i="13"/>
  <c r="F25" i="13" s="1"/>
  <c r="F27" i="13" s="1"/>
  <c r="H55" i="13"/>
  <c r="G25" i="13" s="1"/>
  <c r="G27" i="13" s="1"/>
  <c r="F55" i="13"/>
  <c r="E25" i="13" s="1"/>
  <c r="E27" i="13" s="1"/>
  <c r="B13" i="32" l="1" a="1"/>
  <c r="B13" i="32" s="1"/>
  <c r="B3" i="30" a="1"/>
  <c r="B3" i="30" s="1"/>
  <c r="B5" i="32" a="1"/>
  <c r="B5" i="32" s="1"/>
  <c r="F27" i="24"/>
  <c r="F28" i="24" s="1"/>
  <c r="G63" i="24"/>
  <c r="G64" i="24" s="1"/>
  <c r="D27" i="24"/>
  <c r="D28" i="24" s="1"/>
  <c r="E63" i="24"/>
  <c r="E64" i="24" s="1"/>
  <c r="G27" i="24"/>
  <c r="G28" i="24" s="1"/>
  <c r="H63" i="24"/>
  <c r="H64" i="24" s="1"/>
  <c r="F70" i="25"/>
  <c r="F71" i="25" s="1"/>
  <c r="F62" i="25"/>
  <c r="E29" i="25" s="1"/>
  <c r="E30" i="25" s="1"/>
  <c r="I64" i="20"/>
  <c r="I65" i="20" s="1"/>
  <c r="H28" i="20"/>
  <c r="H29" i="20" s="1"/>
  <c r="E62" i="25"/>
  <c r="D29" i="25" s="1"/>
  <c r="D30" i="25" s="1"/>
  <c r="E70" i="25"/>
  <c r="E71" i="25" s="1"/>
  <c r="H64" i="20"/>
  <c r="H65" i="20" s="1"/>
  <c r="G28" i="20"/>
  <c r="G29" i="20" s="1"/>
  <c r="H62" i="25"/>
  <c r="G29" i="25" s="1"/>
  <c r="G30" i="25" s="1"/>
  <c r="H70" i="25"/>
  <c r="H71" i="25" s="1"/>
  <c r="G62" i="25"/>
  <c r="F29" i="25" s="1"/>
  <c r="F30" i="25" s="1"/>
  <c r="G70" i="25"/>
  <c r="G71" i="25" s="1"/>
  <c r="G64" i="20"/>
  <c r="G65" i="20" s="1"/>
  <c r="F28" i="20"/>
  <c r="F29" i="20" s="1"/>
  <c r="F64" i="20"/>
  <c r="F65" i="20" s="1"/>
  <c r="E28" i="20"/>
  <c r="E29" i="20" s="1"/>
  <c r="E65" i="23"/>
  <c r="E66" i="23" s="1"/>
  <c r="D29" i="23"/>
  <c r="D30" i="23" s="1"/>
  <c r="E27" i="24"/>
  <c r="E28" i="24" s="1"/>
  <c r="F63" i="24"/>
  <c r="F64" i="24" s="1"/>
  <c r="E29" i="23"/>
  <c r="E30" i="23" s="1"/>
  <c r="F65" i="23"/>
  <c r="F66" i="23" s="1"/>
  <c r="G65" i="23"/>
  <c r="G66" i="23" s="1"/>
  <c r="F29" i="23"/>
  <c r="F30" i="23" s="1"/>
  <c r="G29" i="23"/>
  <c r="G30" i="23" s="1"/>
  <c r="H65" i="23"/>
  <c r="H66" i="23" s="1"/>
  <c r="I63" i="24"/>
  <c r="I64" i="24" s="1"/>
  <c r="H27" i="24"/>
  <c r="H28" i="24" s="1"/>
  <c r="I70" i="25"/>
  <c r="I71" i="25" s="1"/>
  <c r="I62" i="25"/>
  <c r="H29" i="25" s="1"/>
  <c r="H30" i="25" s="1"/>
  <c r="D28" i="20"/>
  <c r="D29" i="20" s="1"/>
  <c r="B8" i="30" s="1" a="1"/>
  <c r="B8" i="30" s="1"/>
  <c r="E64" i="20"/>
  <c r="E65" i="20" s="1"/>
  <c r="B9" i="32" s="1" a="1"/>
  <c r="B9" i="32" s="1"/>
  <c r="H29" i="23"/>
  <c r="H30" i="23" s="1"/>
  <c r="I65" i="23"/>
  <c r="I66" i="23" s="1"/>
  <c r="F70" i="22"/>
  <c r="F71" i="22" s="1"/>
  <c r="E30" i="22"/>
  <c r="E31" i="22" s="1"/>
  <c r="G30" i="22"/>
  <c r="G31" i="22" s="1"/>
  <c r="H70" i="22"/>
  <c r="H71" i="22" s="1"/>
  <c r="D30" i="22"/>
  <c r="D31" i="22" s="1"/>
  <c r="E70" i="22"/>
  <c r="E71" i="22" s="1"/>
  <c r="F30" i="22"/>
  <c r="F31" i="22" s="1"/>
  <c r="G70" i="22"/>
  <c r="G71" i="22" s="1"/>
  <c r="H30" i="22"/>
  <c r="H31" i="22" s="1"/>
  <c r="I70" i="22"/>
  <c r="I71" i="22" s="1"/>
  <c r="E28" i="7"/>
  <c r="F28" i="7"/>
  <c r="G28" i="7"/>
  <c r="H28" i="7"/>
  <c r="D28" i="7"/>
  <c r="E27" i="7"/>
  <c r="F27" i="7"/>
  <c r="G27" i="7"/>
  <c r="H27" i="7"/>
  <c r="D27" i="7"/>
  <c r="E35" i="10"/>
  <c r="F35" i="10"/>
  <c r="G35" i="10"/>
  <c r="H35" i="10"/>
  <c r="D35" i="10"/>
  <c r="B10" i="32" l="1" a="1"/>
  <c r="B10" i="32" s="1"/>
  <c r="B9" i="30" a="1"/>
  <c r="B9" i="30" s="1"/>
  <c r="B14" i="32" a="1"/>
  <c r="B14" i="32" s="1"/>
  <c r="B13" i="30" a="1"/>
  <c r="B13" i="30" s="1"/>
  <c r="B16" i="30" a="1"/>
  <c r="B16" i="30" s="1"/>
  <c r="B12" i="30" a="1"/>
  <c r="B12" i="30" s="1"/>
  <c r="B15" i="32" a="1"/>
  <c r="B15" i="32" s="1"/>
  <c r="B18" i="32" a="1"/>
  <c r="B18" i="32" s="1"/>
  <c r="E26" i="10"/>
  <c r="F26" i="10"/>
  <c r="G26" i="10"/>
  <c r="H26" i="10"/>
  <c r="D26" i="10"/>
  <c r="E27" i="9"/>
  <c r="F27" i="9"/>
  <c r="G27" i="9"/>
  <c r="H27" i="9"/>
  <c r="D27" i="9"/>
  <c r="D37" i="9" s="1"/>
  <c r="E33" i="8"/>
  <c r="F33" i="8"/>
  <c r="G33" i="8"/>
  <c r="H33" i="8"/>
  <c r="D33" i="8"/>
  <c r="E16" i="8"/>
  <c r="E17" i="8"/>
  <c r="E18" i="8"/>
  <c r="E19" i="8"/>
  <c r="E20" i="8"/>
  <c r="E21" i="8"/>
  <c r="E22" i="8"/>
  <c r="E23" i="8"/>
  <c r="E15" i="8"/>
  <c r="E16" i="4"/>
  <c r="E17" i="4"/>
  <c r="E15" i="4"/>
  <c r="D28" i="9" l="1"/>
  <c r="B17" i="30" s="1" a="1"/>
  <c r="B17" i="30" s="1"/>
  <c r="G28" i="9"/>
  <c r="G37" i="9"/>
  <c r="F28" i="9"/>
  <c r="F37" i="9"/>
  <c r="H28" i="9"/>
  <c r="H37" i="9"/>
  <c r="E28" i="9"/>
  <c r="E37" i="9"/>
  <c r="B19" i="32" s="1" a="1"/>
  <c r="B19" i="3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<sst xmlns="http://schemas.openxmlformats.org/spreadsheetml/2006/main" count="3017" uniqueCount="588">
  <si>
    <t>Byproduct Information</t>
  </si>
  <si>
    <t>Chemical Formula of Quantified Form:</t>
  </si>
  <si>
    <t>USGS Mineral Commodity Summary Page:</t>
  </si>
  <si>
    <t xml:space="preserve">Demand Data Market Specificity: </t>
  </si>
  <si>
    <t>Byproduct</t>
  </si>
  <si>
    <t>Demand Data Resolution:</t>
  </si>
  <si>
    <t>Domestic</t>
  </si>
  <si>
    <t>Assigned End-Use Category</t>
  </si>
  <si>
    <t>End-Use</t>
  </si>
  <si>
    <t>Demand (kt)</t>
  </si>
  <si>
    <t>% of Demand</t>
  </si>
  <si>
    <t>Byproduct Name</t>
  </si>
  <si>
    <t>NOTES ON MARKETS</t>
  </si>
  <si>
    <t>Domestic Demand</t>
  </si>
  <si>
    <t>Calculation Schema:</t>
  </si>
  <si>
    <t>Primary Consumption Estimate</t>
  </si>
  <si>
    <t>Description</t>
  </si>
  <si>
    <t>Pricing</t>
  </si>
  <si>
    <t>Units</t>
  </si>
  <si>
    <t>NOTES ON DEMAND</t>
  </si>
  <si>
    <t>NOTES ON PRICING</t>
  </si>
  <si>
    <t>Adjusted Consumption Estimate</t>
  </si>
  <si>
    <r>
      <t>Scaling factor</t>
    </r>
    <r>
      <rPr>
        <vertAlign val="superscript"/>
        <sz val="12"/>
        <color theme="1"/>
        <rFont val="Aptos Narrow (Body)"/>
      </rPr>
      <t>2</t>
    </r>
  </si>
  <si>
    <t>(2) SOURCE AND DESCRIPTION OF SCALING FACTOR</t>
  </si>
  <si>
    <t>Calcium Fluoride</t>
  </si>
  <si>
    <r>
      <t>CaF</t>
    </r>
    <r>
      <rPr>
        <vertAlign val="subscript"/>
        <sz val="12"/>
        <color theme="1"/>
        <rFont val="Aptos Narrow (Body)"/>
      </rPr>
      <t>2</t>
    </r>
  </si>
  <si>
    <t>Fluorspar</t>
  </si>
  <si>
    <t>Hydrofluoric Acid Manufacturing</t>
  </si>
  <si>
    <t>HF production</t>
  </si>
  <si>
    <t>–</t>
  </si>
  <si>
    <t>Given the expected purity (high) and grain size (fine) of calcium fluoride recoverable from brines, we focus on acid-grade fluorspar, which is used almost exclusively to manufacture hyrofluoric acid.</t>
  </si>
  <si>
    <r>
      <t>Major End-Use Markets</t>
    </r>
    <r>
      <rPr>
        <b/>
        <vertAlign val="superscript"/>
        <sz val="18"/>
        <color theme="1"/>
        <rFont val="Aptos Narrow (Body)"/>
      </rPr>
      <t>1</t>
    </r>
  </si>
  <si>
    <t>Because the US is 100% net import reliant for fluorspar, we use USGS-reported imports for consumption of acid grade fluorspar as our demand estimates.</t>
  </si>
  <si>
    <t>$/t</t>
  </si>
  <si>
    <t>kt</t>
  </si>
  <si>
    <r>
      <t>Price, average unit value of imports, cost, insurance, and freight</t>
    </r>
    <r>
      <rPr>
        <vertAlign val="superscript"/>
        <sz val="12"/>
        <color theme="1"/>
        <rFont val="Aptos Narrow (Body)"/>
      </rPr>
      <t>1</t>
    </r>
  </si>
  <si>
    <t>Calcium Sulfate</t>
  </si>
  <si>
    <r>
      <t>CaSO</t>
    </r>
    <r>
      <rPr>
        <vertAlign val="subscript"/>
        <sz val="12"/>
        <color theme="1"/>
        <rFont val="Aptos Narrow (Body)"/>
      </rPr>
      <t>4</t>
    </r>
  </si>
  <si>
    <t>Gypsum</t>
  </si>
  <si>
    <t>Cement Manufacturing</t>
  </si>
  <si>
    <t>Portland and masonry cement</t>
  </si>
  <si>
    <t>Miscellaneous Fertilizer Application</t>
  </si>
  <si>
    <t>Agriculture and other</t>
  </si>
  <si>
    <t>Gypsum-Based Product Manufacturing</t>
  </si>
  <si>
    <t>Plaster and prefabricated gypsum products</t>
  </si>
  <si>
    <t>Major end uses for gypsum (CaSO4) are reported and quantified in Table 3 of the most recent USGS Minerals Yearbook for Gypsum. We consider each listed end use at the highest level of granularity for which reasonable disaggregation proxies would still exist. Quantities of gypsum used in plaster are withheld but represented in “Other”, so we consolidate all calcined gypsum products into “Gypsum-Based Product Manufacturing”</t>
  </si>
  <si>
    <r>
      <t>Consumpton, apparent, acid grade fluorspar</t>
    </r>
    <r>
      <rPr>
        <vertAlign val="superscript"/>
        <sz val="12"/>
        <color theme="1"/>
        <rFont val="Aptos Narrow (Body)"/>
      </rPr>
      <t>1</t>
    </r>
  </si>
  <si>
    <r>
      <t>Consumption, apparent</t>
    </r>
    <r>
      <rPr>
        <vertAlign val="superscript"/>
        <sz val="12"/>
        <color theme="1"/>
        <rFont val="Aptos Narrow (Body)"/>
      </rPr>
      <t>1</t>
    </r>
  </si>
  <si>
    <r>
      <t>Price, annual average, calcined, f.o.b. plant</t>
    </r>
    <r>
      <rPr>
        <vertAlign val="superscript"/>
        <sz val="12"/>
        <color theme="1"/>
        <rFont val="Aptos Narrow (Body)"/>
      </rPr>
      <t>1</t>
    </r>
  </si>
  <si>
    <t>(1) Source: USGS Minerals Yearbook 2023, Gypsum</t>
  </si>
  <si>
    <t>(1) Source: USGS Mineral Commodity Summaries 2026 Gypsum</t>
  </si>
  <si>
    <t>(1) Source: USGS Mineral Commodity Summaries 2026, Fluorspar</t>
  </si>
  <si>
    <r>
      <t>INSERT VALUE DESCRIPTION</t>
    </r>
    <r>
      <rPr>
        <vertAlign val="superscript"/>
        <sz val="12"/>
        <color theme="1"/>
        <rFont val="Aptos Narrow (Body)"/>
      </rPr>
      <t>1</t>
    </r>
  </si>
  <si>
    <t>Potash</t>
  </si>
  <si>
    <r>
      <t>K</t>
    </r>
    <r>
      <rPr>
        <vertAlign val="subscript"/>
        <sz val="12"/>
        <color theme="1"/>
        <rFont val="Aptos Narrow (Body)"/>
      </rPr>
      <t>2</t>
    </r>
    <r>
      <rPr>
        <sz val="12"/>
        <color theme="1"/>
        <rFont val="Aptos Narrow (Body)"/>
      </rPr>
      <t>O</t>
    </r>
  </si>
  <si>
    <t>Potash Fertilizer Application</t>
  </si>
  <si>
    <t>Fertilizer industry</t>
  </si>
  <si>
    <t>Miscellaneous Chemical Manufacturing</t>
  </si>
  <si>
    <t>Chemical and industrial applications</t>
  </si>
  <si>
    <t>(1) Source: USGS Mineral Commodity Summaries 2026, Potash</t>
  </si>
  <si>
    <r>
      <t>Price, average, f.o.b. mine, all products</t>
    </r>
    <r>
      <rPr>
        <vertAlign val="superscript"/>
        <sz val="12"/>
        <color theme="1"/>
        <rFont val="Aptos Narrow (Body)"/>
      </rPr>
      <t>1</t>
    </r>
  </si>
  <si>
    <t>Sodium Carbonate</t>
  </si>
  <si>
    <r>
      <t>Na</t>
    </r>
    <r>
      <rPr>
        <vertAlign val="subscript"/>
        <sz val="12"/>
        <color theme="1"/>
        <rFont val="Aptos Narrow (Body)"/>
      </rPr>
      <t>2</t>
    </r>
    <r>
      <rPr>
        <sz val="12"/>
        <color theme="1"/>
        <rFont val="Aptos Narrow"/>
        <family val="2"/>
        <scheme val="minor"/>
      </rPr>
      <t>CO</t>
    </r>
    <r>
      <rPr>
        <vertAlign val="subscript"/>
        <sz val="12"/>
        <color theme="1"/>
        <rFont val="Aptos Narrow (Body)"/>
      </rPr>
      <t>3</t>
    </r>
  </si>
  <si>
    <t>Soda Ash</t>
  </si>
  <si>
    <t>Glass Manufacturing</t>
  </si>
  <si>
    <t>Glass</t>
  </si>
  <si>
    <t>Chemicals</t>
  </si>
  <si>
    <t>Other</t>
  </si>
  <si>
    <t>Miscellaneous uses</t>
  </si>
  <si>
    <t>Distributors</t>
  </si>
  <si>
    <t>Soaps and detergents</t>
  </si>
  <si>
    <t>Flue gas desulfurization</t>
  </si>
  <si>
    <t>Pulp and paper</t>
  </si>
  <si>
    <t>Water treatment</t>
  </si>
  <si>
    <t>End-uses with a market share &lt;5% were consolidated into the "Other" category. "Distributors" was also assigned "Other," as it is too general to assign an appropriate disaggregation proxy.</t>
  </si>
  <si>
    <r>
      <t>Price, average unit value o sales (natural source), f.o.b. mine or plant</t>
    </r>
    <r>
      <rPr>
        <vertAlign val="superscript"/>
        <sz val="12"/>
        <color theme="1"/>
        <rFont val="Aptos Narrow (Body)"/>
      </rPr>
      <t>1</t>
    </r>
  </si>
  <si>
    <t>Strotium Sulfate</t>
  </si>
  <si>
    <r>
      <t>SrSO</t>
    </r>
    <r>
      <rPr>
        <vertAlign val="subscript"/>
        <sz val="12"/>
        <color theme="1"/>
        <rFont val="Aptos Narrow (Body)"/>
      </rPr>
      <t>4</t>
    </r>
  </si>
  <si>
    <t>Strontium</t>
  </si>
  <si>
    <t>Oil and Gas Drilling</t>
  </si>
  <si>
    <t>Drilling fluids</t>
  </si>
  <si>
    <t>Miscellaneous Manufacturing</t>
  </si>
  <si>
    <t>Ceramic ferrite magnets</t>
  </si>
  <si>
    <t>Pyrotechnics and signals</t>
  </si>
  <si>
    <t>Lacking appropriate disaggregation proxies for manufcturing of ceramic ferrite magnets and pyrotechnics and signals, we collapse these end-uses into the "Miscellaneous Manufacturing" category.</t>
  </si>
  <si>
    <t>(1) Source: USGS Mineral Commodity Summaries 2026, Strontium</t>
  </si>
  <si>
    <t>(1) Source: USGS Minera Commodity Summaries 2026, Soda Ash</t>
  </si>
  <si>
    <t>(1) Source:</t>
  </si>
  <si>
    <t>Calcium Hydroxide</t>
  </si>
  <si>
    <r>
      <t>Ca(OH)</t>
    </r>
    <r>
      <rPr>
        <vertAlign val="subscript"/>
        <sz val="12"/>
        <color theme="1"/>
        <rFont val="Aptos Narrow (Body)"/>
      </rPr>
      <t>2</t>
    </r>
  </si>
  <si>
    <t>Lime</t>
  </si>
  <si>
    <t>Chemical and Industrial</t>
  </si>
  <si>
    <t>Miscellaneous Construction</t>
  </si>
  <si>
    <t>Asphalt, building uses, soil stabilization, etc.</t>
  </si>
  <si>
    <t>Flue Gas Desulfurization</t>
  </si>
  <si>
    <t>Flue gas treatment</t>
  </si>
  <si>
    <t>Wastewater Treatment</t>
  </si>
  <si>
    <t>Sludge treatment</t>
  </si>
  <si>
    <t>Acid-mine drainage</t>
  </si>
  <si>
    <t>Drinking Water Treatment</t>
  </si>
  <si>
    <t>Drinking water treatment</t>
  </si>
  <si>
    <t>Wastewater treatment</t>
  </si>
  <si>
    <t>Other environmental</t>
  </si>
  <si>
    <t>Metallurgy</t>
  </si>
  <si>
    <t>(1) Source: USGS Minerals Yearbook 2023, Lime</t>
  </si>
  <si>
    <t xml:space="preserve">Major end use markets for hydrated/slaked lime (Ca(OH)2) are reported and quantified in Table 4 of the most recent USGS Minerals Yearbook for Lime (2023). We consider each listed end use at the highest level of granularity for which reasonable disaggregation proxies would still exist, and consolidate all end uses with a market share &lt;5% into the “Other” category. </t>
  </si>
  <si>
    <r>
      <t>Consumption, apparent, total lime</t>
    </r>
    <r>
      <rPr>
        <vertAlign val="superscript"/>
        <sz val="12"/>
        <color theme="1"/>
        <rFont val="Aptos Narrow (Body)"/>
      </rPr>
      <t>1</t>
    </r>
  </si>
  <si>
    <r>
      <t>Assumed fraction of consumed lime attribuable to hydrated lime</t>
    </r>
    <r>
      <rPr>
        <vertAlign val="superscript"/>
        <sz val="12"/>
        <color theme="1"/>
        <rFont val="Aptos Narrow (Body)"/>
      </rPr>
      <t>2</t>
    </r>
  </si>
  <si>
    <r>
      <t>USGS reports total domestic lime consumption for years 2021-2025. We assume that roughly 15% of domestic lime consumption is in the form of hydrated lime (Ca(OH)</t>
    </r>
    <r>
      <rPr>
        <vertAlign val="subscript"/>
        <sz val="12"/>
        <color theme="1"/>
        <rFont val="Aptos Narrow (Body)"/>
      </rPr>
      <t>2</t>
    </r>
    <r>
      <rPr>
        <sz val="12"/>
        <color theme="1"/>
        <rFont val="Aptos Narrow"/>
        <family val="2"/>
        <scheme val="minor"/>
      </rPr>
      <t>) versus quicklime (CaO), based on historical data, and scale down total lime consumption accordingly.</t>
    </r>
  </si>
  <si>
    <t>(1) Source: USGS Mineral Commodity Summaries 2026, Lime</t>
  </si>
  <si>
    <t>(2) Based on commercial lime sales data from Table 1 of USGS Minerals Yearbook 2023, Lime</t>
  </si>
  <si>
    <r>
      <t>Price, average value, at plant, hydrated lime</t>
    </r>
    <r>
      <rPr>
        <vertAlign val="superscript"/>
        <sz val="12"/>
        <color theme="1"/>
        <rFont val="Aptos Narrow (Body)"/>
      </rPr>
      <t>1</t>
    </r>
  </si>
  <si>
    <t>Ammonia</t>
  </si>
  <si>
    <r>
      <t>NH</t>
    </r>
    <r>
      <rPr>
        <vertAlign val="subscript"/>
        <sz val="12"/>
        <color theme="1"/>
        <rFont val="Aptos Narrow (Body)"/>
      </rPr>
      <t>3</t>
    </r>
  </si>
  <si>
    <t>Anhydrous ammonia fertilizer</t>
  </si>
  <si>
    <t>Other fertilizer</t>
  </si>
  <si>
    <t>Miscellaneous chemical compounds</t>
  </si>
  <si>
    <t>USGS reports that 88% of domestic ammonia production is for fertilizer use, which inludes both direct application and use in fertilizer manufacturing. Because these end-uses involve different points of consumption (field vs factory), we split this end-use into "Nitrogenous Fertilizer Application" and "Nitrogenous Fertilizer Manufacturing" based on historical nitrogen fertilizer consumption data.</t>
  </si>
  <si>
    <t>(1) Source: USGS Mineral Commodity Summaries 2026, Ammonia</t>
  </si>
  <si>
    <t>Consumption, apparent</t>
  </si>
  <si>
    <t>kt N content</t>
  </si>
  <si>
    <r>
      <t>Ammonia-to-nitrogen molecular weight ratio</t>
    </r>
    <r>
      <rPr>
        <vertAlign val="superscript"/>
        <sz val="12"/>
        <color theme="1"/>
        <rFont val="Aptos Narrow (Body)"/>
      </rPr>
      <t>2</t>
    </r>
  </si>
  <si>
    <r>
      <t>(2) Molecular weight ratio between ammonia (NH</t>
    </r>
    <r>
      <rPr>
        <vertAlign val="subscript"/>
        <sz val="12"/>
        <color theme="1"/>
        <rFont val="Aptos Narrow (Body)"/>
      </rPr>
      <t>3</t>
    </r>
    <r>
      <rPr>
        <sz val="12"/>
        <color theme="1"/>
        <rFont val="Aptos Narrow"/>
        <family val="2"/>
        <scheme val="minor"/>
      </rPr>
      <t>) and nitrogen (N). Molecular weights obtained using Python molmass package.</t>
    </r>
  </si>
  <si>
    <t>Consumption, apparent, hydrated lime</t>
  </si>
  <si>
    <r>
      <t>Price, average, f.o.b. Gulf Coast</t>
    </r>
    <r>
      <rPr>
        <vertAlign val="superscript"/>
        <sz val="12"/>
        <color theme="1"/>
        <rFont val="Aptos Narrow (Body)"/>
      </rPr>
      <t>1</t>
    </r>
  </si>
  <si>
    <t>$/short ton N</t>
  </si>
  <si>
    <t>Phosphate</t>
  </si>
  <si>
    <r>
      <t>P</t>
    </r>
    <r>
      <rPr>
        <vertAlign val="subscript"/>
        <sz val="12"/>
        <color theme="1"/>
        <rFont val="Aptos Narrow (Body)"/>
      </rPr>
      <t>2</t>
    </r>
    <r>
      <rPr>
        <sz val="12"/>
        <color theme="1"/>
        <rFont val="Aptos Narrow"/>
        <family val="2"/>
        <scheme val="minor"/>
      </rPr>
      <t>O</t>
    </r>
    <r>
      <rPr>
        <vertAlign val="subscript"/>
        <sz val="12"/>
        <color theme="1"/>
        <rFont val="Aptos Narrow (Body)"/>
      </rPr>
      <t>5</t>
    </r>
  </si>
  <si>
    <t>Phosphate Rock</t>
  </si>
  <si>
    <t>Phosphoric Acid Manufacturing</t>
  </si>
  <si>
    <t>Wet-process phosphoric acid and superphosphoric acid manufacturing</t>
  </si>
  <si>
    <t>(1) Source: USGS Mineral Commodity Summaries 2026, Phosphate Rock</t>
  </si>
  <si>
    <r>
      <t>Consumption, apparent, marketable phosphate rock</t>
    </r>
    <r>
      <rPr>
        <vertAlign val="superscript"/>
        <sz val="12"/>
        <color theme="1"/>
        <rFont val="Aptos Narrow (Body)"/>
      </rPr>
      <t>1</t>
    </r>
  </si>
  <si>
    <r>
      <t>Assumed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 of marketable phosphate rock</t>
    </r>
    <r>
      <rPr>
        <vertAlign val="superscript"/>
        <sz val="12"/>
        <color theme="1"/>
        <rFont val="Aptos Narrow (Body)"/>
      </rPr>
      <t>2</t>
    </r>
  </si>
  <si>
    <t>(2) Based on ratio between P2O5 content and gross weight quantities of phosphate rock sold or used by producers (USGS Minerals Yearbook 2023, Phosphate Rock (Table 1))</t>
  </si>
  <si>
    <r>
      <t>USGS reports consumption of phosphate rock in units of gross weight. To get consumption in unis of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 we multiply these quantities by the ratio between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 and gross weight phosphate rock from historical data (28%), which shows strong stability over time.</t>
    </r>
  </si>
  <si>
    <r>
      <t>Price, average value, f.o.b. mine</t>
    </r>
    <r>
      <rPr>
        <vertAlign val="superscript"/>
        <sz val="12"/>
        <color theme="1"/>
        <rFont val="Aptos Narrow (Body)"/>
      </rPr>
      <t>1</t>
    </r>
  </si>
  <si>
    <t>$/t phosphate rock</t>
  </si>
  <si>
    <t>Trade Balance Estimate</t>
  </si>
  <si>
    <r>
      <t>Domestic Production</t>
    </r>
    <r>
      <rPr>
        <vertAlign val="superscript"/>
        <sz val="12"/>
        <color rgb="FF000000"/>
        <rFont val="Aptos Narrow"/>
        <scheme val="minor"/>
      </rPr>
      <t>1</t>
    </r>
  </si>
  <si>
    <r>
      <t>Imports for Consumption</t>
    </r>
    <r>
      <rPr>
        <vertAlign val="superscript"/>
        <sz val="12"/>
        <color rgb="FF000000"/>
        <rFont val="Aptos Narrow"/>
        <scheme val="minor"/>
      </rPr>
      <t>2</t>
    </r>
  </si>
  <si>
    <r>
      <t>Domestic Exports</t>
    </r>
    <r>
      <rPr>
        <vertAlign val="superscript"/>
        <sz val="12"/>
        <color rgb="FF000000"/>
        <rFont val="Aptos Narrow"/>
        <scheme val="minor"/>
      </rPr>
      <t>3</t>
    </r>
  </si>
  <si>
    <r>
      <t>Consumption, apparent</t>
    </r>
    <r>
      <rPr>
        <vertAlign val="superscript"/>
        <sz val="12"/>
        <color rgb="FF000000"/>
        <rFont val="Aptos Narrow"/>
        <scheme val="minor"/>
      </rPr>
      <t>4</t>
    </r>
  </si>
  <si>
    <t>kt NH3/kt N</t>
  </si>
  <si>
    <r>
      <t>kt P</t>
    </r>
    <r>
      <rPr>
        <vertAlign val="subscript"/>
        <sz val="12"/>
        <color theme="1"/>
        <rFont val="Aptos Narrow (Body)"/>
      </rPr>
      <t>2</t>
    </r>
    <r>
      <rPr>
        <sz val="12"/>
        <color theme="1"/>
        <rFont val="Aptos Narrow"/>
        <family val="2"/>
        <scheme val="minor"/>
      </rPr>
      <t>O</t>
    </r>
    <r>
      <rPr>
        <vertAlign val="subscript"/>
        <sz val="12"/>
        <color theme="1"/>
        <rFont val="Aptos Narrow (Body)"/>
      </rPr>
      <t xml:space="preserve">5 </t>
    </r>
    <r>
      <rPr>
        <sz val="12"/>
        <color theme="1"/>
        <rFont val="Aptos Narrow"/>
        <family val="2"/>
        <scheme val="minor"/>
      </rPr>
      <t>/ kt phosphate rock</t>
    </r>
  </si>
  <si>
    <t>(quantities are representative of quantified form listed below, unless otherwise specified)</t>
  </si>
  <si>
    <r>
      <t>Price, average, f.o.b. Gulf Coast</t>
    </r>
    <r>
      <rPr>
        <vertAlign val="superscript"/>
        <sz val="12"/>
        <color theme="1"/>
        <rFont val="Aptos Narrow (Body)"/>
      </rPr>
      <t>2</t>
    </r>
  </si>
  <si>
    <r>
      <t>(2) Converted from $/short ton of N to $/t NH</t>
    </r>
    <r>
      <rPr>
        <vertAlign val="subscript"/>
        <sz val="12"/>
        <color theme="1"/>
        <rFont val="Aptos Narrow (Body)"/>
      </rPr>
      <t>3</t>
    </r>
  </si>
  <si>
    <r>
      <t>Price, average value, f.o.b. mine</t>
    </r>
    <r>
      <rPr>
        <vertAlign val="superscript"/>
        <sz val="12"/>
        <color theme="1"/>
        <rFont val="Aptos Narrow (Body)"/>
      </rPr>
      <t>2</t>
    </r>
  </si>
  <si>
    <r>
      <t>(2) Converted from $/t phosphate rock to $/t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t>
    </r>
  </si>
  <si>
    <r>
      <t>Consumption, apparent, celestite</t>
    </r>
    <r>
      <rPr>
        <vertAlign val="superscript"/>
        <sz val="12"/>
        <color theme="1"/>
        <rFont val="Aptos Narrow (Body)"/>
      </rPr>
      <t>1</t>
    </r>
  </si>
  <si>
    <r>
      <t>Molecular weight ratio of celestite to strontium</t>
    </r>
    <r>
      <rPr>
        <vertAlign val="superscript"/>
        <sz val="12"/>
        <color theme="1"/>
        <rFont val="Aptos Narrow (Body)"/>
      </rPr>
      <t>2</t>
    </r>
  </si>
  <si>
    <r>
      <t>kt SrSO</t>
    </r>
    <r>
      <rPr>
        <vertAlign val="subscript"/>
        <sz val="12"/>
        <color theme="1"/>
        <rFont val="Aptos Narrow (Body)"/>
      </rPr>
      <t xml:space="preserve">4 </t>
    </r>
    <r>
      <rPr>
        <sz val="12"/>
        <color theme="1"/>
        <rFont val="Aptos Narrow (Body)"/>
      </rPr>
      <t>/ kt Sr</t>
    </r>
  </si>
  <si>
    <r>
      <t>(2) Molecular weight ratio between celestite (SrSO4</t>
    </r>
    <r>
      <rPr>
        <vertAlign val="subscript"/>
        <sz val="12"/>
        <color theme="1"/>
        <rFont val="Aptos Narrow (Body)"/>
      </rPr>
      <t>4</t>
    </r>
    <r>
      <rPr>
        <sz val="12"/>
        <color theme="1"/>
        <rFont val="Aptos Narrow"/>
        <family val="2"/>
        <scheme val="minor"/>
      </rPr>
      <t>) and strontium (Sr). Molecular weights obtained using Python molmass package.</t>
    </r>
  </si>
  <si>
    <t>t Sr</t>
  </si>
  <si>
    <r>
      <t>Price, average unit value of celestite imports at port of exportation</t>
    </r>
    <r>
      <rPr>
        <vertAlign val="superscript"/>
        <sz val="12"/>
        <color theme="1"/>
        <rFont val="Aptos Narrow (Body)"/>
      </rPr>
      <t>1</t>
    </r>
  </si>
  <si>
    <t>Demand Calculations</t>
  </si>
  <si>
    <t>NOTES</t>
  </si>
  <si>
    <t>Domestic Production</t>
  </si>
  <si>
    <r>
      <t>B</t>
    </r>
    <r>
      <rPr>
        <vertAlign val="subscript"/>
        <sz val="12"/>
        <color theme="1"/>
        <rFont val="Aptos Narrow (Body)"/>
      </rPr>
      <t>2</t>
    </r>
    <r>
      <rPr>
        <sz val="12"/>
        <color theme="1"/>
        <rFont val="Aptos Narrow"/>
        <family val="2"/>
        <scheme val="minor"/>
      </rPr>
      <t>O</t>
    </r>
    <r>
      <rPr>
        <vertAlign val="subscript"/>
        <sz val="12"/>
        <color theme="1"/>
        <rFont val="Aptos Narrow (Body)"/>
      </rPr>
      <t>3</t>
    </r>
  </si>
  <si>
    <t>Boron</t>
  </si>
  <si>
    <t>Borosilicate Glass Manufacturing</t>
  </si>
  <si>
    <t>Glass and ceramics</t>
  </si>
  <si>
    <t>Abrasives, cleaning products, insecticides, insulation, semiconductor production</t>
  </si>
  <si>
    <t>(1) Source: USGS Mineral Commodity Summaries 2024, Boron</t>
  </si>
  <si>
    <t>(1) Source: U.S. Borax</t>
  </si>
  <si>
    <t>Boron Production in the United States</t>
  </si>
  <si>
    <r>
      <t>Total Domestic Production</t>
    </r>
    <r>
      <rPr>
        <vertAlign val="superscript"/>
        <sz val="12"/>
        <color rgb="FF000000"/>
        <rFont val="Aptos Narrow"/>
        <scheme val="minor"/>
      </rPr>
      <t>1</t>
    </r>
  </si>
  <si>
    <r>
      <t>U.S. Borax Production</t>
    </r>
    <r>
      <rPr>
        <vertAlign val="superscript"/>
        <sz val="12"/>
        <color rgb="FF000000"/>
        <rFont val="Aptos Narrow"/>
        <scheme val="minor"/>
      </rPr>
      <t>2</t>
    </r>
  </si>
  <si>
    <t>(1) Source: USGS Mineral Commodity Summaries 2002-2007, Boron</t>
  </si>
  <si>
    <t>(2) Source: Annual Reports, Rio Tinto Corporation. Retrieved from the U.S. Securities and Exchange Commission's Electronic Data Gathering, Analysis, and Retrieval (EDGAR) system for RIO TINTO PLC (CIK 0000863064).</t>
  </si>
  <si>
    <r>
      <t>To avoid disclosing proprietary information, USGS has withheld boron consumption estimates since 2006. Domestic boron production, however, is entirely attributable to two companies, chiefly U.S. Borax, a subsidiary of Rio Tinto responsible for 30% of global boron supply.</t>
    </r>
    <r>
      <rPr>
        <vertAlign val="superscript"/>
        <sz val="12"/>
        <color theme="1"/>
        <rFont val="Aptos Narrow (Body)"/>
      </rPr>
      <t xml:space="preserve">1 </t>
    </r>
    <r>
      <rPr>
        <sz val="12"/>
        <color theme="1"/>
        <rFont val="Aptos Narrow"/>
        <family val="2"/>
        <scheme val="minor"/>
      </rPr>
      <t>As a publicly traded corporation, Rio Tinto publishes annual reports that disclose total production quantities for their mined metals and minerals. In the years for which both USGS and U.S. Borax production values are available (2000-2005), these values are quite similar (within 15%), supporting the assumption that U.S. Borax’s production of borates constitutes a vast majority of domestic production. Under this assumption, we adopt U.S. Borax production volumes as values for domestic boron production for 2021-2025.</t>
    </r>
  </si>
  <si>
    <t>Product Name</t>
  </si>
  <si>
    <r>
      <t>Anhydrous Refined Borax</t>
    </r>
    <r>
      <rPr>
        <vertAlign val="superscript"/>
        <sz val="12"/>
        <color theme="1"/>
        <rFont val="Aptos Narrow (Body)"/>
      </rPr>
      <t>1</t>
    </r>
  </si>
  <si>
    <t>HTS Code</t>
  </si>
  <si>
    <t>kt gross weight</t>
  </si>
  <si>
    <t>2840.11.0000</t>
  </si>
  <si>
    <t>2840.19.0000</t>
  </si>
  <si>
    <t>2810.00.0000</t>
  </si>
  <si>
    <r>
      <t>Colemanite</t>
    </r>
    <r>
      <rPr>
        <vertAlign val="superscript"/>
        <sz val="12"/>
        <color theme="1"/>
        <rFont val="Aptos Narrow (Body)"/>
      </rPr>
      <t>2</t>
    </r>
  </si>
  <si>
    <r>
      <t>Ulexite</t>
    </r>
    <r>
      <rPr>
        <vertAlign val="superscript"/>
        <sz val="12"/>
        <color theme="1"/>
        <rFont val="Aptos Narrow (Body)"/>
      </rPr>
      <t>2</t>
    </r>
  </si>
  <si>
    <r>
      <t>Non-Anhydrous Refined Borax</t>
    </r>
    <r>
      <rPr>
        <vertAlign val="superscript"/>
        <sz val="12"/>
        <color theme="1"/>
        <rFont val="Aptos Narrow (Body)"/>
      </rPr>
      <t>1</t>
    </r>
  </si>
  <si>
    <r>
      <t>Boric Acid</t>
    </r>
    <r>
      <rPr>
        <vertAlign val="superscript"/>
        <sz val="12"/>
        <color theme="1"/>
        <rFont val="Aptos Narrow (Body)"/>
      </rPr>
      <t>1</t>
    </r>
  </si>
  <si>
    <t>(1) Source: USITC DataWeb, Imports for Consumption</t>
  </si>
  <si>
    <t>(2) Source: USGS Mineral Commodity Summaries 2026, Boron</t>
  </si>
  <si>
    <t>USITC Imports for Consumption</t>
  </si>
  <si>
    <t>All data retrieved from USITC DataWeb</t>
  </si>
  <si>
    <t>HTS Number</t>
  </si>
  <si>
    <t>2810000000</t>
  </si>
  <si>
    <t>OXIDES OF BORON AND BORIC ACID</t>
  </si>
  <si>
    <t>metric tons</t>
  </si>
  <si>
    <t>2840110000</t>
  </si>
  <si>
    <t>ANHYDROUS DISODIUM TETRABORATE (REFINED BORAX)</t>
  </si>
  <si>
    <t>kilograms</t>
  </si>
  <si>
    <t>2840190000</t>
  </si>
  <si>
    <t>DISODIUM TETRABORATE (REFINED BORAX), EXCEPT ANHYDROUS, NESOI</t>
  </si>
  <si>
    <t>Unit Conversion Factor</t>
  </si>
  <si>
    <t>Total</t>
  </si>
  <si>
    <t>Chemical Composition</t>
  </si>
  <si>
    <r>
      <t>% B</t>
    </r>
    <r>
      <rPr>
        <b/>
        <vertAlign val="subscript"/>
        <sz val="12"/>
        <color rgb="FF000000"/>
        <rFont val="Aptos Narrow"/>
        <scheme val="minor"/>
      </rPr>
      <t>2</t>
    </r>
    <r>
      <rPr>
        <b/>
        <sz val="12"/>
        <color rgb="FF000000"/>
        <rFont val="Aptos Narrow"/>
        <scheme val="minor"/>
      </rPr>
      <t>O</t>
    </r>
    <r>
      <rPr>
        <b/>
        <vertAlign val="subscript"/>
        <sz val="12"/>
        <color rgb="FF000000"/>
        <rFont val="Aptos Narrow"/>
        <scheme val="minor"/>
      </rPr>
      <t>3</t>
    </r>
  </si>
  <si>
    <r>
      <t>Na</t>
    </r>
    <r>
      <rPr>
        <vertAlign val="subscript"/>
        <sz val="12"/>
        <color theme="1"/>
        <rFont val="Aptos Narrow"/>
        <scheme val="minor"/>
      </rPr>
      <t>2</t>
    </r>
    <r>
      <rPr>
        <sz val="12"/>
        <color theme="1"/>
        <rFont val="Aptos Narrow"/>
        <scheme val="minor"/>
      </rPr>
      <t>B</t>
    </r>
    <r>
      <rPr>
        <vertAlign val="subscript"/>
        <sz val="12"/>
        <color theme="1"/>
        <rFont val="Aptos Narrow"/>
        <scheme val="minor"/>
      </rPr>
      <t>4</t>
    </r>
    <r>
      <rPr>
        <sz val="12"/>
        <color theme="1"/>
        <rFont val="Aptos Narrow"/>
        <scheme val="minor"/>
      </rPr>
      <t>O</t>
    </r>
    <r>
      <rPr>
        <vertAlign val="subscript"/>
        <sz val="12"/>
        <color theme="1"/>
        <rFont val="Aptos Narrow"/>
        <scheme val="minor"/>
      </rPr>
      <t>7</t>
    </r>
    <r>
      <rPr>
        <sz val="12"/>
        <color theme="1"/>
        <rFont val="Aptos Narrow"/>
        <scheme val="minor"/>
      </rPr>
      <t xml:space="preserve"> </t>
    </r>
  </si>
  <si>
    <r>
      <t>Na</t>
    </r>
    <r>
      <rPr>
        <vertAlign val="subscript"/>
        <sz val="12"/>
        <color theme="1"/>
        <rFont val="Aptos Narrow"/>
        <scheme val="minor"/>
      </rPr>
      <t>2</t>
    </r>
    <r>
      <rPr>
        <sz val="12"/>
        <color theme="1"/>
        <rFont val="Aptos Narrow"/>
        <scheme val="minor"/>
      </rPr>
      <t>B</t>
    </r>
    <r>
      <rPr>
        <vertAlign val="subscript"/>
        <sz val="12"/>
        <color theme="1"/>
        <rFont val="Aptos Narrow"/>
        <scheme val="minor"/>
      </rPr>
      <t>4</t>
    </r>
    <r>
      <rPr>
        <sz val="12"/>
        <color theme="1"/>
        <rFont val="Aptos Narrow"/>
        <scheme val="minor"/>
      </rPr>
      <t>O</t>
    </r>
    <r>
      <rPr>
        <vertAlign val="subscript"/>
        <sz val="12"/>
        <color theme="1"/>
        <rFont val="Aptos Narrow"/>
        <scheme val="minor"/>
      </rPr>
      <t>7</t>
    </r>
    <r>
      <rPr>
        <sz val="12"/>
        <color theme="1"/>
        <rFont val="Aptos Narrow"/>
        <scheme val="minor"/>
      </rPr>
      <t xml:space="preserve"> · 10H</t>
    </r>
    <r>
      <rPr>
        <vertAlign val="subscript"/>
        <sz val="12"/>
        <color theme="1"/>
        <rFont val="Aptos Narrow"/>
        <scheme val="minor"/>
      </rPr>
      <t>2</t>
    </r>
    <r>
      <rPr>
        <sz val="12"/>
        <color theme="1"/>
        <rFont val="Aptos Narrow"/>
        <scheme val="minor"/>
      </rPr>
      <t>O</t>
    </r>
  </si>
  <si>
    <r>
      <t>Boric Acid</t>
    </r>
    <r>
      <rPr>
        <vertAlign val="superscript"/>
        <sz val="12"/>
        <color theme="1"/>
        <rFont val="Aptos Narrow (Body)"/>
      </rPr>
      <t>2</t>
    </r>
  </si>
  <si>
    <r>
      <t>H</t>
    </r>
    <r>
      <rPr>
        <vertAlign val="subscript"/>
        <sz val="12"/>
        <rFont val="Aptos Narrow"/>
        <scheme val="minor"/>
      </rPr>
      <t>3</t>
    </r>
    <r>
      <rPr>
        <sz val="12"/>
        <rFont val="Aptos Narrow"/>
        <scheme val="minor"/>
      </rPr>
      <t>BO</t>
    </r>
    <r>
      <rPr>
        <vertAlign val="subscript"/>
        <sz val="12"/>
        <rFont val="Aptos Narrow"/>
        <scheme val="minor"/>
      </rPr>
      <t>3</t>
    </r>
  </si>
  <si>
    <r>
      <t>Ca</t>
    </r>
    <r>
      <rPr>
        <vertAlign val="subscript"/>
        <sz val="12"/>
        <rFont val="Aptos Narrow"/>
        <scheme val="minor"/>
      </rPr>
      <t>2</t>
    </r>
    <r>
      <rPr>
        <sz val="12"/>
        <rFont val="Aptos Narrow"/>
        <scheme val="minor"/>
      </rPr>
      <t>B</t>
    </r>
    <r>
      <rPr>
        <vertAlign val="subscript"/>
        <sz val="12"/>
        <rFont val="Aptos Narrow"/>
        <scheme val="minor"/>
      </rPr>
      <t>6</t>
    </r>
    <r>
      <rPr>
        <sz val="12"/>
        <rFont val="Aptos Narrow"/>
        <scheme val="minor"/>
      </rPr>
      <t>O</t>
    </r>
    <r>
      <rPr>
        <vertAlign val="subscript"/>
        <sz val="12"/>
        <rFont val="Aptos Narrow"/>
        <scheme val="minor"/>
      </rPr>
      <t>11</t>
    </r>
    <r>
      <rPr>
        <b/>
        <sz val="12"/>
        <rFont val="Aptos Narrow"/>
        <scheme val="minor"/>
      </rPr>
      <t>·</t>
    </r>
    <r>
      <rPr>
        <sz val="12"/>
        <rFont val="Aptos Narrow"/>
        <scheme val="minor"/>
      </rPr>
      <t>5H</t>
    </r>
    <r>
      <rPr>
        <vertAlign val="subscript"/>
        <sz val="12"/>
        <rFont val="Aptos Narrow"/>
        <scheme val="minor"/>
      </rPr>
      <t>2</t>
    </r>
    <r>
      <rPr>
        <sz val="12"/>
        <rFont val="Aptos Narrow"/>
        <scheme val="minor"/>
      </rPr>
      <t>O</t>
    </r>
  </si>
  <si>
    <r>
      <t>NaCaB</t>
    </r>
    <r>
      <rPr>
        <vertAlign val="subscript"/>
        <sz val="12"/>
        <rFont val="Aptos Narrow"/>
        <scheme val="minor"/>
      </rPr>
      <t>5</t>
    </r>
    <r>
      <rPr>
        <sz val="12"/>
        <rFont val="Aptos Narrow"/>
        <scheme val="minor"/>
      </rPr>
      <t>O</t>
    </r>
    <r>
      <rPr>
        <vertAlign val="subscript"/>
        <sz val="12"/>
        <rFont val="Aptos Narrow"/>
        <scheme val="minor"/>
      </rPr>
      <t>9</t>
    </r>
    <r>
      <rPr>
        <b/>
        <sz val="12"/>
        <rFont val="Aptos Narrow"/>
        <scheme val="minor"/>
      </rPr>
      <t>·</t>
    </r>
    <r>
      <rPr>
        <sz val="12"/>
        <rFont val="Aptos Narrow"/>
        <scheme val="minor"/>
      </rPr>
      <t>8H</t>
    </r>
    <r>
      <rPr>
        <vertAlign val="subscript"/>
        <sz val="12"/>
        <rFont val="Aptos Narrow"/>
        <scheme val="minor"/>
      </rPr>
      <t>2</t>
    </r>
    <r>
      <rPr>
        <sz val="12"/>
        <rFont val="Aptos Narrow"/>
        <scheme val="minor"/>
      </rPr>
      <t>O</t>
    </r>
  </si>
  <si>
    <r>
      <t>(1) Calculated from molcular weight ratio between B</t>
    </r>
    <r>
      <rPr>
        <vertAlign val="subscript"/>
        <sz val="12"/>
        <color theme="1"/>
        <rFont val="Aptos Narrow (Body)"/>
      </rPr>
      <t>2</t>
    </r>
    <r>
      <rPr>
        <sz val="12"/>
        <color theme="1"/>
        <rFont val="Aptos Narrow"/>
        <family val="2"/>
        <scheme val="minor"/>
      </rPr>
      <t>O</t>
    </r>
    <r>
      <rPr>
        <vertAlign val="subscript"/>
        <sz val="12"/>
        <color theme="1"/>
        <rFont val="Aptos Narrow (Body)"/>
      </rPr>
      <t>3</t>
    </r>
    <r>
      <rPr>
        <sz val="12"/>
        <color theme="1"/>
        <rFont val="Aptos Narrow"/>
        <family val="2"/>
        <scheme val="minor"/>
      </rPr>
      <t xml:space="preserve"> and product composition.</t>
    </r>
  </si>
  <si>
    <t>(2) Extracted from Table 2 of USGS Minerals Yearbook 2023, Boron</t>
  </si>
  <si>
    <r>
      <t>Assumed B</t>
    </r>
    <r>
      <rPr>
        <b/>
        <vertAlign val="subscript"/>
        <sz val="12"/>
        <color theme="1"/>
        <rFont val="Aptos Narrow (Body)"/>
      </rPr>
      <t>2</t>
    </r>
    <r>
      <rPr>
        <b/>
        <sz val="12"/>
        <color theme="1"/>
        <rFont val="Aptos Narrow (Body)"/>
      </rPr>
      <t>O</t>
    </r>
    <r>
      <rPr>
        <b/>
        <vertAlign val="subscript"/>
        <sz val="12"/>
        <color theme="1"/>
        <rFont val="Aptos Narrow (Body)"/>
      </rPr>
      <t>3</t>
    </r>
    <r>
      <rPr>
        <b/>
        <sz val="12"/>
        <color theme="1"/>
        <rFont val="Aptos Narrow"/>
        <scheme val="minor"/>
      </rPr>
      <t xml:space="preserve"> content by boron product</t>
    </r>
  </si>
  <si>
    <t>Imports and Exports</t>
  </si>
  <si>
    <r>
      <t>USITC tracks trade of boron products and minerals, rather than boron itself. We extract import/export quantities for key boron products and minerals from a combination of USITC statistics (for boron products) and USGS Mineral Commodity Summaries (for boron minerals). Note that these quantities are in units of gross weight of product, and are thus converted to kt of B</t>
    </r>
    <r>
      <rPr>
        <vertAlign val="subscript"/>
        <sz val="12"/>
        <color theme="1"/>
        <rFont val="Aptos Narrow (Body)"/>
      </rPr>
      <t>2</t>
    </r>
    <r>
      <rPr>
        <sz val="12"/>
        <color theme="1"/>
        <rFont val="Aptos Narrow"/>
        <family val="2"/>
        <scheme val="minor"/>
      </rPr>
      <t>O</t>
    </r>
    <r>
      <rPr>
        <vertAlign val="subscript"/>
        <sz val="12"/>
        <color theme="1"/>
        <rFont val="Aptos Narrow (Body)"/>
      </rPr>
      <t>3</t>
    </r>
    <r>
      <rPr>
        <sz val="12"/>
        <color theme="1"/>
        <rFont val="Aptos Narrow"/>
        <family val="2"/>
        <scheme val="minor"/>
      </rPr>
      <t xml:space="preserve"> when calculating the total.</t>
    </r>
  </si>
  <si>
    <t>Imports for Consumption, Boron Products</t>
  </si>
  <si>
    <t>Domestic Exports, Boron Products</t>
  </si>
  <si>
    <t>USITC Domestic Exports</t>
  </si>
  <si>
    <t>(1) Source: USITC DataWeb, Domestic Exports</t>
  </si>
  <si>
    <r>
      <t>Total</t>
    </r>
    <r>
      <rPr>
        <vertAlign val="superscript"/>
        <sz val="12"/>
        <color theme="1"/>
        <rFont val="Aptos Narrow (Body)"/>
      </rPr>
      <t>3</t>
    </r>
  </si>
  <si>
    <r>
      <t>(3) Individual product quantities converted to kt of B</t>
    </r>
    <r>
      <rPr>
        <vertAlign val="subscript"/>
        <sz val="12"/>
        <color theme="1"/>
        <rFont val="Aptos Narrow (Body)"/>
      </rPr>
      <t>2</t>
    </r>
    <r>
      <rPr>
        <sz val="12"/>
        <color theme="1"/>
        <rFont val="Aptos Narrow (Body)"/>
      </rPr>
      <t>O</t>
    </r>
    <r>
      <rPr>
        <vertAlign val="subscript"/>
        <sz val="12"/>
        <color theme="1"/>
        <rFont val="Aptos Narrow (Body)"/>
      </rPr>
      <t>3</t>
    </r>
    <r>
      <rPr>
        <sz val="12"/>
        <color theme="1"/>
        <rFont val="Aptos Narrow (Body)"/>
      </rPr>
      <t xml:space="preserve"> content before aggregation</t>
    </r>
  </si>
  <si>
    <r>
      <t>Price, average unit value of combined imports, cost, insurance, and freight</t>
    </r>
    <r>
      <rPr>
        <vertAlign val="superscript"/>
        <sz val="12"/>
        <color theme="1"/>
        <rFont val="Aptos Narrow (Body)"/>
      </rPr>
      <t>1</t>
    </r>
  </si>
  <si>
    <t>(1) See "Domestic Production" section below</t>
  </si>
  <si>
    <t>(2) See "Imports and Exports" section below</t>
  </si>
  <si>
    <t>(3) See "Imports and Exports" section below</t>
  </si>
  <si>
    <t>(4) Production + Imports – Exports</t>
  </si>
  <si>
    <t>Barium Sulfate</t>
  </si>
  <si>
    <r>
      <t>BaSO</t>
    </r>
    <r>
      <rPr>
        <vertAlign val="subscript"/>
        <sz val="12"/>
        <color theme="1"/>
        <rFont val="Aptos Narrow (Body)"/>
      </rPr>
      <t>4</t>
    </r>
  </si>
  <si>
    <t>Barite</t>
  </si>
  <si>
    <t>Weighting agent in oil and gas drilling fluids</t>
  </si>
  <si>
    <t>Filler, extender, weighting agent; metal casting; concrete aggregate; X-ray contrast</t>
  </si>
  <si>
    <t>More than 90% of barite sold in the US is used as a weighting agent in oil and gas well drilling fluids. Barite also has several other applications in materials manufacturing (e.g. paints, plastics, rubber, etc.), which we collapse into the “Miscellaneous Manufacturing” category.</t>
  </si>
  <si>
    <t>(1) Source: USGS Mineral Commodity Summaries 2026, Barite</t>
  </si>
  <si>
    <t>To avoid disclosing proprietary information, USGS has withheld total barite consumption (crude + ground and crushed) estimates since 2017. They do, however, report production of ground and crushed barite, which is the form of barite more relevant in this context.</t>
  </si>
  <si>
    <r>
      <t>Production</t>
    </r>
    <r>
      <rPr>
        <vertAlign val="superscript"/>
        <sz val="12"/>
        <color rgb="FF000000"/>
        <rFont val="Aptos Narrow"/>
        <scheme val="minor"/>
      </rPr>
      <t>1</t>
    </r>
  </si>
  <si>
    <t>While USITC tracks imports for ground barium sulfate (HTS Code 2511.10.1000), barium sulfate exports are tracked through HTS Codes 2511.10.0000 (Natural Barium Sulfate) and 2833.27.0000 (Barium Sulfate), which would include, but not be exclusive to, ground barium sulfate. Nevertheless, we treat these exports as representative of ground barium sulfate, which should have minimal affect on our consumption estimates, given the relative insignificance of export quantities in this trade balance.</t>
  </si>
  <si>
    <t>Imports for Consumption, Barium Sulfate</t>
  </si>
  <si>
    <r>
      <t>Natural Barium Sulfate, Ground</t>
    </r>
    <r>
      <rPr>
        <vertAlign val="superscript"/>
        <sz val="12"/>
        <color theme="1"/>
        <rFont val="Aptos Narrow (Body)"/>
      </rPr>
      <t>1</t>
    </r>
  </si>
  <si>
    <t>2511.10.1000</t>
  </si>
  <si>
    <r>
      <t>Natural Barium Sulfate</t>
    </r>
    <r>
      <rPr>
        <vertAlign val="superscript"/>
        <sz val="12"/>
        <color theme="1"/>
        <rFont val="Aptos Narrow (Body)"/>
      </rPr>
      <t>1</t>
    </r>
  </si>
  <si>
    <r>
      <t>Barium Sulfate</t>
    </r>
    <r>
      <rPr>
        <vertAlign val="superscript"/>
        <sz val="12"/>
        <color theme="1"/>
        <rFont val="Aptos Narrow (Body)"/>
      </rPr>
      <t>1</t>
    </r>
  </si>
  <si>
    <t>2511.10.0000</t>
  </si>
  <si>
    <t>2833.27.0000</t>
  </si>
  <si>
    <t>NATURAL BARIUM SULFATE (BARYTES) GROUND</t>
  </si>
  <si>
    <t>2511101000</t>
  </si>
  <si>
    <t>2511100000</t>
  </si>
  <si>
    <t>NATURAL BARIUM SULFATE (BARYTES)</t>
  </si>
  <si>
    <t>2833270000</t>
  </si>
  <si>
    <t>BARIUM SULFATE</t>
  </si>
  <si>
    <r>
      <t>Price, average unit value, ground, ex-works</t>
    </r>
    <r>
      <rPr>
        <vertAlign val="superscript"/>
        <sz val="12"/>
        <color theme="1"/>
        <rFont val="Aptos Narrow (Body)"/>
      </rPr>
      <t>1</t>
    </r>
  </si>
  <si>
    <t>Imports for Consumption, XX</t>
  </si>
  <si>
    <t>Domestic Exports, XX</t>
  </si>
  <si>
    <r>
      <t>INSERT DESRIPTION</t>
    </r>
    <r>
      <rPr>
        <vertAlign val="superscript"/>
        <sz val="12"/>
        <color theme="1"/>
        <rFont val="Aptos Narrow (Body)"/>
      </rPr>
      <t>1</t>
    </r>
  </si>
  <si>
    <r>
      <t>DESCRIPTION</t>
    </r>
    <r>
      <rPr>
        <vertAlign val="superscript"/>
        <sz val="12"/>
        <color rgb="FF000000"/>
        <rFont val="Aptos Narrow"/>
        <scheme val="minor"/>
      </rPr>
      <t>1</t>
    </r>
  </si>
  <si>
    <t>Bromine</t>
  </si>
  <si>
    <t>Br</t>
  </si>
  <si>
    <t>(1) Source: Ullmann's Encyclopedia for Industrial Chemistry, Bromine</t>
  </si>
  <si>
    <t>Flame retardant</t>
  </si>
  <si>
    <t>Organic Chemical Manufacturing</t>
  </si>
  <si>
    <t>Organic synthesis</t>
  </si>
  <si>
    <t>Pharmaceutical Manufacturing</t>
  </si>
  <si>
    <t>Pharmaceuticals</t>
  </si>
  <si>
    <t>Industrial Water Treatment</t>
  </si>
  <si>
    <t>(1) U.S. Environmental Protection Agency</t>
  </si>
  <si>
    <t>(1) Source: USGS Mineral Commodity Summaries 2026, Bromine</t>
  </si>
  <si>
    <t>(2) Source: Arkansas Geological Survey</t>
  </si>
  <si>
    <t>(3) Source: LANXESS AG</t>
  </si>
  <si>
    <r>
      <t>Albemarle Corporation Production</t>
    </r>
    <r>
      <rPr>
        <vertAlign val="superscript"/>
        <sz val="12"/>
        <color rgb="FF000000"/>
        <rFont val="Aptos Narrow"/>
        <scheme val="minor"/>
      </rPr>
      <t>1</t>
    </r>
  </si>
  <si>
    <t>(1) Source: Annual Reports, Albemarle Corporation. Retrieved from the U.S. Securities and Exchange Commission's Electronic Data Gathering, Analysis, and Retrieval (EDGAR) system for ALBEMARLE CORP (CIK 0000915913).</t>
  </si>
  <si>
    <t>Total Domestic Production</t>
  </si>
  <si>
    <r>
      <t>Imports for consumption, elemental bromine and compounds</t>
    </r>
    <r>
      <rPr>
        <vertAlign val="superscript"/>
        <sz val="12"/>
        <color rgb="FF000000"/>
        <rFont val="Aptos Narrow"/>
        <scheme val="minor"/>
      </rPr>
      <t>1</t>
    </r>
  </si>
  <si>
    <t>Imports for Consumption, Bromine</t>
  </si>
  <si>
    <t>Domestic Exports, Bromine</t>
  </si>
  <si>
    <t>Domestic Production, Bromine</t>
  </si>
  <si>
    <t>Domestic Production, Crushed and Ground Barite</t>
  </si>
  <si>
    <t>Domestic Production, XX</t>
  </si>
  <si>
    <r>
      <t>Exports, elemental bromine and compounds</t>
    </r>
    <r>
      <rPr>
        <vertAlign val="superscript"/>
        <sz val="12"/>
        <color rgb="FF000000"/>
        <rFont val="Aptos Narrow"/>
        <scheme val="minor"/>
      </rPr>
      <t>1</t>
    </r>
  </si>
  <si>
    <r>
      <t>Price, average unit value of imports (cost, insurance, and freight)</t>
    </r>
    <r>
      <rPr>
        <vertAlign val="superscript"/>
        <sz val="12"/>
        <color theme="1"/>
        <rFont val="Aptos Narrow (Body)"/>
      </rPr>
      <t>1</t>
    </r>
  </si>
  <si>
    <t>$/kg</t>
  </si>
  <si>
    <r>
      <t>Price, average unit value of imports (cost, insurance, and freight)</t>
    </r>
    <r>
      <rPr>
        <vertAlign val="superscript"/>
        <sz val="12"/>
        <color theme="1"/>
        <rFont val="Aptos Narrow (Body)"/>
      </rPr>
      <t>2</t>
    </r>
  </si>
  <si>
    <t>(2) Converted from $/kg to $/t</t>
  </si>
  <si>
    <t>Lithium</t>
  </si>
  <si>
    <t>Li</t>
  </si>
  <si>
    <t>Lithium Battery Manufacturing</t>
  </si>
  <si>
    <t>Batteries</t>
  </si>
  <si>
    <t>Ceramics and glass</t>
  </si>
  <si>
    <t>Lubricating greases</t>
  </si>
  <si>
    <t>Air treatment</t>
  </si>
  <si>
    <t>Continuous casting mold flux powders</t>
  </si>
  <si>
    <t>Medical</t>
  </si>
  <si>
    <t>(1) Source: USGS Mineral Commodity Summaries 2026, Lithium</t>
  </si>
  <si>
    <t>To avoid disclosing proprietary information, USGS withholds lithium consumption and production estimates. Because there is currently only one commercial-scale lithium producer in the United States, domestic lithium consumption is heavily import reliant. Though USGS does not report precise net import reliance, they provide a lower bound (e.g. &gt;50%) that can be used to conservatively estimate an upper bound on domestic lithium demand.</t>
  </si>
  <si>
    <r>
      <t>Imports for Consumption</t>
    </r>
    <r>
      <rPr>
        <vertAlign val="superscript"/>
        <sz val="12"/>
        <color rgb="FF000000"/>
        <rFont val="Aptos Narrow"/>
        <scheme val="minor"/>
      </rPr>
      <t>1</t>
    </r>
  </si>
  <si>
    <r>
      <t>Domestic Exports</t>
    </r>
    <r>
      <rPr>
        <vertAlign val="superscript"/>
        <sz val="12"/>
        <color rgb="FF000000"/>
        <rFont val="Aptos Narrow"/>
        <scheme val="minor"/>
      </rPr>
      <t>1</t>
    </r>
  </si>
  <si>
    <r>
      <t>Minimum net import reliance</t>
    </r>
    <r>
      <rPr>
        <vertAlign val="superscript"/>
        <sz val="12"/>
        <color rgb="FF000000"/>
        <rFont val="Aptos Narrow"/>
        <scheme val="minor"/>
      </rPr>
      <t>1,2</t>
    </r>
  </si>
  <si>
    <t>(2) Defined by USGS as imports – exports +/- adjustments for industry stock changes, as a percentage of consumption. We ignore industry stock changes for the purposes of these estimations.</t>
  </si>
  <si>
    <t>End-uses with a market share &lt;5% are consolidated into the "Other" category.</t>
  </si>
  <si>
    <r>
      <t>Consumption, apparent</t>
    </r>
    <r>
      <rPr>
        <vertAlign val="superscript"/>
        <sz val="12"/>
        <color rgb="FF000000"/>
        <rFont val="Aptos Narrow"/>
        <scheme val="minor"/>
      </rPr>
      <t>3</t>
    </r>
  </si>
  <si>
    <t>(3) (Imports – Exports)/Net Import Reliance</t>
  </si>
  <si>
    <r>
      <t>Price, annual average-real, battery-grade lithium carbonate</t>
    </r>
    <r>
      <rPr>
        <vertAlign val="superscript"/>
        <sz val="12"/>
        <color theme="1"/>
        <rFont val="Aptos Narrow (Body)"/>
      </rPr>
      <t>1</t>
    </r>
  </si>
  <si>
    <r>
      <t>$/t Li</t>
    </r>
    <r>
      <rPr>
        <vertAlign val="subscript"/>
        <sz val="12"/>
        <color theme="1"/>
        <rFont val="Aptos Narrow (Body)"/>
      </rPr>
      <t>2</t>
    </r>
    <r>
      <rPr>
        <sz val="12"/>
        <color theme="1"/>
        <rFont val="Aptos Narrow"/>
        <family val="2"/>
        <scheme val="minor"/>
      </rPr>
      <t>CO</t>
    </r>
    <r>
      <rPr>
        <vertAlign val="subscript"/>
        <sz val="12"/>
        <color theme="1"/>
        <rFont val="Aptos Narrow (Body)"/>
      </rPr>
      <t>3</t>
    </r>
  </si>
  <si>
    <t>Hydrochloric Acid</t>
  </si>
  <si>
    <t>HCl</t>
  </si>
  <si>
    <t>2806.10.00</t>
  </si>
  <si>
    <t>8-Digit USITC HTS Number:</t>
  </si>
  <si>
    <t>Oil and Gas Well Acidification</t>
  </si>
  <si>
    <t>Oil and gas well acidification</t>
  </si>
  <si>
    <t>Steel Pickling</t>
  </si>
  <si>
    <t>Steel pickling</t>
  </si>
  <si>
    <t>Food processing</t>
  </si>
  <si>
    <t>(1) Source: EPA Water Treatment Chemical Supply Chain Profile, Hydrochloric Acid</t>
  </si>
  <si>
    <r>
      <t>Reported domestic production</t>
    </r>
    <r>
      <rPr>
        <vertAlign val="superscript"/>
        <sz val="12"/>
        <color rgb="FF000000"/>
        <rFont val="Aptos Narrow"/>
        <scheme val="minor"/>
      </rPr>
      <t>1</t>
    </r>
  </si>
  <si>
    <r>
      <t>Estimated domestic production</t>
    </r>
    <r>
      <rPr>
        <vertAlign val="superscript"/>
        <sz val="12"/>
        <color rgb="FF000000"/>
        <rFont val="Aptos Narrow"/>
        <scheme val="minor"/>
      </rPr>
      <t>2</t>
    </r>
  </si>
  <si>
    <t>Domestic Production, Hydrochloric Acid</t>
  </si>
  <si>
    <t>Assumed domestic production</t>
  </si>
  <si>
    <t>(1) Source: US EPA Chemical Data Reporting Data, 2024</t>
  </si>
  <si>
    <t>Domestic production of hydrochloric acid is tracked by the U.S. EPA under the Toxic Substances Control Act. We estimate domestic production by filtering 2024 CDR data for hydrochloric acid manufacturing production volumes, and sum the values for each year for which data is available (2021-2023). From this data, we see that hydrochloric acid production has remained relatively stable around 1,200 kt each year during this time period, so we adopt that as the production value for missing years (2024 and 2025).</t>
  </si>
  <si>
    <t>(2) Assumed based on patterns of consistent HCl production of ~1200 kt</t>
  </si>
  <si>
    <t>Imports for Consumption, Hydrochloric Acid</t>
  </si>
  <si>
    <t>Domestic Exports, Hydrochloric Acid</t>
  </si>
  <si>
    <t>2806100000</t>
  </si>
  <si>
    <t>HYDROGEN CHLORIDE (HYDROCHLORIC ACID)</t>
  </si>
  <si>
    <t>USITC FAS Value</t>
  </si>
  <si>
    <t>Value for: metric tons</t>
  </si>
  <si>
    <r>
      <t>Hydrogen chloride (hydrochloric acid)</t>
    </r>
    <r>
      <rPr>
        <vertAlign val="superscript"/>
        <sz val="12"/>
        <color rgb="FF000000"/>
        <rFont val="Aptos Narrow"/>
        <scheme val="minor"/>
      </rPr>
      <t>1</t>
    </r>
  </si>
  <si>
    <t>2806.10.0000</t>
  </si>
  <si>
    <r>
      <t>Total FAS Value, Domestic Exports</t>
    </r>
    <r>
      <rPr>
        <vertAlign val="superscript"/>
        <sz val="12"/>
        <color theme="1"/>
        <rFont val="Aptos Narrow (Body)"/>
      </rPr>
      <t>1</t>
    </r>
  </si>
  <si>
    <t>$</t>
  </si>
  <si>
    <r>
      <t>Total Domestic Exports</t>
    </r>
    <r>
      <rPr>
        <vertAlign val="superscript"/>
        <sz val="12"/>
        <color theme="1"/>
        <rFont val="Aptos Narrow (Body)"/>
      </rPr>
      <t>2</t>
    </r>
  </si>
  <si>
    <t>(2) See "Imports and Exports" section above</t>
  </si>
  <si>
    <t>t</t>
  </si>
  <si>
    <t>Price, average unit value, domestic exports FAS</t>
  </si>
  <si>
    <t>Hydrofluoric Acid</t>
  </si>
  <si>
    <t>HF</t>
  </si>
  <si>
    <t>2811.11.00</t>
  </si>
  <si>
    <t>(1) Source: Grand View Research, Hydrofluoric Acid Market 2022-2030</t>
  </si>
  <si>
    <t>Fluorocarbon</t>
  </si>
  <si>
    <t>Fluorinated derivatives</t>
  </si>
  <si>
    <t>Metal pickling</t>
  </si>
  <si>
    <t>Semiconductor Manufacturing</t>
  </si>
  <si>
    <t>Glass etching</t>
  </si>
  <si>
    <t>Oil refining</t>
  </si>
  <si>
    <t>Others</t>
  </si>
  <si>
    <r>
      <t>"Glass etching" was assigned to Semiconductor Manufacturing, based on reports from USGS that hydrofluoric acid is essential in cleaning and etching process during semiconductor manufacturing.</t>
    </r>
    <r>
      <rPr>
        <vertAlign val="superscript"/>
        <sz val="12"/>
        <color theme="1"/>
        <rFont val="Aptos Narrow (Body)"/>
      </rPr>
      <t>1</t>
    </r>
    <r>
      <rPr>
        <sz val="12"/>
        <color theme="1"/>
        <rFont val="Aptos Narrow"/>
        <scheme val="minor"/>
      </rPr>
      <t xml:space="preserve"> End-uses with a market share &lt;5% are consolidated into the "Other" category.</t>
    </r>
  </si>
  <si>
    <t>2811110000</t>
  </si>
  <si>
    <t>HYDROGEN FLUORIDE (HYDROFLUORIC ACID)</t>
  </si>
  <si>
    <t>2811.11.0000</t>
  </si>
  <si>
    <r>
      <t>Hydrogen fluoride (hydrofluoric acid)</t>
    </r>
    <r>
      <rPr>
        <vertAlign val="superscript"/>
        <sz val="12"/>
        <color rgb="FF000000"/>
        <rFont val="Aptos Narrow"/>
        <scheme val="minor"/>
      </rPr>
      <t>1</t>
    </r>
  </si>
  <si>
    <t>Value for: kilograms</t>
  </si>
  <si>
    <t>Domestic Production, Hydrofluoric Acid</t>
  </si>
  <si>
    <t>Imports for Consumption, Hydrofluoric Acid</t>
  </si>
  <si>
    <t>Domestic Exports, Hydrofluoric Acid</t>
  </si>
  <si>
    <t>(1) Source: ATSDR Toxicological Profile for Fluorides, Hydrogen Fluoride, and Fluorine</t>
  </si>
  <si>
    <r>
      <t>Consumption, apparent, acid-grade fluorspar</t>
    </r>
    <r>
      <rPr>
        <vertAlign val="superscript"/>
        <sz val="12"/>
        <color rgb="FF000000"/>
        <rFont val="Aptos Narrow"/>
        <scheme val="minor"/>
      </rPr>
      <t>1</t>
    </r>
  </si>
  <si>
    <t>(1) See B5. CaF2</t>
  </si>
  <si>
    <t>Mmol</t>
  </si>
  <si>
    <r>
      <t>Production, estimated, hydrofluoric acid</t>
    </r>
    <r>
      <rPr>
        <vertAlign val="superscript"/>
        <sz val="12"/>
        <color rgb="FF000000"/>
        <rFont val="Aptos Narrow"/>
        <scheme val="minor"/>
      </rPr>
      <t>3</t>
    </r>
  </si>
  <si>
    <r>
      <t>Production, estimated, hydrofluoric acid</t>
    </r>
    <r>
      <rPr>
        <vertAlign val="superscript"/>
        <sz val="12"/>
        <color rgb="FF000000"/>
        <rFont val="Aptos Narrow"/>
        <scheme val="minor"/>
      </rPr>
      <t>4</t>
    </r>
  </si>
  <si>
    <r>
      <t>Consumption, estimated calcium, fluoride</t>
    </r>
    <r>
      <rPr>
        <vertAlign val="superscript"/>
        <sz val="12"/>
        <color rgb="FF000000"/>
        <rFont val="Aptos Narrow"/>
        <scheme val="minor"/>
      </rPr>
      <t>2</t>
    </r>
  </si>
  <si>
    <r>
      <t>Domestic production of hydrofluoric acid is tracked by the U.S. EPA under the Toxic Substances Control Act. When calculating the total production volumes of hydrofluoric acid from the 2024 CDR dataset, however, we find that the disclosed production volumes (~2-6 kt in total, each year) represent only a small fraction of total U.S. hydrofluoric acid manufacturing capacity (200 kt),</t>
    </r>
    <r>
      <rPr>
        <vertAlign val="superscript"/>
        <sz val="12"/>
        <color theme="1"/>
        <rFont val="Aptos Narrow (Body)"/>
      </rPr>
      <t xml:space="preserve">1 </t>
    </r>
    <r>
      <rPr>
        <sz val="12"/>
        <color theme="1"/>
        <rFont val="Aptos Narrow (Body)"/>
      </rPr>
      <t>likely due to information withheld from the public CDR dataset as confidential business information (CBI). Instead, we calculate hydrofluoric acid production indirectly, as a function of acid-grade fluorspar consumption, which is used entirely for hydrofluoric acid manufacturing (see B5. CaF</t>
    </r>
    <r>
      <rPr>
        <vertAlign val="subscript"/>
        <sz val="12"/>
        <color theme="1"/>
        <rFont val="Aptos Narrow (Body)"/>
      </rPr>
      <t>2</t>
    </r>
    <r>
      <rPr>
        <sz val="12"/>
        <color theme="1"/>
        <rFont val="Aptos Narrow (Body)"/>
      </rPr>
      <t>). To generate a conservative estimate (erring towards overestimation to provide an upper bound of demand), we perform these calculations stoichiometrically, where a single molecule of fluorspar translates to 2 hydrofluoric acid molecules. We assume 100% purity in the fluorspar feedstock.</t>
    </r>
    <r>
      <rPr>
        <sz val="12"/>
        <color theme="1"/>
        <rFont val="Aptos Narrow"/>
        <family val="2"/>
        <scheme val="minor"/>
      </rPr>
      <t xml:space="preserve"> These calculations yield production estimates well in line with approximate US production capacities, but likely slightly overestimate hydrofluoric acid production volumes.</t>
    </r>
  </si>
  <si>
    <t>(2) Converted from fluorspar consumption assuming 100% calcium fluoride purity and molecular weight of 78.075 kt/Mmol. Molecular weight obtained from Python molmass package.</t>
  </si>
  <si>
    <r>
      <t>(3) Stoichiometric yield of hydrofluoric acid from 1 mol calcium fluoride (CaF</t>
    </r>
    <r>
      <rPr>
        <vertAlign val="subscript"/>
        <sz val="12"/>
        <color theme="1"/>
        <rFont val="Aptos Narrow (Body)"/>
      </rPr>
      <t>2</t>
    </r>
    <r>
      <rPr>
        <sz val="12"/>
        <color theme="1"/>
        <rFont val="Aptos Narrow"/>
        <family val="2"/>
        <scheme val="minor"/>
      </rPr>
      <t xml:space="preserve"> + H</t>
    </r>
    <r>
      <rPr>
        <vertAlign val="subscript"/>
        <sz val="12"/>
        <color theme="1"/>
        <rFont val="Aptos Narrow (Body)"/>
      </rPr>
      <t>2</t>
    </r>
    <r>
      <rPr>
        <sz val="12"/>
        <color theme="1"/>
        <rFont val="Aptos Narrow"/>
        <family val="2"/>
        <scheme val="minor"/>
      </rPr>
      <t>SO</t>
    </r>
    <r>
      <rPr>
        <vertAlign val="subscript"/>
        <sz val="12"/>
        <color theme="1"/>
        <rFont val="Aptos Narrow (Body)"/>
      </rPr>
      <t>4</t>
    </r>
    <r>
      <rPr>
        <sz val="12"/>
        <color theme="1"/>
        <rFont val="Aptos Narrow"/>
        <family val="2"/>
        <scheme val="minor"/>
      </rPr>
      <t xml:space="preserve"> --&gt; 2HF + CaSO</t>
    </r>
    <r>
      <rPr>
        <vertAlign val="subscript"/>
        <sz val="12"/>
        <color theme="1"/>
        <rFont val="Aptos Narrow (Body)"/>
      </rPr>
      <t>4</t>
    </r>
    <r>
      <rPr>
        <sz val="12"/>
        <color theme="1"/>
        <rFont val="Aptos Narrow"/>
        <family val="2"/>
        <scheme val="minor"/>
      </rPr>
      <t>)</t>
    </r>
  </si>
  <si>
    <t>(4) Converted from molar hydrofluoric acid yield to weight in metric tons. Molecular weight obtained from Python molmass package.</t>
  </si>
  <si>
    <t>Sodium Hydroxide</t>
  </si>
  <si>
    <t>NaOH</t>
  </si>
  <si>
    <t>2815.12.00</t>
  </si>
  <si>
    <t>2815120000</t>
  </si>
  <si>
    <t>SODIUM HYDROXIDE IN AQUEOUS SOLUTION (SODA LYE OR LIQUID SODA)</t>
  </si>
  <si>
    <t>2815.12.0000</t>
  </si>
  <si>
    <r>
      <t>Sodium hydroxide (aqueous)</t>
    </r>
    <r>
      <rPr>
        <vertAlign val="superscript"/>
        <sz val="12"/>
        <color rgb="FF000000"/>
        <rFont val="Aptos Narrow"/>
        <scheme val="minor"/>
      </rPr>
      <t>1</t>
    </r>
  </si>
  <si>
    <t>Domestic Exports, Sodium Hydroxide</t>
  </si>
  <si>
    <t>Imports for Consumption, Sodium Hydroxide</t>
  </si>
  <si>
    <t>(1) Source: 2025 Annual Report, Olin Corporation</t>
  </si>
  <si>
    <r>
      <t>Domestic production of sodium hydroxide (caustic soda) is tracked by the U.S. EPA under the Toxic Substances Control Act. When calculating the total production volumes of caustic soda from the 2024 CDR dataset, however, we find that the disclosed production volumes (~1,300-1,400 kt in total, each year) represent only a small fraction of total North American caustic soda manufacturing capacity (17,000 kt),</t>
    </r>
    <r>
      <rPr>
        <vertAlign val="superscript"/>
        <sz val="12"/>
        <color theme="1"/>
        <rFont val="Aptos Narrow (Body)"/>
      </rPr>
      <t xml:space="preserve">1 </t>
    </r>
    <r>
      <rPr>
        <sz val="12"/>
        <color theme="1"/>
        <rFont val="Aptos Narrow"/>
        <family val="2"/>
        <scheme val="minor"/>
      </rPr>
      <t>likely due to information withheld from the public CDR dataset as confidential business information (CBI). With no reliable source of U.S. production, we adopt the reported caustic soda production capacity of North American chloralkali manufacturers (17,000 kt) as a conservative upper bound on domestic caustic soda production across all years.</t>
    </r>
  </si>
  <si>
    <t>Organic chemical synthesis</t>
  </si>
  <si>
    <t>Pulp and Paper Manufacturing</t>
  </si>
  <si>
    <t>Pulp and paper manufacturing</t>
  </si>
  <si>
    <t>Inorganic chemical production</t>
  </si>
  <si>
    <t>Special applications</t>
  </si>
  <si>
    <t xml:space="preserve"> End-uses with a market share &lt;5% are consolidated into the "Other" category.</t>
  </si>
  <si>
    <t>(1) Source: EPA Water Treatment Chemical Supply Chain Profile, Sodium Hydroxide</t>
  </si>
  <si>
    <t>Domestic Production, Sodium Hydroxide</t>
  </si>
  <si>
    <r>
      <t>Caustic soda production capacity of North American chloralkali plants</t>
    </r>
    <r>
      <rPr>
        <vertAlign val="superscript"/>
        <sz val="12"/>
        <color rgb="FF000000"/>
        <rFont val="Aptos Narrow"/>
        <scheme val="minor"/>
      </rPr>
      <t>1</t>
    </r>
  </si>
  <si>
    <t>(1) Source: Annual Reports, Olin Corporation. Retrieved from the U.S. Securities and Exchange Commission's Electronic Data Gathering, Analysis, and Retrieval (EDGAR) system for OLIN CORP (CIK 000074303).</t>
  </si>
  <si>
    <t>Magnesium Hydroxide</t>
  </si>
  <si>
    <t>Mg(OH)2</t>
  </si>
  <si>
    <r>
      <t>Mg(OH)</t>
    </r>
    <r>
      <rPr>
        <vertAlign val="subscript"/>
        <sz val="12"/>
        <color theme="1"/>
        <rFont val="Aptos Narrow (Body)"/>
      </rPr>
      <t>2</t>
    </r>
  </si>
  <si>
    <t>Magnesium Compounds</t>
  </si>
  <si>
    <t>Chemical intermediates</t>
  </si>
  <si>
    <t>(1) Source: USGS Minerals Yearbook 2020, Magnesium Compounds</t>
  </si>
  <si>
    <t>Major domestic end uses for magnesium hydroxide were quantified by market share in USGS Minerals Yearbook 2020, Magnesium Compounds. This report further specifies magnesium hydroxide's primary use in water treatment as largely for treatment of wastewater and industrial effluent, so we categorize it under "Wastewater Treatment".</t>
  </si>
  <si>
    <t>2530201000</t>
  </si>
  <si>
    <t>KIESERITE</t>
  </si>
  <si>
    <t>2530202000</t>
  </si>
  <si>
    <t>EPSOM SALTS</t>
  </si>
  <si>
    <t>2816100000</t>
  </si>
  <si>
    <t>MAGNESIUM HYDROXIDE AND MAGNESIUM PEROXIDE</t>
  </si>
  <si>
    <t>2827310000</t>
  </si>
  <si>
    <t>MAGNESIUM CHLORIDE</t>
  </si>
  <si>
    <t>2833210000</t>
  </si>
  <si>
    <t>MAGNESIUM SULFATE</t>
  </si>
  <si>
    <t>2816.10.0000</t>
  </si>
  <si>
    <r>
      <t>Magnesium hydroxide and peroxide</t>
    </r>
    <r>
      <rPr>
        <vertAlign val="superscript"/>
        <sz val="12"/>
        <color rgb="FF000000"/>
        <rFont val="Aptos Narrow"/>
        <scheme val="minor"/>
      </rPr>
      <t>1</t>
    </r>
  </si>
  <si>
    <t>Imports for Consumption, Magnesium Hydroxide</t>
  </si>
  <si>
    <t>Domestic Exports, Magnesium Hydroxide</t>
  </si>
  <si>
    <t>(1) Source: USGS Minerals Yearbook 2023, Magnesium Compounds</t>
  </si>
  <si>
    <t>Domestic Production, Magnesium Hydroxide</t>
  </si>
  <si>
    <t>Reported volumes of magnesium hydroxide production are available from USGS for the years 2021-2023, so we adopt these values directly. With no production data yet available for 2024-2025, we  approximate magnesium hydroxide production in these years based on production and trade balance data from 2021-2023. Throughout this time period, we see that production, imports for consumption, and exports for consumption remain quite stable, so we assume that there are no significant changes in magnesium hydroxide production in the two years to follow. To reflect this stability while  erring on the side of overestimation to ensure we obtain a reasonable upper bound on demand, we round estimated production 200 kt for both years.</t>
  </si>
  <si>
    <t>(2) Conservative estimate based on previous years' production volumes</t>
  </si>
  <si>
    <r>
      <t>MgSO</t>
    </r>
    <r>
      <rPr>
        <vertAlign val="subscript"/>
        <sz val="12"/>
        <color theme="1"/>
        <rFont val="Aptos Narrow (Body)"/>
      </rPr>
      <t>4</t>
    </r>
  </si>
  <si>
    <t>Cosmetics and Personal Care Product Manufacturing</t>
  </si>
  <si>
    <t>Cosmetics and personal care</t>
  </si>
  <si>
    <t>Fertilizer</t>
  </si>
  <si>
    <t>Magnesium Sulfate</t>
  </si>
  <si>
    <t>Major domestic end uses for magnesium sulfate were most recently quantified by market share in USGS Minerals Yearbook 2020, Magnesium Compounds.</t>
  </si>
  <si>
    <t>Domestic Production, Magnesium Sulfate</t>
  </si>
  <si>
    <t>2530200000</t>
  </si>
  <si>
    <t>KIESERITE, EPSOM SALTS (NATURAL MAGNESIUM SULFATE)</t>
  </si>
  <si>
    <r>
      <t>Magnesium sulfate</t>
    </r>
    <r>
      <rPr>
        <vertAlign val="superscript"/>
        <sz val="12"/>
        <color rgb="FF000000"/>
        <rFont val="Aptos Narrow"/>
        <scheme val="minor"/>
      </rPr>
      <t>1</t>
    </r>
  </si>
  <si>
    <t>2833.21.0000</t>
  </si>
  <si>
    <r>
      <t>Kieserite</t>
    </r>
    <r>
      <rPr>
        <vertAlign val="superscript"/>
        <sz val="12"/>
        <color rgb="FF000000"/>
        <rFont val="Aptos Narrow"/>
        <scheme val="minor"/>
      </rPr>
      <t>1</t>
    </r>
  </si>
  <si>
    <t>2530.20.1000</t>
  </si>
  <si>
    <r>
      <t>Epsom salts</t>
    </r>
    <r>
      <rPr>
        <vertAlign val="superscript"/>
        <sz val="12"/>
        <color rgb="FF000000"/>
        <rFont val="Aptos Narrow"/>
        <scheme val="minor"/>
      </rPr>
      <t>1</t>
    </r>
  </si>
  <si>
    <t>2530.20.2000</t>
  </si>
  <si>
    <r>
      <t>Kieserite and epsom salts (natural magnesium sulfates)</t>
    </r>
    <r>
      <rPr>
        <vertAlign val="superscript"/>
        <sz val="12"/>
        <color rgb="FF000000"/>
        <rFont val="Aptos Narrow"/>
        <scheme val="minor"/>
      </rPr>
      <t>1</t>
    </r>
  </si>
  <si>
    <t>2530.20.0000</t>
  </si>
  <si>
    <t>(1) Source: USGS Minerals Yearbook 2016-2020, Magnesium Compounds</t>
  </si>
  <si>
    <t>(2) Conservative estimate assuming constant linear increase in production based on best fit line for production from 2016-2020</t>
  </si>
  <si>
    <r>
      <t>USGS has withheld magnesium sulfate production values since 2020. In the five years leading up to that, however, we see a near-linear increase in magnesium sulfate production (R</t>
    </r>
    <r>
      <rPr>
        <vertAlign val="superscript"/>
        <sz val="12"/>
        <color theme="1"/>
        <rFont val="Aptos Narrow (Body)"/>
      </rPr>
      <t>2</t>
    </r>
    <r>
      <rPr>
        <sz val="12"/>
        <color theme="1"/>
        <rFont val="Aptos Narrow"/>
        <family val="2"/>
        <scheme val="minor"/>
      </rPr>
      <t>=0.96). To generate conservative estimates of magnesium sulfate production, we assume this linear increase remains steady  from 2020-2025. To calculate the rate of increase, we fit a linear trendline to the 2016-2020 data and use the resulting equation to predict future production.</t>
    </r>
  </si>
  <si>
    <t>Imports for Consumption, Magnesium Sulfate</t>
  </si>
  <si>
    <t>Domestic Exports, Magnesium Sulfate</t>
  </si>
  <si>
    <r>
      <t>Total FAS Value, Domestic Exports</t>
    </r>
    <r>
      <rPr>
        <vertAlign val="superscript"/>
        <sz val="12"/>
        <color theme="1"/>
        <rFont val="Aptos Narrow (Body)"/>
      </rPr>
      <t>1,3</t>
    </r>
  </si>
  <si>
    <r>
      <t>Total Domestic Exports</t>
    </r>
    <r>
      <rPr>
        <vertAlign val="superscript"/>
        <sz val="12"/>
        <color theme="1"/>
        <rFont val="Aptos Narrow (Body)"/>
      </rPr>
      <t>2,3</t>
    </r>
  </si>
  <si>
    <t>(3) Export statistics for HTS Code 2833.21.0000 Magnesium Sulfate used as representative for all forms of magnesium sulfate</t>
  </si>
  <si>
    <t>Calcium Carbonate</t>
  </si>
  <si>
    <r>
      <t>CaCO</t>
    </r>
    <r>
      <rPr>
        <vertAlign val="subscript"/>
        <sz val="12"/>
        <color theme="1"/>
        <rFont val="Aptos Narrow (Body)"/>
      </rPr>
      <t>3</t>
    </r>
  </si>
  <si>
    <t>Stone (Crushed)</t>
  </si>
  <si>
    <t>Byproduct-Market</t>
  </si>
  <si>
    <t>Agricultural uses</t>
  </si>
  <si>
    <t>Cement Manufacture</t>
  </si>
  <si>
    <t>Lime Manufacturing</t>
  </si>
  <si>
    <t>Lime Manufacture</t>
  </si>
  <si>
    <t>Sulfur oxide removal</t>
  </si>
  <si>
    <t>Miscellaneous and unspecified uses</t>
  </si>
  <si>
    <t>(1) Source: USGS Minerals Yearbook 2023, Stone (Crushed)</t>
  </si>
  <si>
    <t>Major end use markets for limestone (CaCO3) are reported and quantified in Table 10 of the most recent USGS Minerals Yearbook (2023) for Crushed Stone. We consider all end uses listed for limestone with the exception of Construction Aggregate, as precipitated calcium carbonate from brines would not be sufficiently coarse for this end use. With shares of remaining demand less than 5%, agricultural uses and sulfur dioxide removal are consolidated into the “Other” category and ignored, leaving Cement and Lime Manufacturing as the key domestic end uses of (precipitated) calcium carbonate.</t>
  </si>
  <si>
    <t>State-Level Demand by End-Use</t>
  </si>
  <si>
    <t>In all of its publications, USGS typically groups limestone and dolomite statistics, making it difficult to extract an isolated demand for limestone. Within these key end use markets (cement and lime manufacturing), however, both limestone and dolomite are suitable, interchangeable  raw materials, so their aggregate demand in these markets can still be considered an upper bound on calcium carbonate demand.</t>
  </si>
  <si>
    <r>
      <t>USGS Minerals Yearbook, Stone (Crushed) reports limestone and dolomite sale/use at a state level for both cement and lime manufacturing for years 2021, 2022, and 2023. Because imports/export volumes of all types of crushed stone are negligible compared to domestic production/consumption</t>
    </r>
    <r>
      <rPr>
        <vertAlign val="superscript"/>
        <sz val="12"/>
        <color theme="1"/>
        <rFont val="Aptos Narrow (Body)"/>
      </rPr>
      <t>1</t>
    </r>
    <r>
      <rPr>
        <sz val="12"/>
        <color theme="1"/>
        <rFont val="Aptos Narrow"/>
        <family val="2"/>
        <scheme val="minor"/>
      </rPr>
      <t>, we use these values directly and distribute the total quantities withheld among the remaining states using the appropriate disaggregation proxies.</t>
    </r>
  </si>
  <si>
    <t>(1) Source: USGS Mineral Commodity Summaries 2026, Stone (Crushed)</t>
  </si>
  <si>
    <r>
      <t>For years 2024 and 2025, state level data is not yet available, so we disaggregate total byproduct-market demand using the same proxies. To estimate byproduct-market  demand, we first assume that limestone and dolomite account for 70% of total crushed stone consumption in the US, a reasonable assumption given that limestone and dolomite account for 70% of domestic crushed stone production and imports and exports are relatively negligible compared to these volumes.</t>
    </r>
    <r>
      <rPr>
        <vertAlign val="superscript"/>
        <sz val="12"/>
        <color theme="1"/>
        <rFont val="Aptos Narrow (Body)"/>
      </rPr>
      <t xml:space="preserve">1 </t>
    </r>
    <r>
      <rPr>
        <sz val="12"/>
        <color theme="1"/>
        <rFont val="Aptos Narrow (Body)"/>
      </rPr>
      <t>We then calculate the fraction of total domestic demand attributable to each end use based on the table above.</t>
    </r>
  </si>
  <si>
    <t>State</t>
  </si>
  <si>
    <t>Alabama</t>
  </si>
  <si>
    <t>Alaska</t>
  </si>
  <si>
    <t>Arizona</t>
  </si>
  <si>
    <t>W</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</si>
  <si>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</si>
  <si>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</si>
  <si>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</si>
  <si>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</si>
  <si>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</si>
  <si>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</si>
  <si>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</si>
  <si>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</si>
  <si>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</si>
  <si>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</si>
  <si>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</si>
  <si>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</si>
  <si>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</si>
  <si>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</si>
  <si>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</si>
  <si>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</si>
  <si>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</si>
  <si>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</si>
  <si>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</si>
  <si>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</si>
  <si>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</si>
  <si>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</si>
  <si>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</si>
  <si>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</si>
  <si>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</si>
  <si>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</si>
  <si>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</si>
  <si>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</si>
  <si>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</si>
  <si>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</si>
  <si>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</si>
  <si>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</si>
  <si>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</si>
  <si>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</si>
  <si>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</si>
  <si>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</si>
  <si>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</si>
  <si>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</si>
  <si>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</si>
  <si>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</si>
  <si>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</si>
  <si>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</si>
  <si>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</si>
  <si>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</si>
  <si>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</si>
  <si>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</si>
  <si>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</si>
  <si>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Cement Manufacturing</t>
    </r>
    <r>
      <rPr>
        <b/>
        <vertAlign val="superscript"/>
        <sz val="18"/>
        <color theme="1"/>
        <rFont val="Aptos Narrow (Body)"/>
      </rPr>
      <t>1,2</t>
    </r>
  </si>
  <si>
    <t>Total Withheld</t>
  </si>
  <si>
    <t>W - Withheld to avoid disclosing company proprietary data; included in "Total Withheld"</t>
  </si>
  <si>
    <t>(1) Data for 2021-2023 extracted directly from USGS Minerals Yearbook 2022-2023, Stone (Crushed) (Table 11)</t>
  </si>
  <si>
    <t>(2) Data for 2024-2025 estimated at the domestic level (i.e. all states withholding) based on USGS Mineral Commodity Summaries 2026, Stone (Crushed) estimate of 1500 million metric tons of crushed stone production in 2024 and 2025.</t>
  </si>
  <si>
    <r>
      <t>Lime Manufacturing</t>
    </r>
    <r>
      <rPr>
        <b/>
        <vertAlign val="superscript"/>
        <sz val="18"/>
        <color theme="1"/>
        <rFont val="Aptos Narrow (Body)"/>
      </rPr>
      <t>1,2</t>
    </r>
  </si>
  <si>
    <r>
      <t>% of Demand</t>
    </r>
    <r>
      <rPr>
        <b/>
        <vertAlign val="superscript"/>
        <sz val="12"/>
        <color theme="1"/>
        <rFont val="Aptos Narrow (Body)"/>
      </rPr>
      <t>2</t>
    </r>
  </si>
  <si>
    <t>2517100020</t>
  </si>
  <si>
    <t>LIMESTONE, EXCEPT PEBBLES AND GRAVEL</t>
  </si>
  <si>
    <t>2836500000</t>
  </si>
  <si>
    <t>CALCIUM CARBONATE</t>
  </si>
  <si>
    <t>2517.10.0020</t>
  </si>
  <si>
    <r>
      <t>Total Domestic Exports</t>
    </r>
    <r>
      <rPr>
        <vertAlign val="superscript"/>
        <sz val="12"/>
        <color theme="1"/>
        <rFont val="Aptos Narrow (Body)"/>
      </rPr>
      <t>1</t>
    </r>
  </si>
  <si>
    <t>(2) Export statistics for HTS Code 2517.10.0020 Limestone used as representative for all forms of calcium carbonate</t>
  </si>
  <si>
    <t>Magnesium Chloride</t>
  </si>
  <si>
    <r>
      <t>MgCl</t>
    </r>
    <r>
      <rPr>
        <vertAlign val="subscript"/>
        <sz val="12"/>
        <color theme="1"/>
        <rFont val="Aptos Narrow (Body)"/>
      </rPr>
      <t>2</t>
    </r>
  </si>
  <si>
    <t>Deicing and Dust Control</t>
  </si>
  <si>
    <t>Deicing and dust control</t>
  </si>
  <si>
    <t>District of Columbia</t>
  </si>
  <si>
    <r>
      <t>The Clear Roads Research Program conducts an annual survey of road maintenance data from U.S. states, from which we can extract magnesium chloride use as road salts by state directly.</t>
    </r>
    <r>
      <rPr>
        <vertAlign val="superscript"/>
        <sz val="12"/>
        <color theme="1"/>
        <rFont val="Aptos Narrow (Body)"/>
      </rPr>
      <t>1</t>
    </r>
    <r>
      <rPr>
        <sz val="12"/>
        <color theme="1"/>
        <rFont val="Aptos Narrow"/>
        <family val="2"/>
        <scheme val="minor"/>
      </rPr>
      <t xml:space="preserve">  Magnesium chloride use is reported for both dry salt (in tons) and brine (in gallons). To calculate total magnesium chloride use (in tons), we assume brines are 22% MgCl</t>
    </r>
    <r>
      <rPr>
        <vertAlign val="subscript"/>
        <sz val="12"/>
        <color theme="1"/>
        <rFont val="Aptos Narrow (Body)"/>
      </rPr>
      <t xml:space="preserve">2 </t>
    </r>
    <r>
      <rPr>
        <sz val="12"/>
        <color theme="1"/>
        <rFont val="Aptos Narrow (Body)"/>
      </rPr>
      <t>by weight and have a density of about 10 lbs/gallon (0.005 tons/gal).</t>
    </r>
    <r>
      <rPr>
        <vertAlign val="superscript"/>
        <sz val="12"/>
        <color theme="1"/>
        <rFont val="Aptos Narrow (Body)"/>
      </rPr>
      <t xml:space="preserve">2,3 </t>
    </r>
    <r>
      <rPr>
        <sz val="12"/>
        <color theme="1"/>
        <rFont val="Aptos Narrow (Body)"/>
      </rPr>
      <t>We then add dry tons and equivalent dry tons from brine together to get total magnesium chloride application in each state in each year.</t>
    </r>
  </si>
  <si>
    <t>Dry Magnesium Chloride Applied</t>
  </si>
  <si>
    <t>tons</t>
  </si>
  <si>
    <r>
      <t>Total Magnesium Chloride Applied</t>
    </r>
    <r>
      <rPr>
        <b/>
        <vertAlign val="superscript"/>
        <sz val="12"/>
        <color theme="1"/>
        <rFont val="Aptos Narrow (Body)"/>
      </rPr>
      <t>1</t>
    </r>
  </si>
  <si>
    <t>(1) Calculated as the sum of dry magnesium chloride applied plus magnesium chloride content of brine applied (assumed 22% concentration and 0.005 tons/gal density). Converted to metric tons.</t>
  </si>
  <si>
    <r>
      <t>Magnesium Chloride Brine Applied</t>
    </r>
    <r>
      <rPr>
        <b/>
        <vertAlign val="superscript"/>
        <sz val="12"/>
        <color theme="1"/>
        <rFont val="Aptos Narrow (Body)"/>
      </rPr>
      <t>1</t>
    </r>
  </si>
  <si>
    <t>(1) Source: Clear Roads Annual Survey of State Winter Maintenance Data</t>
  </si>
  <si>
    <t>(2) Source: Texas Department of Transportation</t>
  </si>
  <si>
    <t>(3) Source: General References Physical Properties of Pure Substances</t>
  </si>
  <si>
    <r>
      <t>Deicing and Dust Control</t>
    </r>
    <r>
      <rPr>
        <b/>
        <vertAlign val="superscript"/>
        <sz val="18"/>
        <color theme="1"/>
        <rFont val="Aptos Narrow (Body)"/>
      </rPr>
      <t>1</t>
    </r>
  </si>
  <si>
    <t>(1) Taken directly from Total Magnesium Chloride Applied table below, if available. Where no data is available, maximum across 10 years of data is assumed. Where no data is available for entire time period, 0 is assumed.</t>
  </si>
  <si>
    <t>In cases where a state did not provide a survey response in a given year, the maximum value across all 10 years of avaialble survey data is used, resulting in a conservative estimate of magnesium chloride demand. For a few states in CONUS (FL, MS, NC), there is no available data for any year covered by the survey (2015-2025). Because all of these states are in the southern US, where typical temperatures are warmer,  we assume they apply zero magnesium chloride for deicing and dust control.</t>
  </si>
  <si>
    <t>2827.31.0000</t>
  </si>
  <si>
    <t>Sodium Chloride</t>
  </si>
  <si>
    <t>NaCl</t>
  </si>
  <si>
    <t>Salt</t>
  </si>
  <si>
    <t>Chemical industry</t>
  </si>
  <si>
    <t>Highway deicing</t>
  </si>
  <si>
    <t>Other applications</t>
  </si>
  <si>
    <t>(1) Source: USGS Mineral Commodity Summaries 2026, Salt</t>
  </si>
  <si>
    <t>2501000000</t>
  </si>
  <si>
    <t>SALT INC TABLE &amp; DENATURED &amp; PURE SODIUM CHLORIDE, WH/NOT IN AQUEOUS SOLUTION OR CONTAINING ADDED ANTI-CRACKING OR FREE-FLOWING AGENTS; SEA WATER</t>
  </si>
  <si>
    <t>2501.00.0000</t>
  </si>
  <si>
    <t>byproduct</t>
  </si>
  <si>
    <t>demand_2021_kt</t>
  </si>
  <si>
    <t>demand_2022_kt</t>
  </si>
  <si>
    <t>demand_2023_kt</t>
  </si>
  <si>
    <t>demand_2024_kt</t>
  </si>
  <si>
    <t>demand_2025_kt</t>
  </si>
  <si>
    <t>B</t>
  </si>
  <si>
    <t>BaSO4</t>
  </si>
  <si>
    <t>CaF2</t>
  </si>
  <si>
    <t>Ca(OH)2</t>
  </si>
  <si>
    <t>CaSO4</t>
  </si>
  <si>
    <t>K2O</t>
  </si>
  <si>
    <t>MgSO4</t>
  </si>
  <si>
    <t>Na2CO3</t>
  </si>
  <si>
    <t>NH3</t>
  </si>
  <si>
    <t>P2O5</t>
  </si>
  <si>
    <t>kt phosphate rock</t>
  </si>
  <si>
    <t>SrSO4</t>
  </si>
  <si>
    <t>end_use_category</t>
  </si>
  <si>
    <t>state</t>
  </si>
  <si>
    <t>CaCO3</t>
  </si>
  <si>
    <t>MgCl2</t>
  </si>
  <si>
    <t>price_2021_usd_t</t>
  </si>
  <si>
    <t>price_2022_usd_t</t>
  </si>
  <si>
    <t>price_2023_usd_t</t>
  </si>
  <si>
    <t>price_2024_usd_t</t>
  </si>
  <si>
    <t>price_2025_usd_t</t>
  </si>
  <si>
    <t>pct_demand</t>
  </si>
  <si>
    <t>end_use</t>
  </si>
  <si>
    <t>demand_kt</t>
  </si>
  <si>
    <r>
      <t>Major End-Use Markets</t>
    </r>
    <r>
      <rPr>
        <b/>
        <vertAlign val="superscript"/>
        <sz val="18"/>
        <color theme="1"/>
        <rFont val="Aptos Narrow (Body)"/>
      </rPr>
      <t>1,2</t>
    </r>
  </si>
  <si>
    <t>(2) 88% general fertilizer end use split between application and manufacturing based on fraction of 2023 US nitrogen fertilizer consumption attributable to anhydrous ammonia (24%) (USGS Minerals Yearbook 2023, Ammonia (Table 5))</t>
  </si>
  <si>
    <t>Nitrogenous Fertilizer Manufacturing</t>
  </si>
  <si>
    <t>Nitrogenous Fertilizer Application</t>
  </si>
  <si>
    <t>Manufacturing</t>
  </si>
  <si>
    <t>Agriculture</t>
  </si>
  <si>
    <t>Energy</t>
  </si>
  <si>
    <t>Utilities/Infrastructure</t>
  </si>
  <si>
    <r>
      <t>Price, annual average-real, battery-grade lithium carbonate, lithium content</t>
    </r>
    <r>
      <rPr>
        <vertAlign val="superscript"/>
        <sz val="12"/>
        <color theme="1"/>
        <rFont val="Aptos Narrow (Body)"/>
      </rPr>
      <t>2</t>
    </r>
  </si>
  <si>
    <t>(2) Calculated from molcular weight ratio Lithium and Lithium Carbonate</t>
  </si>
  <si>
    <r>
      <t>The 2026 USGS Mineral Commodity Summary for Bromine lists production of brominated flame retardants (BFRs) and clear brine drilling fluids as the leading global applications of bromine, but do not provide quantitative market shares for any end use. We instead derive percent of demand by end use from Ullmann’s Encyclopedia for Industrial Chemistry, which lists a similar set of end uses on the global scale. We assume that domestic bromine market shares by end use mirror global proportions, with the exception of pesticide manufacturing, as the EPA has phased out production and consumption of methyl bromide fumigants due to ozone depletion concerns.</t>
    </r>
    <r>
      <rPr>
        <vertAlign val="superscript"/>
        <sz val="12"/>
        <color theme="1"/>
        <rFont val="Aptos Narrow (Body)"/>
      </rPr>
      <t>1</t>
    </r>
    <r>
      <rPr>
        <sz val="12"/>
        <color theme="1"/>
        <rFont val="Aptos Narrow"/>
        <scheme val="minor"/>
      </rPr>
      <t xml:space="preserve"> After removal of pesticide manufacturing, we reallocate all other market shares to total 100%.</t>
    </r>
  </si>
  <si>
    <r>
      <t xml:space="preserve">The most recent Mineral Commodity Summary with quantified shares of consumption by end use is from 2024, which reports that the glass and ceramics industries account for 65% of total borates consumption, so we adopt this value. </t>
    </r>
    <r>
      <rPr>
        <vertAlign val="superscript"/>
        <sz val="12"/>
        <color theme="1"/>
        <rFont val="Aptos Narrow (Body)"/>
      </rPr>
      <t xml:space="preserve"> </t>
    </r>
    <r>
      <rPr>
        <sz val="12"/>
        <color theme="1"/>
        <rFont val="Aptos Narrow"/>
        <scheme val="minor"/>
      </rPr>
      <t xml:space="preserve">All other end uses are consolidated into "Miscellaneous Manufacturing".				
						</t>
    </r>
  </si>
  <si>
    <r>
      <t>To avoid disclosing proprietary information, USGS has withheld bromine consumption and production estimates since 2006. Domestic bromine production, however, is entirely attributable to two companies in Arkansas: Albemarle Corporation and Chemtura.</t>
    </r>
    <r>
      <rPr>
        <vertAlign val="superscript"/>
        <sz val="12"/>
        <color theme="1"/>
        <rFont val="Aptos Narrow (Body)"/>
      </rPr>
      <t>1, 2</t>
    </r>
    <r>
      <rPr>
        <sz val="12"/>
        <color theme="1"/>
        <rFont val="Aptos Narrow"/>
        <family val="2"/>
        <scheme val="minor"/>
      </rPr>
      <t xml:space="preserve"> Since 2020, Albemarle Corporation has disclosed its annual aggregate bromine production in the US in its annual reports. Chemtura, on the other hand, was acquired by German company LANXESS AG in 2017 and withholds its production data as proprietary.</t>
    </r>
    <r>
      <rPr>
        <vertAlign val="superscript"/>
        <sz val="12"/>
        <color theme="1"/>
        <rFont val="Aptos Narrow (Body)"/>
      </rPr>
      <t>3</t>
    </r>
    <r>
      <rPr>
        <sz val="12"/>
        <color theme="1"/>
        <rFont val="Aptos Narrow"/>
        <family val="2"/>
        <scheme val="minor"/>
      </rPr>
      <t xml:space="preserve"> The most recent measure of both companies’ annual bromine production capacities  reported a value of 148 kt for Albemarle and 130 kt for Chemtura.</t>
    </r>
    <r>
      <rPr>
        <vertAlign val="superscript"/>
        <sz val="12"/>
        <color theme="1"/>
        <rFont val="Aptos Narrow (Body)"/>
      </rPr>
      <t>2</t>
    </r>
    <r>
      <rPr>
        <sz val="12"/>
        <color theme="1"/>
        <rFont val="Aptos Narrow"/>
        <family val="2"/>
        <scheme val="minor"/>
      </rPr>
      <t xml:space="preserve"> To remain conservative in our consumption estimates, we assume Chemtura's annual production is equal to their capacity, and add it to reported Albemarle production to get total domestic production of Bromine.</t>
    </r>
  </si>
  <si>
    <r>
      <t>Assumed Chemtura Production</t>
    </r>
    <r>
      <rPr>
        <vertAlign val="superscript"/>
        <sz val="12"/>
        <color rgb="FF000000"/>
        <rFont val="Aptos Narrow"/>
        <scheme val="minor"/>
      </rPr>
      <t>2</t>
    </r>
  </si>
  <si>
    <t>(2) Assumed based on reported capacity of Chemtura bromine facilities (Arkansas Geological Survey)</t>
  </si>
  <si>
    <t>Direct Report</t>
  </si>
  <si>
    <t>Indirect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</si>
</sst>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font>
      <sz val="12"/>
      <color theme="1"/>
      <name val="Aptos Narrow"/>
      <family val="2"/>
      <scheme val="minor"/>
    </font>
    <font>
      <sz val="12"/>
      <color theme="1"/>
      <name val="Aptos Narrow"/>
      <family val="2"/>
      <scheme val="minor"/>
    </font>
    <font>
      <b/>
      <sz val="20"/>
      <color theme="1"/>
      <name val="Aptos Narrow"/>
      <scheme val="minor"/>
    </font>
    <font>
      <u/>
      <sz val="12"/>
      <color theme="10"/>
      <name val="Aptos Narrow"/>
      <family val="2"/>
      <scheme val="minor"/>
    </font>
    <font>
      <b/>
      <sz val="18"/>
      <color theme="1"/>
      <name val="Aptos Narrow"/>
      <scheme val="minor"/>
    </font>
    <font>
      <b/>
      <sz val="12"/>
      <color theme="1"/>
      <name val="Aptos Narrow"/>
      <scheme val="minor"/>
    </font>
    <font>
      <vertAlign val="subscript"/>
      <sz val="12"/>
      <color theme="1"/>
      <name val="Aptos Narrow (Body)"/>
    </font>
    <font>
      <sz val="12"/>
      <color theme="1"/>
      <name val="Aptos Narrow"/>
      <scheme val="minor"/>
    </font>
    <font>
      <b/>
      <sz val="14"/>
      <color theme="2" tint="-0.499984740745262"/>
      <name val="Aptos Narrow"/>
      <scheme val="minor"/>
    </font>
    <font>
      <sz val="14"/>
      <color theme="2" tint="-0.499984740745262"/>
      <name val="Aptos Narrow"/>
      <scheme val="minor"/>
    </font>
    <font>
      <vertAlign val="superscript"/>
      <sz val="12"/>
      <color theme="1"/>
      <name val="Aptos Narrow (Body)"/>
    </font>
    <font>
      <b/>
      <vertAlign val="superscript"/>
      <sz val="18"/>
      <color theme="1"/>
      <name val="Aptos Narrow (Body)"/>
    </font>
    <font>
      <sz val="12"/>
      <color theme="1"/>
      <name val="Aptos Narrow (Body)"/>
    </font>
    <font>
      <b/>
      <sz val="12"/>
      <color rgb="FF000000"/>
      <name val="Aptos Narrow"/>
      <scheme val="minor"/>
    </font>
    <font>
      <sz val="12"/>
      <color rgb="FF000000"/>
      <name val="Aptos Narrow"/>
      <family val="2"/>
      <scheme val="minor"/>
    </font>
    <font>
      <sz val="12"/>
      <color rgb="FF000000"/>
      <name val="Aptos Narrow"/>
      <scheme val="minor"/>
    </font>
    <font>
      <vertAlign val="superscript"/>
      <sz val="12"/>
      <color rgb="FF000000"/>
      <name val="Aptos Narrow"/>
      <scheme val="minor"/>
    </font>
    <font>
      <b/>
      <vertAlign val="subscript"/>
      <sz val="12"/>
      <color theme="1"/>
      <name val="Aptos Narrow (Body)"/>
    </font>
    <font>
      <b/>
      <vertAlign val="subscript"/>
      <sz val="12"/>
      <color rgb="FF000000"/>
      <name val="Aptos Narrow"/>
      <scheme val="minor"/>
    </font>
    <font>
      <vertAlign val="subscript"/>
      <sz val="12"/>
      <color theme="1"/>
      <name val="Aptos Narrow"/>
      <scheme val="minor"/>
    </font>
    <font>
      <sz val="12"/>
      <name val="Aptos Narrow"/>
      <scheme val="minor"/>
    </font>
    <font>
      <vertAlign val="subscript"/>
      <sz val="12"/>
      <name val="Aptos Narrow"/>
      <scheme val="minor"/>
    </font>
    <font>
      <b/>
      <sz val="12"/>
      <name val="Aptos Narrow"/>
      <scheme val="minor"/>
    </font>
    <font>
      <b/>
      <sz val="12"/>
      <color theme="1"/>
      <name val="Aptos Narrow (Body)"/>
    </font>
    <font>
      <sz val="11"/>
      <color rgb="FF000000"/>
      <name val="Arial"/>
      <family val="2"/>
    </font>
    <font>
      <b/>
      <sz val="14"/>
      <color theme="1"/>
      <name val="Aptos Narrow"/>
      <scheme val="minor"/>
    </font>
    <font>
      <sz val="14"/>
      <color theme="1"/>
      <name val="Aptos Narrow"/>
      <scheme val="minor"/>
    </font>
    <font>
      <sz val="12"/>
      <color rgb="FF000000"/>
      <name val="Menlo"/>
      <family val="2"/>
    </font>
    <font>
      <sz val="12"/>
      <color rgb="FFFF0000"/>
      <name val="Aptos Narrow"/>
      <family val="2"/>
      <scheme val="minor"/>
    </font>
    <font>
      <b/>
      <vertAlign val="superscript"/>
      <sz val="12"/>
      <color theme="1"/>
      <name val="Aptos Narrow (Body)"/>
    </font>
    <font>
      <sz val="12"/>
      <name val="Aptos Narrow"/>
      <family val="2"/>
      <scheme val="minor"/>
    </font>
    <font>
      <sz val="10"/>
      <color indexed="8"/>
      <name val="Arial"/>
      <family val="2"/>
    </font>
    <font>
      <u/>
      <sz val="12"/>
      <color rgb="FFFF0000"/>
      <name val="Aptos Narrow"/>
      <family val="2"/>
      <scheme val="minor"/>
    </font>
    <font>
      <sz val="8"/>
      <name val="Aptos Narrow"/>
      <family val="2"/>
      <scheme val="minor"/>
    </font>
  </fonts>
  <fills count="8">
    <fill>
      <patternFill patternType="none"/>
    </fill>
    <fill>
      <patternFill patternType="gray125"/>
    </fill>
    <fill>
      <patternFill patternType="solid">
        <fgColor theme="3"/>
        <bgColor indexed="64"/>
      </patternFill>
    </fill>
    <fill>
      <patternFill patternType="solid">
        <fgColor theme="3" tint="0.749992370372631"/>
        <bgColor indexed="64"/>
      </patternFill>
    </fill>
    <fill>
      <patternFill patternType="solid">
        <fgColor rgb="FFA6C9EC"/>
        <bgColor rgb="FF000000"/>
      </patternFill>
    </fill>
    <fill>
      <patternFill patternType="solid">
        <fgColor theme="8"/>
        <bgColor indexed="64"/>
      </patternFill>
    </fill>
    <fill>
      <patternFill patternType="solid">
        <fgColor theme="8" tint="0.79998168889431442"/>
        <bgColor indexed="64"/>
      </patternFill>
    </fill>
    <fill>
      <patternFill patternType="solid">
        <fgColor rgb="FFFFFF00"/>
        <bgColor indexed="64"/>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31" fillId="0" borderId="0"/>
  </cellStyleXfs>
  <cellXfs count="142">
    <xf numFmtId="0" fontId="0" fillId="0" borderId="0" xfId="0"/>
    <xf numFmtId="0" fontId="0" fillId="2" borderId="0" xfId="0" applyFill="1"/>
    <xf numFmtId="0" fontId="2" fillId="0" borderId="0" xfId="0" applyFont="1"/>
    <xf numFmtId="0" fontId="4" fillId="0" borderId="0" xfId="0" applyFont="1"/>
    <xf numFmtId="0" fontId="5" fillId="3" borderId="1" xfId="0" applyFont="1" applyFill="1" applyBorder="1"/>
    <xf numFmtId="0" fontId="0" fillId="0" borderId="2" xfId="0" applyBorder="1"/>
    <xf numFmtId="0" fontId="5" fillId="3" borderId="3" xfId="0" applyFont="1" applyFill="1" applyBorder="1"/>
    <xf numFmtId="0" fontId="3" fillId="0" borderId="4" xfId="2" applyBorder="1"/>
    <xf numFmtId="0" fontId="0" fillId="0" borderId="4" xfId="0" applyBorder="1"/>
    <xf numFmtId="0" fontId="5" fillId="3" borderId="5" xfId="0" applyFont="1" applyFill="1" applyBorder="1"/>
    <xf numFmtId="0" fontId="0" fillId="0" borderId="6" xfId="0" applyBorder="1"/>
    <xf numFmtId="0" fontId="5" fillId="3" borderId="7" xfId="0" applyFont="1" applyFill="1" applyBorder="1"/>
    <xf numFmtId="0" fontId="5" fillId="3" borderId="2" xfId="0" applyFont="1" applyFill="1" applyBorder="1"/>
    <xf numFmtId="0" fontId="0" fillId="0" borderId="3" xfId="0" applyBorder="1"/>
    <xf numFmtId="0" fontId="0" fillId="0" borderId="5" xfId="0" applyBorder="1"/>
    <xf numFmtId="0" fontId="0" fillId="0" borderId="8" xfId="0" applyBorder="1"/>
    <xf numFmtId="0" fontId="5" fillId="0" borderId="0" xfId="0" applyFont="1"/>
    <xf numFmtId="0" fontId="7" fillId="0" borderId="0" xfId="0" applyFont="1"/>
    <xf numFmtId="0" fontId="8" fillId="0" borderId="0" xfId="0" applyFont="1"/>
    <xf numFmtId="0" fontId="9" fillId="0" borderId="0" xfId="0" applyFont="1"/>
    <xf numFmtId="9" fontId="0" fillId="0" borderId="6" xfId="0" applyNumberFormat="1" applyBorder="1"/>
    <xf numFmtId="0" fontId="3" fillId="0" borderId="0" xfId="2"/>
    <xf numFmtId="0" fontId="0" fillId="0" borderId="0" xfId="0" applyAlignment="1">
      <alignment vertical="top" wrapText="1"/>
    </xf>
    <xf numFmtId="0" fontId="0" fillId="0" borderId="5" xfId="0" applyBorder="1" applyAlignment="1">
      <alignment wrapText="1"/>
    </xf>
    <xf numFmtId="0" fontId="0" fillId="0" borderId="0" xfId="0" applyAlignment="1">
      <alignment wrapText="1"/>
    </xf>
    <xf numFmtId="0" fontId="0" fillId="0" borderId="8" xfId="0" applyBorder="1" applyAlignment="1">
      <alignment wrapText="1"/>
    </xf>
    <xf numFmtId="9" fontId="0" fillId="0" borderId="4" xfId="1" applyFont="1" applyBorder="1"/>
    <xf numFmtId="9" fontId="0" fillId="0" borderId="6" xfId="1" applyFont="1" applyBorder="1"/>
    <xf numFmtId="3" fontId="0" fillId="0" borderId="0" xfId="0" applyNumberFormat="1"/>
    <xf numFmtId="3" fontId="0" fillId="0" borderId="8" xfId="0" applyNumberFormat="1" applyBorder="1"/>
    <xf numFmtId="3" fontId="0" fillId="0" borderId="6" xfId="0" applyNumberFormat="1" applyBorder="1"/>
    <xf numFmtId="0" fontId="0" fillId="0" borderId="3" xfId="0" applyBorder="1" applyAlignment="1">
      <alignment wrapText="1"/>
    </xf>
    <xf numFmtId="3" fontId="0" fillId="0" borderId="4" xfId="0" applyNumberFormat="1" applyBorder="1"/>
    <xf numFmtId="0" fontId="3" fillId="0" borderId="0" xfId="2" applyFill="1" applyBorder="1"/>
    <xf numFmtId="2" fontId="0" fillId="0" borderId="4" xfId="0" applyNumberFormat="1" applyBorder="1"/>
    <xf numFmtId="0" fontId="0" fillId="0" borderId="0" xfId="0" applyAlignment="1">
      <alignment horizontal="left" vertical="top" wrapText="1"/>
    </xf>
    <xf numFmtId="0" fontId="13" fillId="4" borderId="1" xfId="0" applyFont="1" applyFill="1" applyBorder="1"/>
    <xf numFmtId="0" fontId="13" fillId="4" borderId="7" xfId="0" applyFont="1" applyFill="1" applyBorder="1"/>
    <xf numFmtId="0" fontId="13" fillId="4" borderId="2" xfId="0" applyFont="1" applyFill="1" applyBorder="1"/>
    <xf numFmtId="0" fontId="14" fillId="0" borderId="0" xfId="0" applyFont="1"/>
    <xf numFmtId="0" fontId="14" fillId="0" borderId="3" xfId="0" applyFont="1" applyBorder="1" applyAlignment="1">
      <alignment wrapText="1"/>
    </xf>
    <xf numFmtId="3" fontId="14" fillId="0" borderId="4" xfId="0" applyNumberFormat="1" applyFont="1" applyBorder="1"/>
    <xf numFmtId="0" fontId="14" fillId="0" borderId="3" xfId="0" applyFont="1" applyBorder="1"/>
    <xf numFmtId="0" fontId="14" fillId="0" borderId="5" xfId="0" applyFont="1" applyBorder="1" applyAlignment="1">
      <alignment wrapText="1"/>
    </xf>
    <xf numFmtId="0" fontId="14" fillId="0" borderId="8" xfId="0" applyFont="1" applyBorder="1"/>
    <xf numFmtId="3" fontId="14" fillId="0" borderId="8" xfId="0" applyNumberFormat="1" applyFont="1" applyBorder="1"/>
    <xf numFmtId="3" fontId="14" fillId="0" borderId="6" xfId="0" applyNumberFormat="1" applyFont="1" applyBorder="1"/>
    <xf numFmtId="0" fontId="14" fillId="0" borderId="0" xfId="0" applyFont="1" applyAlignment="1">
      <alignment wrapText="1"/>
    </xf>
    <xf numFmtId="3" fontId="14" fillId="0" borderId="0" xfId="0" applyNumberFormat="1" applyFont="1"/>
    <xf numFmtId="0" fontId="14" fillId="0" borderId="5" xfId="0" applyFont="1" applyBorder="1"/>
    <xf numFmtId="2" fontId="0" fillId="0" borderId="0" xfId="0" applyNumberFormat="1"/>
    <xf numFmtId="0" fontId="7" fillId="0" borderId="0" xfId="0" applyFont="1" applyAlignment="1">
      <alignment vertical="top" wrapText="1"/>
    </xf>
    <xf numFmtId="1" fontId="0" fillId="0" borderId="8" xfId="0" applyNumberFormat="1" applyBorder="1"/>
    <xf numFmtId="1" fontId="0" fillId="0" borderId="6" xfId="0" applyNumberFormat="1" applyBorder="1"/>
    <xf numFmtId="164" fontId="0" fillId="0" borderId="8" xfId="0" applyNumberFormat="1" applyBorder="1"/>
    <xf numFmtId="164" fontId="0" fillId="0" borderId="6" xfId="0" applyNumberFormat="1" applyBorder="1"/>
    <xf numFmtId="9" fontId="0" fillId="0" borderId="4" xfId="0" applyNumberFormat="1" applyBorder="1" applyAlignment="1">
      <alignment wrapText="1"/>
    </xf>
    <xf numFmtId="9" fontId="0" fillId="0" borderId="6" xfId="0" applyNumberFormat="1" applyBorder="1" applyAlignment="1">
      <alignment wrapText="1"/>
    </xf>
    <xf numFmtId="0" fontId="3" fillId="0" borderId="0" xfId="2" applyAlignment="1">
      <alignment vertical="top"/>
    </xf>
    <xf numFmtId="0" fontId="5" fillId="0" borderId="0" xfId="0" applyFont="1" applyAlignment="1">
      <alignment wrapText="1"/>
    </xf>
    <xf numFmtId="0" fontId="3" fillId="0" borderId="0" xfId="2" applyBorder="1" applyAlignment="1"/>
    <xf numFmtId="0" fontId="3" fillId="0" borderId="0" xfId="2" applyFill="1" applyBorder="1" applyAlignment="1">
      <alignment wrapText="1"/>
    </xf>
    <xf numFmtId="0" fontId="3" fillId="0" borderId="3" xfId="2" applyFill="1" applyBorder="1"/>
    <xf numFmtId="0" fontId="0" fillId="5" borderId="0" xfId="0" applyFill="1"/>
    <xf numFmtId="0" fontId="5" fillId="6" borderId="0" xfId="0" applyFont="1" applyFill="1"/>
    <xf numFmtId="0" fontId="0" fillId="5" borderId="0" xfId="0" applyFill="1" applyAlignment="1">
      <alignment wrapText="1"/>
    </xf>
    <xf numFmtId="0" fontId="5" fillId="6" borderId="0" xfId="0" applyFont="1" applyFill="1" applyAlignment="1">
      <alignment wrapText="1"/>
    </xf>
    <xf numFmtId="3" fontId="7" fillId="0" borderId="0" xfId="0" applyNumberFormat="1" applyFont="1"/>
    <xf numFmtId="3" fontId="7" fillId="0" borderId="4" xfId="0" applyNumberFormat="1" applyFont="1" applyBorder="1"/>
    <xf numFmtId="3" fontId="7" fillId="0" borderId="8" xfId="0" applyNumberFormat="1" applyFont="1" applyBorder="1"/>
    <xf numFmtId="3" fontId="7" fillId="0" borderId="6" xfId="0" applyNumberFormat="1" applyFont="1" applyBorder="1"/>
    <xf numFmtId="0" fontId="5" fillId="3" borderId="7" xfId="0" applyFont="1" applyFill="1" applyBorder="1" applyAlignment="1">
      <alignment wrapText="1"/>
    </xf>
    <xf numFmtId="0" fontId="13" fillId="3" borderId="2" xfId="0" applyFont="1" applyFill="1" applyBorder="1"/>
    <xf numFmtId="9" fontId="0" fillId="0" borderId="4" xfId="0" applyNumberFormat="1" applyBorder="1"/>
    <xf numFmtId="49" fontId="20" fillId="0" borderId="9" xfId="0" applyNumberFormat="1" applyFont="1" applyBorder="1" applyAlignment="1" applyProtection="1">
      <alignment horizontal="left" vertical="center"/>
      <protection locked="0"/>
    </xf>
    <xf numFmtId="49" fontId="20" fillId="0" borderId="10" xfId="0" applyNumberFormat="1" applyFont="1" applyBorder="1" applyAlignment="1" applyProtection="1">
      <alignment horizontal="left" vertical="center"/>
      <protection locked="0"/>
    </xf>
    <xf numFmtId="0" fontId="3" fillId="0" borderId="0" xfId="2" applyFill="1" applyBorder="1" applyAlignment="1"/>
    <xf numFmtId="0" fontId="7" fillId="0" borderId="5" xfId="0" applyFont="1" applyBorder="1"/>
    <xf numFmtId="0" fontId="15" fillId="0" borderId="5" xfId="0" applyFont="1" applyBorder="1"/>
    <xf numFmtId="0" fontId="15" fillId="0" borderId="8" xfId="0" applyFont="1" applyBorder="1"/>
    <xf numFmtId="3" fontId="15" fillId="0" borderId="8" xfId="0" applyNumberFormat="1" applyFont="1" applyBorder="1"/>
    <xf numFmtId="3" fontId="15" fillId="0" borderId="6" xfId="0" applyNumberFormat="1" applyFont="1" applyBorder="1"/>
    <xf numFmtId="0" fontId="7" fillId="0" borderId="8" xfId="0" applyFont="1" applyBorder="1"/>
    <xf numFmtId="0" fontId="5" fillId="0" borderId="0" xfId="0" applyFont="1" applyAlignment="1">
      <alignment vertical="top" wrapText="1"/>
    </xf>
    <xf numFmtId="1" fontId="0" fillId="0" borderId="0" xfId="0" applyNumberFormat="1"/>
    <xf numFmtId="0" fontId="12" fillId="0" borderId="0" xfId="2" applyFont="1" applyFill="1" applyBorder="1"/>
    <xf numFmtId="0" fontId="7" fillId="0" borderId="2" xfId="0" applyFont="1" applyBorder="1"/>
    <xf numFmtId="49" fontId="0" fillId="0" borderId="0" xfId="0" applyNumberFormat="1"/>
    <xf numFmtId="49" fontId="0" fillId="5" borderId="0" xfId="0" applyNumberFormat="1" applyFill="1"/>
    <xf numFmtId="49" fontId="2" fillId="0" borderId="0" xfId="0" applyNumberFormat="1" applyFont="1"/>
    <xf numFmtId="49" fontId="9" fillId="0" borderId="0" xfId="0" applyNumberFormat="1" applyFont="1"/>
    <xf numFmtId="49" fontId="5" fillId="6" borderId="0" xfId="0" applyNumberFormat="1" applyFont="1" applyFill="1"/>
    <xf numFmtId="164" fontId="7" fillId="0" borderId="8" xfId="0" applyNumberFormat="1" applyFont="1" applyBorder="1"/>
    <xf numFmtId="164" fontId="7" fillId="0" borderId="6" xfId="0" applyNumberFormat="1" applyFont="1" applyBorder="1"/>
    <xf numFmtId="0" fontId="7" fillId="0" borderId="3" xfId="0" applyFont="1" applyBorder="1"/>
    <xf numFmtId="0" fontId="7" fillId="0" borderId="3" xfId="0" applyFont="1" applyBorder="1" applyAlignment="1">
      <alignment wrapText="1"/>
    </xf>
    <xf numFmtId="0" fontId="7" fillId="0" borderId="0" xfId="0" applyFont="1" applyAlignment="1">
      <alignment wrapText="1"/>
    </xf>
    <xf numFmtId="0" fontId="7" fillId="0" borderId="5" xfId="0" applyFont="1" applyBorder="1" applyAlignment="1">
      <alignment wrapText="1"/>
    </xf>
    <xf numFmtId="0" fontId="7" fillId="0" borderId="8" xfId="0" applyFont="1" applyBorder="1" applyAlignment="1">
      <alignment wrapText="1"/>
    </xf>
    <xf numFmtId="9" fontId="7" fillId="0" borderId="4" xfId="0" applyNumberFormat="1" applyFont="1" applyBorder="1"/>
    <xf numFmtId="9" fontId="7" fillId="0" borderId="6" xfId="0" applyNumberFormat="1" applyFont="1" applyBorder="1"/>
    <xf numFmtId="0" fontId="3" fillId="0" borderId="0" xfId="2" applyFill="1" applyBorder="1" applyAlignment="1">
      <alignment horizontal="left" vertical="top"/>
    </xf>
    <xf numFmtId="0" fontId="15" fillId="0" borderId="4" xfId="0" applyFont="1" applyBorder="1"/>
    <xf numFmtId="0" fontId="7" fillId="0" borderId="4" xfId="0" applyFont="1" applyBorder="1"/>
    <xf numFmtId="0" fontId="0" fillId="7" borderId="0" xfId="0" applyFill="1"/>
    <xf numFmtId="0" fontId="5" fillId="7" borderId="0" xfId="0" applyFont="1" applyFill="1"/>
    <xf numFmtId="0" fontId="3" fillId="7" borderId="0" xfId="2" applyFill="1"/>
    <xf numFmtId="0" fontId="5" fillId="7" borderId="0" xfId="0" applyFont="1" applyFill="1" applyAlignment="1">
      <alignment vertical="top" wrapText="1"/>
    </xf>
    <xf numFmtId="9" fontId="7" fillId="0" borderId="4" xfId="1" applyFont="1" applyFill="1" applyBorder="1"/>
    <xf numFmtId="9" fontId="7" fillId="0" borderId="4" xfId="1" applyFont="1" applyBorder="1"/>
    <xf numFmtId="9" fontId="7" fillId="0" borderId="6" xfId="1" applyFont="1" applyBorder="1"/>
    <xf numFmtId="0" fontId="3" fillId="0" borderId="0" xfId="2" applyFill="1"/>
    <xf numFmtId="0" fontId="25" fillId="0" borderId="0" xfId="0" applyFont="1"/>
    <xf numFmtId="0" fontId="26" fillId="0" borderId="0" xfId="0" applyFont="1"/>
    <xf numFmtId="4" fontId="14" fillId="0" borderId="4" xfId="0" applyNumberFormat="1" applyFont="1" applyBorder="1"/>
    <xf numFmtId="4" fontId="14" fillId="0" borderId="8" xfId="0" applyNumberFormat="1" applyFont="1" applyBorder="1"/>
    <xf numFmtId="0" fontId="27" fillId="0" borderId="0" xfId="0" applyFont="1"/>
    <xf numFmtId="0" fontId="24" fillId="0" borderId="4" xfId="0" applyFont="1" applyBorder="1"/>
    <xf numFmtId="0" fontId="1" fillId="0" borderId="0" xfId="2" applyFont="1" applyFill="1"/>
    <xf numFmtId="0" fontId="5" fillId="0" borderId="0" xfId="0" applyFont="1" applyAlignment="1">
      <alignment vertical="top"/>
    </xf>
    <xf numFmtId="0" fontId="24" fillId="0" borderId="0" xfId="0" applyFont="1"/>
    <xf numFmtId="0" fontId="24" fillId="0" borderId="8" xfId="0" applyFont="1" applyBorder="1"/>
    <xf numFmtId="4" fontId="0" fillId="0" borderId="0" xfId="0" applyNumberFormat="1"/>
    <xf numFmtId="4" fontId="0" fillId="0" borderId="4" xfId="0" applyNumberFormat="1" applyBorder="1"/>
    <xf numFmtId="0" fontId="0" fillId="0" borderId="0" xfId="2" applyFont="1" applyFill="1"/>
    <xf numFmtId="0" fontId="3" fillId="0" borderId="0" xfId="2" applyFill="1" applyBorder="1" applyAlignment="1">
      <alignment horizontal="left" vertical="top" wrapText="1"/>
    </xf>
    <xf numFmtId="4" fontId="7" fillId="0" borderId="0" xfId="0" applyNumberFormat="1" applyFont="1"/>
    <xf numFmtId="4" fontId="7" fillId="0" borderId="4" xfId="0" applyNumberFormat="1" applyFont="1" applyBorder="1"/>
    <xf numFmtId="9" fontId="7" fillId="0" borderId="6" xfId="1" applyFont="1" applyFill="1" applyBorder="1"/>
    <xf numFmtId="3" fontId="7" fillId="0" borderId="8" xfId="0" applyNumberFormat="1" applyFont="1" applyBorder="1" applyAlignment="1">
      <alignment wrapText="1"/>
    </xf>
    <xf numFmtId="0" fontId="30" fillId="0" borderId="0" xfId="2" applyFont="1" applyFill="1"/>
    <xf numFmtId="0" fontId="32" fillId="0" borderId="0" xfId="2" applyFont="1"/>
    <xf numFmtId="0" fontId="28" fillId="0" borderId="0" xfId="0" applyFont="1"/>
    <xf numFmtId="3" fontId="7" fillId="0" borderId="0" xfId="0" applyNumberFormat="1" applyFont="1" applyAlignment="1">
      <alignment wrapText="1"/>
    </xf>
    <xf numFmtId="165" fontId="7" fillId="0" borderId="4" xfId="1" applyNumberFormat="1" applyFont="1" applyFill="1" applyBorder="1"/>
    <xf numFmtId="4" fontId="14" fillId="0" borderId="0" xfId="0" applyNumberFormat="1" applyFont="1"/>
    <xf numFmtId="4" fontId="14" fillId="0" borderId="6" xfId="0" applyNumberFormat="1" applyFont="1" applyBorder="1"/>
    <xf numFmtId="1" fontId="15" fillId="0" borderId="4" xfId="0" applyNumberFormat="1" applyFont="1" applyBorder="1"/>
    <xf numFmtId="0" fontId="15" fillId="0" borderId="0" xfId="0" applyFont="1"/>
    <xf numFmtId="1" fontId="15" fillId="0" borderId="0" xfId="0" applyNumberFormat="1" applyFont="1"/>
    <xf numFmtId="0" fontId="0" fillId="0" borderId="0" xfId="0" applyAlignment="1">
      <alignment horizontal="left" vertical="top" wrapText="1"/>
    </xf>
    <xf numFmtId="0" fontId="7" fillId="0" borderId="0" xfId="0" applyFont="1" applyAlignment="1">
      <alignment horizontal="left" vertical="top" wrapText="1"/>
    </xf>
  </cellXfs>
  <cellStyles count="4">
    <cellStyle name="Hyperlink" xfId="2" builtinId="8"/>
    <cellStyle name="Normal" xfId="0" builtinId="0"/>
    <cellStyle name="Normal 5 2" xfId="3" xr:uid="{34C4F3A7-1065-744A-AA47-CAE4DED836B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9-wret.s3.us-west-2.amazonaws.com/assets/palladium/production/s3fs-public/media/files/myb1-2023-boron-ERT.xlsx" TargetMode="External"/><Relationship Id="rId3" Type="http://schemas.openxmlformats.org/officeDocument/2006/relationships/hyperlink" Target="https://www.usgs.gov/centers/national-minerals-information-center/boron-statistics-and-information" TargetMode="External"/><Relationship Id="rId7" Type="http://schemas.openxmlformats.org/officeDocument/2006/relationships/hyperlink" Target="https://dataweb.usitc.gov/" TargetMode="External"/><Relationship Id="rId2" Type="http://schemas.openxmlformats.org/officeDocument/2006/relationships/hyperlink" Target="https://pubs.usgs.gov/periodicals/mcs2024/mcs2024-boron.pdf" TargetMode="External"/><Relationship Id="rId1" Type="http://schemas.openxmlformats.org/officeDocument/2006/relationships/hyperlink" Target="https://pubs.usgs.gov/periodicals/mcs2026/mcs2026-boron.pdf" TargetMode="External"/><Relationship Id="rId6" Type="http://schemas.openxmlformats.org/officeDocument/2006/relationships/hyperlink" Target="https://pubs.usgs.gov/periodicals/mcs2026/mcs2026-boron.pdf" TargetMode="External"/><Relationship Id="rId5" Type="http://schemas.openxmlformats.org/officeDocument/2006/relationships/hyperlink" Target="https://www.borax.com/" TargetMode="External"/><Relationship Id="rId10" Type="http://schemas.openxmlformats.org/officeDocument/2006/relationships/hyperlink" Target="https://pubs.usgs.gov/periodicals/mcs2026/mcs2026-boron.pdf" TargetMode="External"/><Relationship Id="rId4" Type="http://schemas.openxmlformats.org/officeDocument/2006/relationships/hyperlink" Target="https://www.sec.gov/search-filings" TargetMode="External"/><Relationship Id="rId9" Type="http://schemas.openxmlformats.org/officeDocument/2006/relationships/hyperlink" Target="https://dataweb.usitc.gov/"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taweb.usitc.gov/" TargetMode="External"/><Relationship Id="rId2" Type="http://schemas.openxmlformats.org/officeDocument/2006/relationships/hyperlink" Target="https://pubs.usgs.gov/periodicals/mcs2026/mcs2026-barite.pdf" TargetMode="External"/><Relationship Id="rId1" Type="http://schemas.openxmlformats.org/officeDocument/2006/relationships/hyperlink" Target="https://pubs.usgs.gov/periodicals/mcs2026/mcs2026-barite.pdf" TargetMode="External"/><Relationship Id="rId6" Type="http://schemas.openxmlformats.org/officeDocument/2006/relationships/hyperlink" Target="https://dataweb.usitc.gov/" TargetMode="External"/><Relationship Id="rId5" Type="http://schemas.openxmlformats.org/officeDocument/2006/relationships/hyperlink" Target="https://pubs.usgs.gov/periodicals/mcs2026/mcs2026-barite.pdf" TargetMode="External"/><Relationship Id="rId4" Type="http://schemas.openxmlformats.org/officeDocument/2006/relationships/hyperlink" Target="https://pubs.usgs.gov/periodicals/mcs2026/mcs2026-barite.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eology.arkansas.gov/energy/brine-in-arkansas.html" TargetMode="External"/><Relationship Id="rId3" Type="http://schemas.openxmlformats.org/officeDocument/2006/relationships/hyperlink" Target="https://www.epa.gov/ods-phaseout/methyl-bromide" TargetMode="External"/><Relationship Id="rId7" Type="http://schemas.openxmlformats.org/officeDocument/2006/relationships/hyperlink" Target="https://www.sec.gov/search-filings" TargetMode="External"/><Relationship Id="rId2" Type="http://schemas.openxmlformats.org/officeDocument/2006/relationships/hyperlink" Target="https://onlinelibrary.wiley.com/doi/10.1002/14356007.a04_391.pub2" TargetMode="External"/><Relationship Id="rId1" Type="http://schemas.openxmlformats.org/officeDocument/2006/relationships/hyperlink" Target="https://pubs.usgs.gov/periodicals/mcs2026/mcs2026-bromine.pdf" TargetMode="External"/><Relationship Id="rId6" Type="http://schemas.openxmlformats.org/officeDocument/2006/relationships/hyperlink" Target="https://lanxess.com/en/investors/news-and-events/news/2016/09/lanxess-signs-contract-to-acquire-chemtura" TargetMode="External"/><Relationship Id="rId11" Type="http://schemas.openxmlformats.org/officeDocument/2006/relationships/hyperlink" Target="https://pubs.usgs.gov/periodicals/mcs2026/mcs2026-bromine.pdf" TargetMode="External"/><Relationship Id="rId5" Type="http://schemas.openxmlformats.org/officeDocument/2006/relationships/hyperlink" Target="https://geology.arkansas.gov/energy/brine-in-arkansas.html" TargetMode="External"/><Relationship Id="rId10" Type="http://schemas.openxmlformats.org/officeDocument/2006/relationships/hyperlink" Target="https://pubs.usgs.gov/periodicals/mcs2026/mcs2026-bromine.pdf" TargetMode="External"/><Relationship Id="rId4" Type="http://schemas.openxmlformats.org/officeDocument/2006/relationships/hyperlink" Target="https://pubs.usgs.gov/periodicals/mcs2026/mcs2026-bromine.pdf" TargetMode="External"/><Relationship Id="rId9" Type="http://schemas.openxmlformats.org/officeDocument/2006/relationships/hyperlink" Target="https://pubs.usgs.gov/periodicals/mcs2026/mcs2026-bromine.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ubs.usgs.gov/periodicals/mcs2026/mcs2026-stone-crushed.pdf" TargetMode="External"/><Relationship Id="rId2" Type="http://schemas.openxmlformats.org/officeDocument/2006/relationships/hyperlink" Target="https://d9-wret.s3.us-west-2.amazonaws.com/assets/palladium/production/s3fs-public/media/files/myb1-2023-stonec-ert.xlsx" TargetMode="External"/><Relationship Id="rId1" Type="http://schemas.openxmlformats.org/officeDocument/2006/relationships/hyperlink" Target="https://pubs.usgs.gov/periodicals/mcs2026/mcs2026-stone-crushed.pdf" TargetMode="External"/><Relationship Id="rId4" Type="http://schemas.openxmlformats.org/officeDocument/2006/relationships/hyperlink" Target="https://dataweb.usitc.gov/"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ubs.usgs.gov/periodicals/mcs2026/mcs2026-fluorspar.pdf" TargetMode="External"/><Relationship Id="rId2" Type="http://schemas.openxmlformats.org/officeDocument/2006/relationships/hyperlink" Target="https://pubs.usgs.gov/periodicals/mcs2026/mcs2026-fluorspar.pdf" TargetMode="External"/><Relationship Id="rId1" Type="http://schemas.openxmlformats.org/officeDocument/2006/relationships/hyperlink" Target="https://pubs.usgs.gov/periodicals/mcs2026/mcs2026-fluorspar.pdf" TargetMode="External"/><Relationship Id="rId4" Type="http://schemas.openxmlformats.org/officeDocument/2006/relationships/hyperlink" Target="https://pubs.usgs.gov/periodicals/mcs2026/mcs2026-fluorspar.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bs.usgs.gov/periodicals/mcs2026/mcs2026-lime.pdf" TargetMode="External"/><Relationship Id="rId2" Type="http://schemas.openxmlformats.org/officeDocument/2006/relationships/hyperlink" Target="https://d9-wret.s3.us-west-2.amazonaws.com/assets/palladium/production/s3fs-public/media/files/myb1-2023-lime-ert.xlsx" TargetMode="External"/><Relationship Id="rId1" Type="http://schemas.openxmlformats.org/officeDocument/2006/relationships/hyperlink" Target="https://pubs.usgs.gov/periodicals/mcs2026/mcs2026-lime.pdf" TargetMode="External"/><Relationship Id="rId5" Type="http://schemas.openxmlformats.org/officeDocument/2006/relationships/hyperlink" Target="https://pubs.usgs.gov/periodicals/mcs2026/mcs2026-lime.pdf" TargetMode="External"/><Relationship Id="rId4" Type="http://schemas.openxmlformats.org/officeDocument/2006/relationships/hyperlink" Target="https://d9-wret.s3.us-west-2.amazonaws.com/assets/palladium/production/s3fs-public/media/files/myb1-2023-lime-ert.xls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ubs.usgs.gov/periodicals/mcs2026/mcs2026-gypsum.pdf" TargetMode="External"/><Relationship Id="rId2" Type="http://schemas.openxmlformats.org/officeDocument/2006/relationships/hyperlink" Target="https://d9-wret.s3.us-west-2.amazonaws.com/assets/palladium/production/s3fs-public/media/files/myb1-2023-gypsu-ERT.xlsx" TargetMode="External"/><Relationship Id="rId1" Type="http://schemas.openxmlformats.org/officeDocument/2006/relationships/hyperlink" Target="https://pubs.usgs.gov/periodicals/mcs2026/mcs2026-gypsum.pdf" TargetMode="External"/><Relationship Id="rId4" Type="http://schemas.openxmlformats.org/officeDocument/2006/relationships/hyperlink" Target="https://pubs.usgs.gov/periodicals/mcs2026/mcs2026-gypsum.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epa.gov/system/files/documents/2023-03/Hydrochloric%20Acid%20Supply%20Chain%20Profile.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5" Type="http://schemas.openxmlformats.org/officeDocument/2006/relationships/hyperlink" Target="https://dataweb.usitc.gov/" TargetMode="External"/><Relationship Id="rId4" Type="http://schemas.openxmlformats.org/officeDocument/2006/relationships/hyperlink" Target="https://www.epa.gov/chemical-data-reporting/access-cdr-data"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grandviewresearch.com/industry-analysis/hydrofluoric-acid-market-report"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www.ncbi.nlm.nih.gov/books/NBK597854/table/ch5.tab1/" TargetMode="External"/><Relationship Id="rId5" Type="http://schemas.openxmlformats.org/officeDocument/2006/relationships/hyperlink" Target="https://pubs.usgs.gov/periodicals/mcs2026/mcs2026-fluorspar.pdf" TargetMode="External"/><Relationship Id="rId4" Type="http://schemas.openxmlformats.org/officeDocument/2006/relationships/hyperlink" Target="https://dataweb.usitc.gov/"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pubs.usgs.gov/periodicals/mcs2026/mcs2026-potash.pdf" TargetMode="External"/><Relationship Id="rId2" Type="http://schemas.openxmlformats.org/officeDocument/2006/relationships/hyperlink" Target="https://pubs.usgs.gov/periodicals/mcs2026/mcs2026-potash.pdf" TargetMode="External"/><Relationship Id="rId1" Type="http://schemas.openxmlformats.org/officeDocument/2006/relationships/hyperlink" Target="https://pubs.usgs.gov/periodicals/mcs2026/mcs2026-potash.pdf" TargetMode="External"/><Relationship Id="rId4" Type="http://schemas.openxmlformats.org/officeDocument/2006/relationships/hyperlink" Target="https://pubs.usgs.gov/periodicals/mcs2026/mcs2026-potash.pdf"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ubs.usgs.gov/periodicals/mcs2026/mcs2026-lithium.pdf" TargetMode="External"/><Relationship Id="rId2" Type="http://schemas.openxmlformats.org/officeDocument/2006/relationships/hyperlink" Target="https://pubs.usgs.gov/periodicals/mcs2026/mcs2026-lithium.pdf" TargetMode="External"/><Relationship Id="rId1" Type="http://schemas.openxmlformats.org/officeDocument/2006/relationships/hyperlink" Target="https://pubs.usgs.gov/periodicals/mcs2026/mcs2026-lithium.pdf" TargetMode="External"/><Relationship Id="rId4" Type="http://schemas.openxmlformats.org/officeDocument/2006/relationships/hyperlink" Target="https://pubs.usgs.gov/periodicals/mcs2026/mcs2026-lithium.pd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ataweb.usitc.gov/" TargetMode="External"/><Relationship Id="rId3" Type="http://schemas.openxmlformats.org/officeDocument/2006/relationships/hyperlink" Target="https://www.txdot.gov/manuals/mnt/sic/materials/chemical_types-chdcfghi/magnesium_chloride-i1001073.html" TargetMode="External"/><Relationship Id="rId7" Type="http://schemas.openxmlformats.org/officeDocument/2006/relationships/hyperlink" Target="https://www.clearroads.org/winter-maintenance-survey/" TargetMode="External"/><Relationship Id="rId2" Type="http://schemas.openxmlformats.org/officeDocument/2006/relationships/hyperlink" Target="https://pubs.usgs.gov/myb/vol1/2020/myb1-2020-magnesium-comp.pdf" TargetMode="External"/><Relationship Id="rId1" Type="http://schemas.openxmlformats.org/officeDocument/2006/relationships/hyperlink" Target="https://pubs.usgs.gov/periodicals/mcs2026/mcs2026-magnesium-compounds.pdf" TargetMode="External"/><Relationship Id="rId6" Type="http://schemas.openxmlformats.org/officeDocument/2006/relationships/hyperlink" Target="https://www.clearroads.org/winter-maintenance-survey/" TargetMode="External"/><Relationship Id="rId5" Type="http://schemas.openxmlformats.org/officeDocument/2006/relationships/hyperlink" Target="https://www.clearroads.org/winter-maintenance-survey/" TargetMode="External"/><Relationship Id="rId4" Type="http://schemas.openxmlformats.org/officeDocument/2006/relationships/hyperlink" Target="https://www.academia.edu/35220139/GENERAL_REFERENCES_PHYSICAL_PROPERTIES_OF_PURE_SUBSTANCES_Tables_2_1_Physical_Properties_of_the_Elements_and_Inorganic"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pubs.usgs.gov/periodicals/mcs2026/mcs2026-magnesium-compounds.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dataweb.usitc.gov/" TargetMode="External"/><Relationship Id="rId5" Type="http://schemas.openxmlformats.org/officeDocument/2006/relationships/hyperlink" Target="https://d9-wret.s3.us-west-2.amazonaws.com/assets/palladium/production/s3fs-public/media/files/myb1-2023-mgcom-ERT.xlsx" TargetMode="External"/><Relationship Id="rId4" Type="http://schemas.openxmlformats.org/officeDocument/2006/relationships/hyperlink" Target="https://pubs.usgs.gov/myb/vol1/2020/myb1-2020-magnesium-comp.pdf"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ubs.usgs.gov/myb/vol1/2020/myb1-2020-magnesium-comp.pdf" TargetMode="External"/><Relationship Id="rId2" Type="http://schemas.openxmlformats.org/officeDocument/2006/relationships/hyperlink" Target="https://pubs.usgs.gov/periodicals/mcs2026/mcs2026-magnesium-compounds.pdf" TargetMode="External"/><Relationship Id="rId1" Type="http://schemas.openxmlformats.org/officeDocument/2006/relationships/hyperlink" Target="https://dataweb.usitc.gov/" TargetMode="External"/><Relationship Id="rId6" Type="http://schemas.openxmlformats.org/officeDocument/2006/relationships/hyperlink" Target="https://dataweb.usitc.gov/" TargetMode="External"/><Relationship Id="rId5" Type="http://schemas.openxmlformats.org/officeDocument/2006/relationships/hyperlink" Target="https://dataweb.usitc.gov/" TargetMode="External"/><Relationship Id="rId4" Type="http://schemas.openxmlformats.org/officeDocument/2006/relationships/hyperlink" Target="https://www.usgs.gov/centers/national-minerals-information-center/magnesium-compounds-statistics-and-information"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ubs.usgs.gov/periodicals/mcs2026/mcs2026-salt.pdf" TargetMode="External"/><Relationship Id="rId2" Type="http://schemas.openxmlformats.org/officeDocument/2006/relationships/hyperlink" Target="https://pubs.usgs.gov/periodicals/mcs2026/mcs2026-salt.pdf" TargetMode="External"/><Relationship Id="rId1" Type="http://schemas.openxmlformats.org/officeDocument/2006/relationships/hyperlink" Target="https://pubs.usgs.gov/periodicals/mcs2026/mcs2026-salt.pdf" TargetMode="External"/><Relationship Id="rId4" Type="http://schemas.openxmlformats.org/officeDocument/2006/relationships/hyperlink" Target="https://dataweb.usitc.gov/"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pubs.usgs.gov/periodicals/mcs2026/mcs2026-soda-ash.pdf" TargetMode="External"/><Relationship Id="rId2" Type="http://schemas.openxmlformats.org/officeDocument/2006/relationships/hyperlink" Target="https://pubs.usgs.gov/periodicals/mcs2026/mcs2026-soda-ash.pdf" TargetMode="External"/><Relationship Id="rId1" Type="http://schemas.openxmlformats.org/officeDocument/2006/relationships/hyperlink" Target="https://pubs.usgs.gov/periodicals/mcs2026/mcs2026-soda-ash.pdf" TargetMode="External"/><Relationship Id="rId4" Type="http://schemas.openxmlformats.org/officeDocument/2006/relationships/hyperlink" Target="https://pubs.usgs.gov/periodicals/mcs2026/mcs2026-soda-ash.pdf"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epa.gov/system/files/documents/2023-03/Sodium%20Hydroxide%20Supply%20Chain%20Profile.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www.sec.gov/search-filings" TargetMode="External"/><Relationship Id="rId5" Type="http://schemas.openxmlformats.org/officeDocument/2006/relationships/hyperlink" Target="https://olin.com/investors/sec-filings/" TargetMode="External"/><Relationship Id="rId4" Type="http://schemas.openxmlformats.org/officeDocument/2006/relationships/hyperlink" Target="https://dataweb.usitc.gov/"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pubs.usgs.gov/periodicals/mcs2026/mcs2026-nitrogen.pdf" TargetMode="External"/><Relationship Id="rId2" Type="http://schemas.openxmlformats.org/officeDocument/2006/relationships/hyperlink" Target="https://pubs.usgs.gov/periodicals/mcs2026/mcs2026-nitrogen.pdf" TargetMode="External"/><Relationship Id="rId1" Type="http://schemas.openxmlformats.org/officeDocument/2006/relationships/hyperlink" Target="https://pubs.usgs.gov/periodicals/mcs2026/mcs2026-nitrogen.pdf" TargetMode="External"/><Relationship Id="rId4" Type="http://schemas.openxmlformats.org/officeDocument/2006/relationships/hyperlink" Target="https://pubs.usgs.gov/periodicals/mcs2026/mcs2026-nitrogen.pdf"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pubs.usgs.gov/periodicals/mcs2026/mcs2026-phosphate.pdf" TargetMode="External"/><Relationship Id="rId2" Type="http://schemas.openxmlformats.org/officeDocument/2006/relationships/hyperlink" Target="https://pubs.usgs.gov/periodicals/mcs2026/mcs2026-phosphate.pdf" TargetMode="External"/><Relationship Id="rId1" Type="http://schemas.openxmlformats.org/officeDocument/2006/relationships/hyperlink" Target="https://pubs.usgs.gov/periodicals/mcs2026/mcs2026-phosphate.pdf" TargetMode="External"/><Relationship Id="rId5" Type="http://schemas.openxmlformats.org/officeDocument/2006/relationships/hyperlink" Target="https://pubs.usgs.gov/periodicals/mcs2026/mcs2026-phosphate.pdf" TargetMode="External"/><Relationship Id="rId4" Type="http://schemas.openxmlformats.org/officeDocument/2006/relationships/hyperlink" Target="https://d9-wret.s3.us-west-2.amazonaws.com/assets/palladium/production/s3fs-public/media/files/myb1-2023-phosp-ert.xlsx"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pubs.usgs.gov/periodicals/mcs2026/mcs2026-strontium.pdf" TargetMode="External"/><Relationship Id="rId2" Type="http://schemas.openxmlformats.org/officeDocument/2006/relationships/hyperlink" Target="https://pubs.usgs.gov/periodicals/mcs2026/mcs2026-strontium.pdf" TargetMode="External"/><Relationship Id="rId1" Type="http://schemas.openxmlformats.org/officeDocument/2006/relationships/hyperlink" Target="https://pubs.usgs.gov/periodicals/mcs2026/mcs2026-strontium.pdf" TargetMode="External"/><Relationship Id="rId4" Type="http://schemas.openxmlformats.org/officeDocument/2006/relationships/hyperlink" Target="https://pubs.usgs.gov/periodicals/mcs2026/mcs2026-strontium.pdf"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C737-2CC6-F144-8AB8-ED4FEAAA3A25}">
  <dimension ref="A1:Z73"/>
  <sheetViews>
    <sheetView topLeftCell="A15" workbookViewId="0">
      <selection activeCell="K63" sqref="K63"/>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160</v>
      </c>
    </row>
    <row r="3" spans="1:26" ht="16" customHeight="1">
      <c r="B3" t="s">
        <v>145</v>
      </c>
    </row>
    <row r="5" spans="1:26" ht="24">
      <c r="B5" s="3" t="s">
        <v>0</v>
      </c>
    </row>
    <row r="6" spans="1:26" ht="18">
      <c r="B6" s="4" t="s">
        <v>1</v>
      </c>
      <c r="C6" s="5" t="s">
        <v>159</v>
      </c>
    </row>
    <row r="7" spans="1:26">
      <c r="B7" s="6" t="s">
        <v>2</v>
      </c>
      <c r="C7" s="7" t="s">
        <v>160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34" customHeight="1">
      <c r="B14" s="4" t="s">
        <v>7</v>
      </c>
      <c r="C14" s="11" t="s">
        <v>8</v>
      </c>
      <c r="D14" s="11" t="s">
        <v>9</v>
      </c>
      <c r="E14" s="12" t="s">
        <v>10</v>
      </c>
      <c r="G14" s="141" t="s">
        <v>582</v>
      </c>
      <c r="H14" s="141"/>
      <c r="I14" s="141"/>
      <c r="J14" s="141"/>
      <c r="K14" s="141"/>
      <c r="L14" s="141"/>
    </row>
    <row r="15" spans="1:26" ht="50" customHeight="1">
      <c r="B15" s="31" t="s">
        <v>64</v>
      </c>
      <c r="C15" s="24" t="s">
        <v>162</v>
      </c>
      <c r="D15" s="24" t="s">
        <v>29</v>
      </c>
      <c r="E15" s="56">
        <v>0.65</v>
      </c>
      <c r="G15" s="141"/>
      <c r="H15" s="141"/>
      <c r="I15" s="141"/>
      <c r="J15" s="141"/>
      <c r="K15" s="141"/>
      <c r="L15" s="141"/>
    </row>
    <row r="16" spans="1:26" ht="50" customHeight="1">
      <c r="B16" s="23" t="s">
        <v>81</v>
      </c>
      <c r="C16" s="25" t="s">
        <v>163</v>
      </c>
      <c r="D16" s="25" t="s">
        <v>29</v>
      </c>
      <c r="E16" s="57">
        <v>0.35</v>
      </c>
      <c r="G16" s="141"/>
      <c r="H16" s="141"/>
      <c r="I16" s="141"/>
      <c r="J16" s="141"/>
      <c r="K16" s="141"/>
      <c r="L16" s="141"/>
    </row>
    <row r="17" spans="1:26">
      <c r="B17" s="21" t="s">
        <v>164</v>
      </c>
      <c r="G17" s="58"/>
      <c r="H17" s="51"/>
      <c r="I17" s="51"/>
      <c r="J17" s="51"/>
      <c r="K17" s="51"/>
      <c r="L17" s="5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138</v>
      </c>
    </row>
    <row r="23" spans="1:26">
      <c r="B23" s="36" t="s">
        <v>16</v>
      </c>
      <c r="C23" s="37" t="s">
        <v>18</v>
      </c>
      <c r="D23" s="37">
        <v>2021</v>
      </c>
      <c r="E23" s="37">
        <v>2022</v>
      </c>
      <c r="F23" s="37">
        <v>2023</v>
      </c>
      <c r="G23" s="37">
        <v>2024</v>
      </c>
      <c r="H23" s="38">
        <v>2025</v>
      </c>
    </row>
    <row r="24" spans="1:26" ht="20">
      <c r="B24" s="40" t="s">
        <v>139</v>
      </c>
      <c r="C24" s="39" t="s">
        <v>34</v>
      </c>
      <c r="D24" s="48">
        <f>J41</f>
        <v>488</v>
      </c>
      <c r="E24" s="48">
        <f t="shared" ref="E24:H24" si="0">K41</f>
        <v>532</v>
      </c>
      <c r="F24" s="48">
        <f t="shared" si="0"/>
        <v>495</v>
      </c>
      <c r="G24" s="48">
        <f t="shared" si="0"/>
        <v>504</v>
      </c>
      <c r="H24" s="41">
        <f t="shared" si="0"/>
        <v>502</v>
      </c>
    </row>
    <row r="25" spans="1:26" ht="19">
      <c r="B25" s="42" t="s">
        <v>140</v>
      </c>
      <c r="C25" s="39" t="s">
        <v>34</v>
      </c>
      <c r="D25" s="48">
        <f>E55</f>
        <v>95.719809139999995</v>
      </c>
      <c r="E25" s="48">
        <f t="shared" ref="E25:H25" si="1">F55</f>
        <v>74.915213640000005</v>
      </c>
      <c r="F25" s="48">
        <f t="shared" si="1"/>
        <v>59.426396740000001</v>
      </c>
      <c r="G25" s="48">
        <f t="shared" si="1"/>
        <v>63.899413580000001</v>
      </c>
      <c r="H25" s="41">
        <f t="shared" si="1"/>
        <v>74.019795540000004</v>
      </c>
    </row>
    <row r="26" spans="1:26" ht="20">
      <c r="B26" s="40" t="s">
        <v>141</v>
      </c>
      <c r="C26" s="39" t="s">
        <v>34</v>
      </c>
      <c r="D26" s="48">
        <f>E62</f>
        <v>47.223602</v>
      </c>
      <c r="E26" s="48">
        <f t="shared" ref="E26:H26" si="2">F62</f>
        <v>41.768598999999995</v>
      </c>
      <c r="F26" s="48">
        <f t="shared" si="2"/>
        <v>58.258882999999997</v>
      </c>
      <c r="G26" s="48">
        <f t="shared" si="2"/>
        <v>57.467467999999997</v>
      </c>
      <c r="H26" s="41">
        <f t="shared" si="2"/>
        <v>39.605677999999997</v>
      </c>
    </row>
    <row r="27" spans="1:26" ht="19">
      <c r="B27" s="78" t="s">
        <v>142</v>
      </c>
      <c r="C27" s="79" t="s">
        <v>34</v>
      </c>
      <c r="D27" s="80">
        <f>D24+D25-D26</f>
        <v>536.49620714000002</v>
      </c>
      <c r="E27" s="80">
        <f t="shared" ref="E27:H27" si="3">E24+E25-E26</f>
        <v>565.14661464000005</v>
      </c>
      <c r="F27" s="80">
        <f t="shared" si="3"/>
        <v>496.16751374</v>
      </c>
      <c r="G27" s="80">
        <f t="shared" si="3"/>
        <v>510.43194557999999</v>
      </c>
      <c r="H27" s="81">
        <f t="shared" si="3"/>
        <v>536.41411754000001</v>
      </c>
    </row>
    <row r="28" spans="1:26">
      <c r="B28" s="39" t="s">
        <v>218</v>
      </c>
      <c r="C28" s="39"/>
      <c r="D28" s="39"/>
      <c r="E28" s="39"/>
      <c r="F28" s="39"/>
      <c r="G28" s="39"/>
      <c r="H28" s="39"/>
    </row>
    <row r="29" spans="1:26">
      <c r="B29" s="39" t="s">
        <v>219</v>
      </c>
      <c r="C29" s="39"/>
      <c r="D29" s="39"/>
      <c r="E29" s="39"/>
      <c r="F29" s="39"/>
      <c r="G29" s="39"/>
      <c r="H29" s="39"/>
    </row>
    <row r="30" spans="1:26">
      <c r="B30" s="39" t="s">
        <v>220</v>
      </c>
      <c r="C30" s="16"/>
      <c r="D30" s="16"/>
      <c r="E30" s="16"/>
      <c r="F30" s="16"/>
      <c r="G30" s="16"/>
      <c r="H30" s="16"/>
    </row>
    <row r="31" spans="1:26">
      <c r="B31" s="39" t="s">
        <v>221</v>
      </c>
      <c r="C31" s="16"/>
      <c r="D31" s="16"/>
      <c r="E31" s="16"/>
      <c r="F31" s="16"/>
      <c r="G31" s="16"/>
      <c r="H31" s="16"/>
    </row>
    <row r="32" spans="1:26">
      <c r="B32" s="16"/>
      <c r="C32" s="16"/>
      <c r="D32" s="16"/>
      <c r="E32" s="16"/>
      <c r="F32" s="16"/>
      <c r="G32" s="16"/>
      <c r="H32" s="16"/>
    </row>
    <row r="33" spans="2:14" ht="24">
      <c r="B33" s="3" t="s">
        <v>156</v>
      </c>
      <c r="C33" s="16"/>
      <c r="D33" s="16"/>
      <c r="E33" s="16"/>
      <c r="F33" s="16"/>
      <c r="G33" s="16"/>
      <c r="H33" s="16"/>
    </row>
    <row r="34" spans="2:14" ht="19">
      <c r="B34" s="18" t="s">
        <v>158</v>
      </c>
      <c r="C34" s="16"/>
      <c r="D34" s="16"/>
      <c r="E34" s="16"/>
      <c r="F34" s="16"/>
      <c r="G34" s="16"/>
      <c r="H34" s="16"/>
    </row>
    <row r="35" spans="2:14" ht="86" customHeight="1">
      <c r="B35" s="140" t="s">
        <v>171</v>
      </c>
      <c r="C35" s="140"/>
      <c r="D35" s="140"/>
      <c r="E35" s="140"/>
      <c r="F35" s="140"/>
      <c r="G35" s="140"/>
      <c r="H35" s="140"/>
      <c r="I35" s="140"/>
      <c r="J35" s="22"/>
      <c r="K35" s="22"/>
      <c r="L35" s="22"/>
      <c r="M35" s="22"/>
      <c r="N35" s="22"/>
    </row>
    <row r="36" spans="2:14" ht="17">
      <c r="B36" s="61" t="s">
        <v>165</v>
      </c>
      <c r="D36" s="28"/>
      <c r="E36" s="28"/>
      <c r="F36" s="28"/>
      <c r="G36" s="28"/>
      <c r="H36" s="28"/>
    </row>
    <row r="37" spans="2:14">
      <c r="B37" s="24"/>
      <c r="D37" s="28"/>
      <c r="E37" s="28"/>
      <c r="F37" s="28"/>
      <c r="G37" s="28"/>
      <c r="H37" s="28"/>
    </row>
    <row r="38" spans="2:14" ht="17">
      <c r="B38" s="59" t="s">
        <v>166</v>
      </c>
      <c r="D38" s="28"/>
      <c r="E38" s="28"/>
      <c r="F38" s="28"/>
      <c r="G38" s="28"/>
      <c r="H38" s="28"/>
    </row>
    <row r="39" spans="2:14">
      <c r="B39" s="36" t="s">
        <v>16</v>
      </c>
      <c r="C39" s="37" t="s">
        <v>18</v>
      </c>
      <c r="D39" s="37">
        <v>2000</v>
      </c>
      <c r="E39" s="37">
        <v>2001</v>
      </c>
      <c r="F39" s="37">
        <v>2002</v>
      </c>
      <c r="G39" s="37">
        <v>2003</v>
      </c>
      <c r="H39" s="37">
        <v>2004</v>
      </c>
      <c r="I39" s="37">
        <v>2005</v>
      </c>
      <c r="J39" s="37">
        <v>2021</v>
      </c>
      <c r="K39" s="37">
        <v>2022</v>
      </c>
      <c r="L39" s="37">
        <v>2023</v>
      </c>
      <c r="M39" s="37">
        <v>2024</v>
      </c>
      <c r="N39" s="38">
        <v>2025</v>
      </c>
    </row>
    <row r="40" spans="2:14" ht="20">
      <c r="B40" s="40" t="s">
        <v>167</v>
      </c>
      <c r="C40" t="s">
        <v>34</v>
      </c>
      <c r="D40">
        <v>546</v>
      </c>
      <c r="E40">
        <v>536</v>
      </c>
      <c r="F40">
        <v>543</v>
      </c>
      <c r="G40">
        <v>605</v>
      </c>
      <c r="H40">
        <v>637</v>
      </c>
      <c r="I40">
        <v>612</v>
      </c>
      <c r="J40" t="s">
        <v>29</v>
      </c>
      <c r="K40" t="s">
        <v>29</v>
      </c>
      <c r="L40" t="s">
        <v>29</v>
      </c>
      <c r="M40" t="s">
        <v>29</v>
      </c>
      <c r="N40" s="8" t="s">
        <v>29</v>
      </c>
    </row>
    <row r="41" spans="2:14" ht="20">
      <c r="B41" s="43" t="s">
        <v>168</v>
      </c>
      <c r="C41" s="15" t="s">
        <v>34</v>
      </c>
      <c r="D41" s="15">
        <v>570</v>
      </c>
      <c r="E41" s="15">
        <v>549</v>
      </c>
      <c r="F41" s="15">
        <v>514</v>
      </c>
      <c r="G41" s="15">
        <v>541</v>
      </c>
      <c r="H41" s="15">
        <v>543</v>
      </c>
      <c r="I41" s="15">
        <v>540</v>
      </c>
      <c r="J41" s="15">
        <v>488</v>
      </c>
      <c r="K41" s="15">
        <v>532</v>
      </c>
      <c r="L41" s="15">
        <v>495</v>
      </c>
      <c r="M41" s="15">
        <v>504</v>
      </c>
      <c r="N41" s="10">
        <v>502</v>
      </c>
    </row>
    <row r="42" spans="2:14">
      <c r="B42" s="60" t="s">
        <v>169</v>
      </c>
    </row>
    <row r="43" spans="2:14">
      <c r="B43" s="60" t="s">
        <v>170</v>
      </c>
    </row>
    <row r="44" spans="2:14">
      <c r="B44" s="47"/>
    </row>
    <row r="45" spans="2:14" ht="19">
      <c r="B45" s="18" t="s">
        <v>209</v>
      </c>
    </row>
    <row r="46" spans="2:14" ht="54" customHeight="1">
      <c r="B46" s="140" t="s">
        <v>210</v>
      </c>
      <c r="C46" s="140"/>
      <c r="D46" s="140"/>
      <c r="E46" s="140"/>
      <c r="F46" s="140"/>
      <c r="G46" s="140"/>
      <c r="H46" s="140"/>
      <c r="I46" s="140"/>
    </row>
    <row r="47" spans="2:14" ht="13" customHeight="1">
      <c r="B47" s="35"/>
      <c r="C47" s="35"/>
      <c r="D47" s="35"/>
      <c r="E47" s="35"/>
      <c r="F47" s="35"/>
      <c r="G47" s="35"/>
      <c r="H47" s="35"/>
      <c r="I47" s="35"/>
    </row>
    <row r="48" spans="2:14" ht="16" customHeight="1">
      <c r="B48" s="83" t="s">
        <v>211</v>
      </c>
      <c r="C48" s="22"/>
      <c r="D48" s="22"/>
      <c r="E48" s="22"/>
      <c r="F48" s="22"/>
      <c r="G48" s="22"/>
      <c r="H48" s="22"/>
      <c r="I48" s="22"/>
      <c r="J48" s="22"/>
      <c r="K48" s="16" t="s">
        <v>208</v>
      </c>
      <c r="L48" s="22"/>
      <c r="M48" s="22"/>
      <c r="N48" s="22"/>
    </row>
    <row r="49" spans="2:13" ht="35">
      <c r="B49" s="36" t="s">
        <v>172</v>
      </c>
      <c r="C49" s="37" t="s">
        <v>18</v>
      </c>
      <c r="D49" s="37" t="s">
        <v>174</v>
      </c>
      <c r="E49" s="37">
        <v>2021</v>
      </c>
      <c r="F49" s="37">
        <v>2022</v>
      </c>
      <c r="G49" s="37">
        <v>2023</v>
      </c>
      <c r="H49" s="37">
        <v>2024</v>
      </c>
      <c r="I49" s="38">
        <v>2025</v>
      </c>
      <c r="K49" s="4" t="s">
        <v>172</v>
      </c>
      <c r="L49" s="71" t="s">
        <v>198</v>
      </c>
      <c r="M49" s="72" t="s">
        <v>199</v>
      </c>
    </row>
    <row r="50" spans="2:13" ht="40" customHeight="1">
      <c r="B50" s="13" t="s">
        <v>173</v>
      </c>
      <c r="C50" t="s">
        <v>175</v>
      </c>
      <c r="D50" s="28" t="s">
        <v>176</v>
      </c>
      <c r="E50" s="67">
        <f>_xlfn.XLOOKUP(_xlfn.CONCAT(_xlfn.TEXTSPLIT($D50,".")), 'S1. USITC Imports'!$B:$B,'S1. USITC Imports'!$J:$J)*_xlfn.XLOOKUP(_xlfn.CONCAT(_xlfn.TEXTSPLIT($D50,".")), 'S1. USITC Imports'!$B:$B,'S1. USITC Imports'!E:E)</f>
        <v>6.0194199999999993</v>
      </c>
      <c r="F50" s="67">
        <f>_xlfn.XLOOKUP(_xlfn.CONCAT(_xlfn.TEXTSPLIT($D50,".")), 'S1. USITC Imports'!$B:$B,'S1. USITC Imports'!$J:$J)*_xlfn.XLOOKUP(_xlfn.CONCAT(_xlfn.TEXTSPLIT($D50,".")), 'S1. USITC Imports'!$B:$B,'S1. USITC Imports'!F:F)</f>
        <v>5.3753880000000001</v>
      </c>
      <c r="G50" s="67">
        <f>_xlfn.XLOOKUP(_xlfn.CONCAT(_xlfn.TEXTSPLIT($D50,".")), 'S1. USITC Imports'!$B:$B,'S1. USITC Imports'!$J:$J)*_xlfn.XLOOKUP(_xlfn.CONCAT(_xlfn.TEXTSPLIT($D50,".")), 'S1. USITC Imports'!$B:$B,'S1. USITC Imports'!G:G)</f>
        <v>3.1580399999999997</v>
      </c>
      <c r="H50" s="67">
        <f>_xlfn.XLOOKUP(_xlfn.CONCAT(_xlfn.TEXTSPLIT($D50,".")), 'S1. USITC Imports'!$B:$B,'S1. USITC Imports'!$J:$J)*_xlfn.XLOOKUP(_xlfn.CONCAT(_xlfn.TEXTSPLIT($D50,".")), 'S1. USITC Imports'!$B:$B,'S1. USITC Imports'!H:H)</f>
        <v>2.9551719999999997</v>
      </c>
      <c r="I50" s="68">
        <f>_xlfn.XLOOKUP(_xlfn.CONCAT(_xlfn.TEXTSPLIT($D50,".")), 'S1. USITC Imports'!$B:$B,'S1. USITC Imports'!$J:$J)*_xlfn.XLOOKUP(_xlfn.CONCAT(_xlfn.TEXTSPLIT($D50,".")), 'S1. USITC Imports'!$B:$B,'S1. USITC Imports'!I:I)</f>
        <v>4.3710179999999994</v>
      </c>
      <c r="K50" s="31" t="s">
        <v>173</v>
      </c>
      <c r="L50" s="17" t="s">
        <v>200</v>
      </c>
      <c r="M50" s="73">
        <v>0.35</v>
      </c>
    </row>
    <row r="51" spans="2:13" ht="40" customHeight="1">
      <c r="B51" s="13" t="s">
        <v>181</v>
      </c>
      <c r="C51" t="s">
        <v>175</v>
      </c>
      <c r="D51" s="17" t="s">
        <v>177</v>
      </c>
      <c r="E51" s="67">
        <f>_xlfn.XLOOKUP(_xlfn.CONCAT(_xlfn.TEXTSPLIT($D51,".")), 'S1. USITC Imports'!$B:$B,'S1. USITC Imports'!$J:$J)*_xlfn.XLOOKUP(_xlfn.CONCAT(_xlfn.TEXTSPLIT($D51,".")), 'S1. USITC Imports'!$B:$B,'S1. USITC Imports'!E:E)</f>
        <v>225.925623</v>
      </c>
      <c r="F51" s="67">
        <f>_xlfn.XLOOKUP(_xlfn.CONCAT(_xlfn.TEXTSPLIT($D51,".")), 'S1. USITC Imports'!$B:$B,'S1. USITC Imports'!$J:$J)*_xlfn.XLOOKUP(_xlfn.CONCAT(_xlfn.TEXTSPLIT($D51,".")), 'S1. USITC Imports'!$B:$B,'S1. USITC Imports'!F:F)</f>
        <v>162.30748800000001</v>
      </c>
      <c r="G51" s="67">
        <f>_xlfn.XLOOKUP(_xlfn.CONCAT(_xlfn.TEXTSPLIT($D51,".")), 'S1. USITC Imports'!$B:$B,'S1. USITC Imports'!$J:$J)*_xlfn.XLOOKUP(_xlfn.CONCAT(_xlfn.TEXTSPLIT($D51,".")), 'S1. USITC Imports'!$B:$B,'S1. USITC Imports'!G:G)</f>
        <v>152.407793</v>
      </c>
      <c r="H51" s="67">
        <f>_xlfn.XLOOKUP(_xlfn.CONCAT(_xlfn.TEXTSPLIT($D51,".")), 'S1. USITC Imports'!$B:$B,'S1. USITC Imports'!$J:$J)*_xlfn.XLOOKUP(_xlfn.CONCAT(_xlfn.TEXTSPLIT($D51,".")), 'S1. USITC Imports'!$B:$B,'S1. USITC Imports'!H:H)</f>
        <v>147.19724099999999</v>
      </c>
      <c r="I51" s="68">
        <f>_xlfn.XLOOKUP(_xlfn.CONCAT(_xlfn.TEXTSPLIT($D51,".")), 'S1. USITC Imports'!$B:$B,'S1. USITC Imports'!$J:$J)*_xlfn.XLOOKUP(_xlfn.CONCAT(_xlfn.TEXTSPLIT($D51,".")), 'S1. USITC Imports'!$B:$B,'S1. USITC Imports'!I:I)</f>
        <v>143.311218</v>
      </c>
      <c r="K51" s="31" t="s">
        <v>181</v>
      </c>
      <c r="L51" s="17" t="s">
        <v>201</v>
      </c>
      <c r="M51" s="73">
        <v>0.18</v>
      </c>
    </row>
    <row r="52" spans="2:13" ht="40" customHeight="1">
      <c r="B52" s="13" t="s">
        <v>182</v>
      </c>
      <c r="C52" t="s">
        <v>175</v>
      </c>
      <c r="D52" s="28" t="s">
        <v>178</v>
      </c>
      <c r="E52" s="67">
        <f>_xlfn.XLOOKUP(_xlfn.CONCAT(_xlfn.TEXTSPLIT($D52,".")), 'S1. USITC Imports'!$B:$B,'S1. USITC Imports'!$J:$J)*_xlfn.XLOOKUP(_xlfn.CONCAT(_xlfn.TEXTSPLIT($D52,".")), 'S1. USITC Imports'!$B:$B,'S1. USITC Imports'!E:E)</f>
        <v>54.19</v>
      </c>
      <c r="F52" s="67">
        <f>_xlfn.XLOOKUP(_xlfn.CONCAT(_xlfn.TEXTSPLIT($D52,".")), 'S1. USITC Imports'!$B:$B,'S1. USITC Imports'!$J:$J)*_xlfn.XLOOKUP(_xlfn.CONCAT(_xlfn.TEXTSPLIT($D52,".")), 'S1. USITC Imports'!$B:$B,'S1. USITC Imports'!F:F)</f>
        <v>48.158000000000001</v>
      </c>
      <c r="G52" s="67">
        <f>_xlfn.XLOOKUP(_xlfn.CONCAT(_xlfn.TEXTSPLIT($D52,".")), 'S1. USITC Imports'!$B:$B,'S1. USITC Imports'!$J:$J)*_xlfn.XLOOKUP(_xlfn.CONCAT(_xlfn.TEXTSPLIT($D52,".")), 'S1. USITC Imports'!$B:$B,'S1. USITC Imports'!G:G)</f>
        <v>37.978000000000002</v>
      </c>
      <c r="H52" s="67">
        <f>_xlfn.XLOOKUP(_xlfn.CONCAT(_xlfn.TEXTSPLIT($D52,".")), 'S1. USITC Imports'!$B:$B,'S1. USITC Imports'!$J:$J)*_xlfn.XLOOKUP(_xlfn.CONCAT(_xlfn.TEXTSPLIT($D52,".")), 'S1. USITC Imports'!$B:$B,'S1. USITC Imports'!H:H)</f>
        <v>42.535000000000004</v>
      </c>
      <c r="I52" s="68">
        <f>_xlfn.XLOOKUP(_xlfn.CONCAT(_xlfn.TEXTSPLIT($D52,".")), 'S1. USITC Imports'!$B:$B,'S1. USITC Imports'!$J:$J)*_xlfn.XLOOKUP(_xlfn.CONCAT(_xlfn.TEXTSPLIT($D52,".")), 'S1. USITC Imports'!$B:$B,'S1. USITC Imports'!I:I)</f>
        <v>52.381999999999998</v>
      </c>
      <c r="K52" s="31" t="s">
        <v>202</v>
      </c>
      <c r="L52" s="74" t="s">
        <v>203</v>
      </c>
      <c r="M52" s="73">
        <v>0.56000000000000005</v>
      </c>
    </row>
    <row r="53" spans="2:13" ht="40" customHeight="1">
      <c r="B53" s="13" t="s">
        <v>179</v>
      </c>
      <c r="C53" t="s">
        <v>175</v>
      </c>
      <c r="D53" t="s">
        <v>29</v>
      </c>
      <c r="E53" s="67">
        <v>3</v>
      </c>
      <c r="F53" s="67">
        <v>1</v>
      </c>
      <c r="G53" s="67">
        <v>2</v>
      </c>
      <c r="H53" s="67">
        <v>1</v>
      </c>
      <c r="I53" s="68">
        <v>2</v>
      </c>
      <c r="K53" s="31" t="s">
        <v>179</v>
      </c>
      <c r="L53" s="74" t="s">
        <v>204</v>
      </c>
      <c r="M53" s="73">
        <v>0.51</v>
      </c>
    </row>
    <row r="54" spans="2:13" ht="40" customHeight="1">
      <c r="B54" s="13" t="s">
        <v>180</v>
      </c>
      <c r="C54" t="s">
        <v>175</v>
      </c>
      <c r="D54" t="s">
        <v>29</v>
      </c>
      <c r="E54" s="67">
        <v>49</v>
      </c>
      <c r="F54" s="67">
        <v>38</v>
      </c>
      <c r="G54" s="67">
        <v>20</v>
      </c>
      <c r="H54" s="67">
        <v>28</v>
      </c>
      <c r="I54" s="68">
        <v>38</v>
      </c>
      <c r="K54" s="23" t="s">
        <v>180</v>
      </c>
      <c r="L54" s="75" t="s">
        <v>205</v>
      </c>
      <c r="M54" s="20">
        <v>0.43</v>
      </c>
    </row>
    <row r="55" spans="2:13" ht="17" customHeight="1">
      <c r="B55" s="77" t="s">
        <v>215</v>
      </c>
      <c r="C55" s="82" t="s">
        <v>34</v>
      </c>
      <c r="D55" s="82" t="s">
        <v>29</v>
      </c>
      <c r="E55" s="69">
        <f>SUMPRODUCT(E50:E54,$M50:$M54)</f>
        <v>95.719809139999995</v>
      </c>
      <c r="F55" s="69">
        <f>SUMPRODUCT(F50:F54,$M50:$M54)</f>
        <v>74.915213640000005</v>
      </c>
      <c r="G55" s="69">
        <f>SUMPRODUCT(G50:G54,$M50:$M54)</f>
        <v>59.426396740000001</v>
      </c>
      <c r="H55" s="69">
        <f>SUMPRODUCT(H50:H54,$M50:$M54)</f>
        <v>63.899413580000001</v>
      </c>
      <c r="I55" s="70">
        <f>SUMPRODUCT(I50:I54,$M50:$M54)</f>
        <v>74.019795540000004</v>
      </c>
      <c r="K55" t="s">
        <v>206</v>
      </c>
    </row>
    <row r="56" spans="2:13">
      <c r="B56" s="62" t="s">
        <v>183</v>
      </c>
      <c r="E56" s="16"/>
      <c r="F56" s="16"/>
      <c r="G56" s="16"/>
      <c r="H56" s="16"/>
      <c r="I56" s="16"/>
      <c r="K56" s="76" t="s">
        <v>207</v>
      </c>
    </row>
    <row r="57" spans="2:13">
      <c r="B57" s="33" t="s">
        <v>184</v>
      </c>
    </row>
    <row r="58" spans="2:13" ht="18">
      <c r="B58" s="85" t="s">
        <v>216</v>
      </c>
    </row>
    <row r="60" spans="2:13" ht="17" customHeight="1">
      <c r="B60" s="83" t="s">
        <v>212</v>
      </c>
      <c r="C60" s="22"/>
      <c r="D60" s="22"/>
      <c r="E60" s="22"/>
      <c r="F60" s="22"/>
      <c r="G60" s="22"/>
      <c r="H60" s="22"/>
      <c r="I60" s="22"/>
    </row>
    <row r="61" spans="2:13">
      <c r="B61" s="36" t="s">
        <v>172</v>
      </c>
      <c r="C61" s="37" t="s">
        <v>18</v>
      </c>
      <c r="D61" s="37" t="s">
        <v>174</v>
      </c>
      <c r="E61" s="37">
        <v>2021</v>
      </c>
      <c r="F61" s="37">
        <v>2022</v>
      </c>
      <c r="G61" s="37">
        <v>2023</v>
      </c>
      <c r="H61" s="37">
        <v>2024</v>
      </c>
      <c r="I61" s="38">
        <v>2025</v>
      </c>
    </row>
    <row r="62" spans="2:13" ht="39" customHeight="1">
      <c r="B62" s="13" t="s">
        <v>173</v>
      </c>
      <c r="C62" t="s">
        <v>175</v>
      </c>
      <c r="D62" s="28" t="s">
        <v>176</v>
      </c>
      <c r="E62" s="67">
        <f>_xlfn.XLOOKUP(_xlfn.CONCAT(_xlfn.TEXTSPLIT($D62,".")), 'S2. USITC Exports'!$B:$B,'S2. USITC Exports'!$J:$J)*_xlfn.XLOOKUP(_xlfn.CONCAT(_xlfn.TEXTSPLIT($D62,".")), 'S2. USITC Exports'!$B:$B,'S2. USITC Exports'!E:E)</f>
        <v>47.223602</v>
      </c>
      <c r="F62" s="67">
        <f>_xlfn.XLOOKUP(_xlfn.CONCAT(_xlfn.TEXTSPLIT($D62,".")), 'S2. USITC Exports'!$B:$B,'S2. USITC Exports'!$J:$J)*_xlfn.XLOOKUP(_xlfn.CONCAT(_xlfn.TEXTSPLIT($D62,".")), 'S2. USITC Exports'!$B:$B,'S2. USITC Exports'!F:F)</f>
        <v>41.768598999999995</v>
      </c>
      <c r="G62" s="67">
        <f>_xlfn.XLOOKUP(_xlfn.CONCAT(_xlfn.TEXTSPLIT($D62,".")), 'S2. USITC Exports'!$B:$B,'S2. USITC Exports'!$J:$J)*_xlfn.XLOOKUP(_xlfn.CONCAT(_xlfn.TEXTSPLIT($D62,".")), 'S2. USITC Exports'!$B:$B,'S2. USITC Exports'!G:G)</f>
        <v>58.258882999999997</v>
      </c>
      <c r="H62" s="67">
        <f>_xlfn.XLOOKUP(_xlfn.CONCAT(_xlfn.TEXTSPLIT($D62,".")), 'S2. USITC Exports'!$B:$B,'S2. USITC Exports'!$J:$J)*_xlfn.XLOOKUP(_xlfn.CONCAT(_xlfn.TEXTSPLIT($D62,".")), 'S2. USITC Exports'!$B:$B,'S2. USITC Exports'!H:H)</f>
        <v>57.467467999999997</v>
      </c>
      <c r="I62" s="68">
        <f>_xlfn.XLOOKUP(_xlfn.CONCAT(_xlfn.TEXTSPLIT($D62,".")), 'S2. USITC Exports'!$B:$B,'S2. USITC Exports'!$J:$J)*_xlfn.XLOOKUP(_xlfn.CONCAT(_xlfn.TEXTSPLIT($D62,".")), 'S2. USITC Exports'!$B:$B,'S2. USITC Exports'!I:I)</f>
        <v>39.605677999999997</v>
      </c>
    </row>
    <row r="63" spans="2:13" ht="39" customHeight="1">
      <c r="B63" s="13" t="s">
        <v>181</v>
      </c>
      <c r="C63" t="s">
        <v>175</v>
      </c>
      <c r="D63" s="17" t="s">
        <v>177</v>
      </c>
      <c r="E63" s="67">
        <f>_xlfn.XLOOKUP(_xlfn.CONCAT(_xlfn.TEXTSPLIT($D63,".")), 'S2. USITC Exports'!$B:$B,'S2. USITC Exports'!$J:$J)*_xlfn.XLOOKUP(_xlfn.CONCAT(_xlfn.TEXTSPLIT($D63,".")), 'S2. USITC Exports'!$B:$B,'S2. USITC Exports'!E:E)</f>
        <v>559.53618899999992</v>
      </c>
      <c r="F63" s="67">
        <f>_xlfn.XLOOKUP(_xlfn.CONCAT(_xlfn.TEXTSPLIT($D63,".")), 'S2. USITC Exports'!$B:$B,'S2. USITC Exports'!$J:$J)*_xlfn.XLOOKUP(_xlfn.CONCAT(_xlfn.TEXTSPLIT($D63,".")), 'S2. USITC Exports'!$B:$B,'S2. USITC Exports'!F:F)</f>
        <v>609.48611799999992</v>
      </c>
      <c r="G63" s="67">
        <f>_xlfn.XLOOKUP(_xlfn.CONCAT(_xlfn.TEXTSPLIT($D63,".")), 'S2. USITC Exports'!$B:$B,'S2. USITC Exports'!$J:$J)*_xlfn.XLOOKUP(_xlfn.CONCAT(_xlfn.TEXTSPLIT($D63,".")), 'S2. USITC Exports'!$B:$B,'S2. USITC Exports'!G:G)</f>
        <v>545.68710399999998</v>
      </c>
      <c r="H63" s="67">
        <f>_xlfn.XLOOKUP(_xlfn.CONCAT(_xlfn.TEXTSPLIT($D63,".")), 'S2. USITC Exports'!$B:$B,'S2. USITC Exports'!$J:$J)*_xlfn.XLOOKUP(_xlfn.CONCAT(_xlfn.TEXTSPLIT($D63,".")), 'S2. USITC Exports'!$B:$B,'S2. USITC Exports'!H:H)</f>
        <v>597.38217599999996</v>
      </c>
      <c r="I63" s="68">
        <f>_xlfn.XLOOKUP(_xlfn.CONCAT(_xlfn.TEXTSPLIT($D63,".")), 'S2. USITC Exports'!$B:$B,'S2. USITC Exports'!$J:$J)*_xlfn.XLOOKUP(_xlfn.CONCAT(_xlfn.TEXTSPLIT($D63,".")), 'S2. USITC Exports'!$B:$B,'S2. USITC Exports'!I:I)</f>
        <v>514.04750799999999</v>
      </c>
    </row>
    <row r="64" spans="2:13" ht="39" customHeight="1">
      <c r="B64" s="13" t="s">
        <v>182</v>
      </c>
      <c r="C64" t="s">
        <v>175</v>
      </c>
      <c r="D64" s="28" t="s">
        <v>178</v>
      </c>
      <c r="E64" s="67">
        <f>_xlfn.XLOOKUP(_xlfn.CONCAT(_xlfn.TEXTSPLIT($D64,".")), 'S2. USITC Exports'!$B:$B,'S2. USITC Exports'!$J:$J)*_xlfn.XLOOKUP(_xlfn.CONCAT(_xlfn.TEXTSPLIT($D64,".")), 'S2. USITC Exports'!$B:$B,'S2. USITC Exports'!E:E)</f>
        <v>279.78800000000001</v>
      </c>
      <c r="F64" s="67">
        <f>_xlfn.XLOOKUP(_xlfn.CONCAT(_xlfn.TEXTSPLIT($D64,".")), 'S2. USITC Exports'!$B:$B,'S2. USITC Exports'!$J:$J)*_xlfn.XLOOKUP(_xlfn.CONCAT(_xlfn.TEXTSPLIT($D64,".")), 'S2. USITC Exports'!$B:$B,'S2. USITC Exports'!F:F)</f>
        <v>239.12100000000001</v>
      </c>
      <c r="G64" s="67">
        <f>_xlfn.XLOOKUP(_xlfn.CONCAT(_xlfn.TEXTSPLIT($D64,".")), 'S2. USITC Exports'!$B:$B,'S2. USITC Exports'!$J:$J)*_xlfn.XLOOKUP(_xlfn.CONCAT(_xlfn.TEXTSPLIT($D64,".")), 'S2. USITC Exports'!$B:$B,'S2. USITC Exports'!G:G)</f>
        <v>253.119</v>
      </c>
      <c r="H64" s="67">
        <f>_xlfn.XLOOKUP(_xlfn.CONCAT(_xlfn.TEXTSPLIT($D64,".")), 'S2. USITC Exports'!$B:$B,'S2. USITC Exports'!$J:$J)*_xlfn.XLOOKUP(_xlfn.CONCAT(_xlfn.TEXTSPLIT($D64,".")), 'S2. USITC Exports'!$B:$B,'S2. USITC Exports'!H:H)</f>
        <v>246.04400000000001</v>
      </c>
      <c r="I64" s="68">
        <f>_xlfn.XLOOKUP(_xlfn.CONCAT(_xlfn.TEXTSPLIT($D64,".")), 'S2. USITC Exports'!$B:$B,'S2. USITC Exports'!$J:$J)*_xlfn.XLOOKUP(_xlfn.CONCAT(_xlfn.TEXTSPLIT($D64,".")), 'S2. USITC Exports'!$B:$B,'S2. USITC Exports'!I:I)</f>
        <v>247.88300000000001</v>
      </c>
    </row>
    <row r="65" spans="1:26">
      <c r="B65" s="14" t="s">
        <v>197</v>
      </c>
      <c r="C65" s="15" t="s">
        <v>34</v>
      </c>
      <c r="D65" s="15" t="s">
        <v>29</v>
      </c>
      <c r="E65" s="52">
        <f>SUMPRODUCT(E62:E64,$M50:$M52)</f>
        <v>273.92605472000002</v>
      </c>
      <c r="F65" s="52">
        <f t="shared" ref="F65:I65" si="4">SUMPRODUCT(F62:F64,$M50:$M52)</f>
        <v>258.23427089</v>
      </c>
      <c r="G65" s="52">
        <f t="shared" si="4"/>
        <v>260.36092776999999</v>
      </c>
      <c r="H65" s="52">
        <f t="shared" si="4"/>
        <v>265.42704548</v>
      </c>
      <c r="I65" s="53">
        <f t="shared" si="4"/>
        <v>245.20501874000001</v>
      </c>
    </row>
    <row r="66" spans="1:26">
      <c r="B66" s="62" t="s">
        <v>214</v>
      </c>
      <c r="E66" s="84"/>
      <c r="F66" s="84"/>
      <c r="G66" s="84"/>
      <c r="H66" s="84"/>
      <c r="I66" s="84"/>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70" spans="1:26" ht="24">
      <c r="B70" s="3" t="s">
        <v>17</v>
      </c>
    </row>
    <row r="71" spans="1:26">
      <c r="B71" s="4" t="s">
        <v>16</v>
      </c>
      <c r="C71" s="11" t="s">
        <v>18</v>
      </c>
      <c r="D71" s="11">
        <v>2021</v>
      </c>
      <c r="E71" s="11">
        <v>2022</v>
      </c>
      <c r="F71" s="11">
        <v>2023</v>
      </c>
      <c r="G71" s="11">
        <v>2024</v>
      </c>
      <c r="H71" s="12">
        <v>2025</v>
      </c>
    </row>
    <row r="72" spans="1:26" ht="37">
      <c r="B72" s="23" t="s">
        <v>217</v>
      </c>
      <c r="C72" s="15" t="s">
        <v>33</v>
      </c>
      <c r="D72" s="15">
        <v>394</v>
      </c>
      <c r="E72" s="15">
        <v>485</v>
      </c>
      <c r="F72" s="15">
        <v>606</v>
      </c>
      <c r="G72" s="15">
        <v>574</v>
      </c>
      <c r="H72" s="10">
        <v>540</v>
      </c>
    </row>
    <row r="73" spans="1:26">
      <c r="B73" s="33" t="s">
        <v>184</v>
      </c>
    </row>
  </sheetData>
  <mergeCells count="3">
    <mergeCell ref="B46:I46"/>
    <mergeCell ref="B35:I35"/>
    <mergeCell ref="G14:L16"/>
  </mergeCells>
  <hyperlinks>
    <hyperlink ref="C7" r:id="rId1" xr:uid="{2AB07F1D-58A9-9048-A536-0C83444D3A02}"/>
    <hyperlink ref="B17" r:id="rId2" xr:uid="{DDE596B4-BC0D-6646-AACB-9D046A291B6B}"/>
    <hyperlink ref="B42" r:id="rId3" xr:uid="{A4551AF4-4CD3-3B4F-87F7-2DF60C520490}"/>
    <hyperlink ref="B43" r:id="rId4" display="(2) Extracted from Rio Tinto Corporation Annual Reports retrieved from the U.S. Securities and Exchange Commission's Electronic Data Gathering, Analysis, and Retrieval (EDGAR) system for RIO TINTO PLC (CIK 0000863064)" xr:uid="{339982EF-B0DE-D540-A152-A524143F607B}"/>
    <hyperlink ref="B36" r:id="rId5" xr:uid="{78353441-9741-B440-AE5E-74B0EC2742F5}"/>
    <hyperlink ref="B57" r:id="rId6" xr:uid="{C07BF79E-FA28-7643-B7D9-6A0B1EB0CF31}"/>
    <hyperlink ref="B56" r:id="rId7" xr:uid="{22723D69-FC6B-AE46-9AD8-7BAA7C39E70E}"/>
    <hyperlink ref="K56" r:id="rId8" xr:uid="{92064274-CD51-5B4F-A790-F34ADEF12B9E}"/>
    <hyperlink ref="B66" r:id="rId9" display="(1) Source: USITC DataWeb, Imports for Consumption" xr:uid="{FDE43BA1-5B24-3D47-9608-731AB2EA0B34}"/>
    <hyperlink ref="B73" r:id="rId10" xr:uid="{DC8CAE8A-A12A-C347-9A06-A5B776A4D6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1F93-B944-384E-BA02-AEA5D1E13CC7}">
  <dimension ref="A1:Z63"/>
  <sheetViews>
    <sheetView topLeftCell="A36" workbookViewId="0">
      <selection activeCell="D27" sqref="D27"/>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222</v>
      </c>
    </row>
    <row r="3" spans="1:26" ht="16" customHeight="1">
      <c r="B3" t="s">
        <v>145</v>
      </c>
    </row>
    <row r="5" spans="1:26" ht="24">
      <c r="B5" s="3" t="s">
        <v>0</v>
      </c>
    </row>
    <row r="6" spans="1:26" ht="18">
      <c r="B6" s="4" t="s">
        <v>1</v>
      </c>
      <c r="C6" s="86" t="s">
        <v>223</v>
      </c>
    </row>
    <row r="7" spans="1:26">
      <c r="B7" s="6" t="s">
        <v>2</v>
      </c>
      <c r="C7" s="7" t="s">
        <v>224</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41" t="s">
        <v>227</v>
      </c>
      <c r="H14" s="141"/>
      <c r="I14" s="141"/>
      <c r="J14" s="141"/>
    </row>
    <row r="15" spans="1:26" ht="34">
      <c r="B15" s="31" t="s">
        <v>79</v>
      </c>
      <c r="C15" s="24" t="s">
        <v>225</v>
      </c>
      <c r="D15" s="24" t="s">
        <v>29</v>
      </c>
      <c r="E15" s="73">
        <v>0.9</v>
      </c>
      <c r="G15" s="141"/>
      <c r="H15" s="141"/>
      <c r="I15" s="141"/>
      <c r="J15" s="141"/>
    </row>
    <row r="16" spans="1:26" ht="51">
      <c r="B16" s="23" t="s">
        <v>81</v>
      </c>
      <c r="C16" s="25" t="s">
        <v>226</v>
      </c>
      <c r="D16" s="25" t="s">
        <v>29</v>
      </c>
      <c r="E16" s="20">
        <v>0.1</v>
      </c>
      <c r="G16" s="141"/>
      <c r="H16" s="141"/>
      <c r="I16" s="141"/>
      <c r="J16" s="141"/>
    </row>
    <row r="17" spans="1:26">
      <c r="B17" s="21" t="s">
        <v>228</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138</v>
      </c>
    </row>
    <row r="23" spans="1:26">
      <c r="B23" s="36" t="s">
        <v>16</v>
      </c>
      <c r="C23" s="37" t="s">
        <v>18</v>
      </c>
      <c r="D23" s="37">
        <v>2021</v>
      </c>
      <c r="E23" s="37">
        <v>2022</v>
      </c>
      <c r="F23" s="37">
        <v>2023</v>
      </c>
      <c r="G23" s="37">
        <v>2024</v>
      </c>
      <c r="H23" s="38">
        <v>2025</v>
      </c>
    </row>
    <row r="24" spans="1:26" ht="20">
      <c r="B24" s="40" t="s">
        <v>139</v>
      </c>
      <c r="C24" s="39" t="s">
        <v>34</v>
      </c>
      <c r="D24" s="48">
        <f>D39</f>
        <v>1670</v>
      </c>
      <c r="E24" s="48">
        <f t="shared" ref="E24:H24" si="0">E39</f>
        <v>2220</v>
      </c>
      <c r="F24" s="48">
        <f t="shared" si="0"/>
        <v>2260</v>
      </c>
      <c r="G24" s="48">
        <f t="shared" si="0"/>
        <v>2280</v>
      </c>
      <c r="H24" s="41">
        <f t="shared" si="0"/>
        <v>2300</v>
      </c>
    </row>
    <row r="25" spans="1:26" ht="19">
      <c r="B25" s="42" t="s">
        <v>140</v>
      </c>
      <c r="C25" s="39" t="s">
        <v>34</v>
      </c>
      <c r="D25" s="48">
        <f>E48</f>
        <v>1202.2360000000001</v>
      </c>
      <c r="E25" s="48">
        <f t="shared" ref="E25:H25" si="1">F48</f>
        <v>1683.152</v>
      </c>
      <c r="F25" s="48">
        <f t="shared" si="1"/>
        <v>1413.413</v>
      </c>
      <c r="G25" s="48">
        <f t="shared" si="1"/>
        <v>1440.2429999999999</v>
      </c>
      <c r="H25" s="41">
        <f t="shared" si="1"/>
        <v>1465.7850000000001</v>
      </c>
    </row>
    <row r="26" spans="1:26" ht="20">
      <c r="B26" s="40" t="s">
        <v>141</v>
      </c>
      <c r="C26" s="39" t="s">
        <v>34</v>
      </c>
      <c r="D26" s="48">
        <f>E55</f>
        <v>61.577952000000003</v>
      </c>
      <c r="E26" s="48">
        <f t="shared" ref="E26:H26" si="2">F55</f>
        <v>86.500848000000005</v>
      </c>
      <c r="F26" s="48">
        <f t="shared" si="2"/>
        <v>74.706951000000004</v>
      </c>
      <c r="G26" s="48">
        <f t="shared" si="2"/>
        <v>65.029601999999997</v>
      </c>
      <c r="H26" s="41">
        <f t="shared" si="2"/>
        <v>63.938503999999995</v>
      </c>
    </row>
    <row r="27" spans="1:26" ht="19">
      <c r="B27" s="49" t="s">
        <v>142</v>
      </c>
      <c r="C27" s="44" t="s">
        <v>34</v>
      </c>
      <c r="D27" s="45">
        <f>D24+D25-D26</f>
        <v>2810.6580479999998</v>
      </c>
      <c r="E27" s="45">
        <f t="shared" ref="E27:H27" si="3">E24+E25-E26</f>
        <v>3816.6511519999999</v>
      </c>
      <c r="F27" s="45">
        <f t="shared" si="3"/>
        <v>3598.7060489999999</v>
      </c>
      <c r="G27" s="45">
        <f t="shared" si="3"/>
        <v>3655.2133979999999</v>
      </c>
      <c r="H27" s="46">
        <f t="shared" si="3"/>
        <v>3701.8464959999997</v>
      </c>
    </row>
    <row r="28" spans="1:26">
      <c r="B28" s="39" t="s">
        <v>218</v>
      </c>
      <c r="C28" s="39"/>
      <c r="D28" s="39"/>
      <c r="E28" s="39"/>
      <c r="F28" s="39"/>
      <c r="G28" s="39"/>
      <c r="H28" s="39"/>
    </row>
    <row r="29" spans="1:26">
      <c r="B29" s="39" t="s">
        <v>219</v>
      </c>
      <c r="C29" s="39"/>
      <c r="D29" s="39"/>
      <c r="E29" s="39"/>
      <c r="F29" s="39"/>
      <c r="G29" s="39"/>
      <c r="H29" s="39"/>
    </row>
    <row r="30" spans="1:26">
      <c r="B30" s="39" t="s">
        <v>220</v>
      </c>
      <c r="C30" s="16"/>
      <c r="D30" s="16"/>
      <c r="E30" s="16"/>
      <c r="F30" s="16"/>
      <c r="G30" s="16"/>
      <c r="H30" s="16"/>
    </row>
    <row r="31" spans="1:26">
      <c r="B31" s="39" t="s">
        <v>221</v>
      </c>
      <c r="C31" s="16"/>
      <c r="D31" s="16"/>
      <c r="E31" s="16"/>
      <c r="F31" s="16"/>
      <c r="G31" s="16"/>
      <c r="H31" s="16"/>
    </row>
    <row r="32" spans="1:26">
      <c r="B32" s="16"/>
      <c r="C32" s="16"/>
      <c r="D32" s="16"/>
      <c r="E32" s="16"/>
      <c r="F32" s="16"/>
      <c r="G32" s="16"/>
      <c r="H32" s="16"/>
    </row>
    <row r="33" spans="2:9" ht="24">
      <c r="B33" s="3" t="s">
        <v>156</v>
      </c>
      <c r="C33" s="16"/>
      <c r="D33" s="16"/>
      <c r="E33" s="16"/>
      <c r="F33" s="16"/>
      <c r="G33" s="16"/>
      <c r="H33" s="16"/>
    </row>
    <row r="34" spans="2:9" ht="19">
      <c r="B34" s="18" t="s">
        <v>158</v>
      </c>
      <c r="C34" s="16"/>
      <c r="D34" s="16"/>
      <c r="E34" s="16"/>
      <c r="F34" s="16"/>
      <c r="G34" s="16"/>
      <c r="H34" s="16"/>
    </row>
    <row r="35" spans="2:9" ht="42" customHeight="1">
      <c r="B35" s="140" t="s">
        <v>229</v>
      </c>
      <c r="C35" s="140"/>
      <c r="D35" s="140"/>
      <c r="E35" s="140"/>
      <c r="F35" s="140"/>
      <c r="G35" s="140"/>
      <c r="H35" s="140"/>
    </row>
    <row r="37" spans="2:9">
      <c r="B37" s="16" t="s">
        <v>270</v>
      </c>
      <c r="D37" s="28"/>
      <c r="E37" s="28"/>
      <c r="F37" s="28"/>
      <c r="G37" s="28"/>
      <c r="H37" s="28"/>
    </row>
    <row r="38" spans="2:9">
      <c r="B38" s="36" t="s">
        <v>16</v>
      </c>
      <c r="C38" s="37" t="s">
        <v>18</v>
      </c>
      <c r="D38" s="37">
        <v>2021</v>
      </c>
      <c r="E38" s="37">
        <v>2022</v>
      </c>
      <c r="F38" s="37">
        <v>2023</v>
      </c>
      <c r="G38" s="37">
        <v>2024</v>
      </c>
      <c r="H38" s="38">
        <v>2025</v>
      </c>
    </row>
    <row r="39" spans="2:9" ht="20">
      <c r="B39" s="43" t="s">
        <v>230</v>
      </c>
      <c r="C39" s="15" t="s">
        <v>34</v>
      </c>
      <c r="D39" s="29">
        <v>1670</v>
      </c>
      <c r="E39" s="29">
        <v>2220</v>
      </c>
      <c r="F39" s="29">
        <v>2260</v>
      </c>
      <c r="G39" s="29">
        <v>2280</v>
      </c>
      <c r="H39" s="30">
        <v>2300</v>
      </c>
    </row>
    <row r="40" spans="2:9">
      <c r="B40" s="21" t="s">
        <v>228</v>
      </c>
      <c r="D40" s="28"/>
      <c r="E40" s="28"/>
      <c r="F40" s="28"/>
      <c r="G40" s="28"/>
      <c r="H40" s="28"/>
    </row>
    <row r="42" spans="2:9" ht="19">
      <c r="B42" s="18" t="s">
        <v>209</v>
      </c>
      <c r="C42" s="16"/>
      <c r="D42" s="16"/>
      <c r="E42" s="16"/>
      <c r="F42" s="16"/>
      <c r="G42" s="16"/>
      <c r="H42" s="16"/>
    </row>
    <row r="43" spans="2:9" ht="51" customHeight="1">
      <c r="B43" s="140" t="s">
        <v>231</v>
      </c>
      <c r="C43" s="140"/>
      <c r="D43" s="140"/>
      <c r="E43" s="140"/>
      <c r="F43" s="140"/>
      <c r="G43" s="140"/>
      <c r="H43" s="140"/>
    </row>
    <row r="45" spans="2:9" ht="18" customHeight="1">
      <c r="B45" s="83" t="s">
        <v>232</v>
      </c>
      <c r="C45" s="22"/>
      <c r="D45" s="22"/>
      <c r="E45" s="22"/>
      <c r="F45" s="22"/>
      <c r="G45" s="22"/>
      <c r="H45" s="22"/>
      <c r="I45" s="22"/>
    </row>
    <row r="46" spans="2:9">
      <c r="B46" s="36" t="s">
        <v>172</v>
      </c>
      <c r="C46" s="37" t="s">
        <v>18</v>
      </c>
      <c r="D46" s="37" t="s">
        <v>174</v>
      </c>
      <c r="E46" s="37">
        <v>2021</v>
      </c>
      <c r="F46" s="37">
        <v>2022</v>
      </c>
      <c r="G46" s="37">
        <v>2023</v>
      </c>
      <c r="H46" s="37">
        <v>2024</v>
      </c>
      <c r="I46" s="38">
        <v>2025</v>
      </c>
    </row>
    <row r="47" spans="2:9" ht="19">
      <c r="B47" s="13" t="s">
        <v>233</v>
      </c>
      <c r="C47" t="s">
        <v>34</v>
      </c>
      <c r="D47" s="28" t="s">
        <v>234</v>
      </c>
      <c r="E47" s="67">
        <f>_xlfn.XLOOKUP(_xlfn.CONCAT(_xlfn.TEXTSPLIT($D47,".")), 'S1. USITC Imports'!$B:$B,'S1. USITC Imports'!$J:$J)*_xlfn.XLOOKUP(_xlfn.CONCAT(_xlfn.TEXTSPLIT($D47,".")), 'S1. USITC Imports'!$B:$B,'S1. USITC Imports'!E:E)</f>
        <v>1202.2360000000001</v>
      </c>
      <c r="F47" s="67">
        <f>_xlfn.XLOOKUP(_xlfn.CONCAT(_xlfn.TEXTSPLIT($D47,".")), 'S1. USITC Imports'!$B:$B,'S1. USITC Imports'!$J:$J)*_xlfn.XLOOKUP(_xlfn.CONCAT(_xlfn.TEXTSPLIT($D47,".")), 'S1. USITC Imports'!$B:$B,'S1. USITC Imports'!F:F)</f>
        <v>1683.152</v>
      </c>
      <c r="G47" s="67">
        <f>_xlfn.XLOOKUP(_xlfn.CONCAT(_xlfn.TEXTSPLIT($D47,".")), 'S1. USITC Imports'!$B:$B,'S1. USITC Imports'!$J:$J)*_xlfn.XLOOKUP(_xlfn.CONCAT(_xlfn.TEXTSPLIT($D47,".")), 'S1. USITC Imports'!$B:$B,'S1. USITC Imports'!G:G)</f>
        <v>1413.413</v>
      </c>
      <c r="H47" s="67">
        <f>_xlfn.XLOOKUP(_xlfn.CONCAT(_xlfn.TEXTSPLIT($D47,".")), 'S1. USITC Imports'!$B:$B,'S1. USITC Imports'!$J:$J)*_xlfn.XLOOKUP(_xlfn.CONCAT(_xlfn.TEXTSPLIT($D47,".")), 'S1. USITC Imports'!$B:$B,'S1. USITC Imports'!H:H)</f>
        <v>1440.2429999999999</v>
      </c>
      <c r="I47" s="68">
        <f>_xlfn.XLOOKUP(_xlfn.CONCAT(_xlfn.TEXTSPLIT($D47,".")), 'S1. USITC Imports'!$B:$B,'S1. USITC Imports'!$J:$J)*_xlfn.XLOOKUP(_xlfn.CONCAT(_xlfn.TEXTSPLIT($D47,".")), 'S1. USITC Imports'!$B:$B,'S1. USITC Imports'!I:I)</f>
        <v>1465.7850000000001</v>
      </c>
    </row>
    <row r="48" spans="2:9">
      <c r="B48" s="14" t="s">
        <v>197</v>
      </c>
      <c r="C48" s="15" t="s">
        <v>34</v>
      </c>
      <c r="D48" s="29" t="s">
        <v>29</v>
      </c>
      <c r="E48" s="69">
        <f>E47</f>
        <v>1202.2360000000001</v>
      </c>
      <c r="F48" s="69">
        <f t="shared" ref="F48:I48" si="4">F47</f>
        <v>1683.152</v>
      </c>
      <c r="G48" s="69">
        <f t="shared" si="4"/>
        <v>1413.413</v>
      </c>
      <c r="H48" s="69">
        <f t="shared" si="4"/>
        <v>1440.2429999999999</v>
      </c>
      <c r="I48" s="70">
        <f t="shared" si="4"/>
        <v>1465.7850000000001</v>
      </c>
    </row>
    <row r="49" spans="1:26">
      <c r="B49" s="33" t="s">
        <v>183</v>
      </c>
      <c r="D49" s="28"/>
      <c r="E49" s="67"/>
      <c r="F49" s="67"/>
      <c r="G49" s="67"/>
      <c r="H49" s="67"/>
      <c r="I49" s="67"/>
    </row>
    <row r="51" spans="1:26" ht="17">
      <c r="B51" s="83" t="s">
        <v>212</v>
      </c>
      <c r="C51" s="22"/>
      <c r="D51" s="22"/>
      <c r="E51" s="22"/>
      <c r="F51" s="22"/>
      <c r="G51" s="22"/>
      <c r="H51" s="22"/>
      <c r="I51" s="22"/>
    </row>
    <row r="52" spans="1:26">
      <c r="B52" s="36" t="s">
        <v>172</v>
      </c>
      <c r="C52" s="37" t="s">
        <v>18</v>
      </c>
      <c r="D52" s="37" t="s">
        <v>174</v>
      </c>
      <c r="E52" s="37">
        <v>2021</v>
      </c>
      <c r="F52" s="37">
        <v>2022</v>
      </c>
      <c r="G52" s="37">
        <v>2023</v>
      </c>
      <c r="H52" s="37">
        <v>2024</v>
      </c>
      <c r="I52" s="38">
        <v>2025</v>
      </c>
    </row>
    <row r="53" spans="1:26" ht="19">
      <c r="B53" s="13" t="s">
        <v>235</v>
      </c>
      <c r="C53" t="s">
        <v>34</v>
      </c>
      <c r="D53" s="28" t="s">
        <v>237</v>
      </c>
      <c r="E53" s="67">
        <f>_xlfn.XLOOKUP(_xlfn.CONCAT(_xlfn.TEXTSPLIT($D53,".")), 'S2. USITC Exports'!$B:$B,'S2. USITC Exports'!$J:$J)*_xlfn.XLOOKUP(_xlfn.CONCAT(_xlfn.TEXTSPLIT($D53,".")), 'S2. USITC Exports'!$B:$B,'S2. USITC Exports'!E:E)</f>
        <v>53.050000000000004</v>
      </c>
      <c r="F53" s="67">
        <f>_xlfn.XLOOKUP(_xlfn.CONCAT(_xlfn.TEXTSPLIT($D53,".")), 'S2. USITC Exports'!$B:$B,'S2. USITC Exports'!$J:$J)*_xlfn.XLOOKUP(_xlfn.CONCAT(_xlfn.TEXTSPLIT($D53,".")), 'S2. USITC Exports'!$B:$B,'S2. USITC Exports'!F:F)</f>
        <v>77.075000000000003</v>
      </c>
      <c r="G53" s="67">
        <f>_xlfn.XLOOKUP(_xlfn.CONCAT(_xlfn.TEXTSPLIT($D53,".")), 'S2. USITC Exports'!$B:$B,'S2. USITC Exports'!$J:$J)*_xlfn.XLOOKUP(_xlfn.CONCAT(_xlfn.TEXTSPLIT($D53,".")), 'S2. USITC Exports'!$B:$B,'S2. USITC Exports'!G:G)</f>
        <v>61.975000000000001</v>
      </c>
      <c r="H53" s="67">
        <f>_xlfn.XLOOKUP(_xlfn.CONCAT(_xlfn.TEXTSPLIT($D53,".")), 'S2. USITC Exports'!$B:$B,'S2. USITC Exports'!$J:$J)*_xlfn.XLOOKUP(_xlfn.CONCAT(_xlfn.TEXTSPLIT($D53,".")), 'S2. USITC Exports'!$B:$B,'S2. USITC Exports'!H:H)</f>
        <v>53.134</v>
      </c>
      <c r="I53" s="68">
        <f>_xlfn.XLOOKUP(_xlfn.CONCAT(_xlfn.TEXTSPLIT($D53,".")), 'S2. USITC Exports'!$B:$B,'S2. USITC Exports'!$J:$J)*_xlfn.XLOOKUP(_xlfn.CONCAT(_xlfn.TEXTSPLIT($D53,".")), 'S2. USITC Exports'!$B:$B,'S2. USITC Exports'!I:I)</f>
        <v>53.878999999999998</v>
      </c>
    </row>
    <row r="54" spans="1:26" ht="19">
      <c r="B54" s="13" t="s">
        <v>236</v>
      </c>
      <c r="C54" t="s">
        <v>34</v>
      </c>
      <c r="D54" t="s">
        <v>238</v>
      </c>
      <c r="E54" s="67">
        <f>_xlfn.XLOOKUP(_xlfn.CONCAT(_xlfn.TEXTSPLIT($D54,".")), 'S2. USITC Exports'!$B:$B,'S2. USITC Exports'!$J:$J)*_xlfn.XLOOKUP(_xlfn.CONCAT(_xlfn.TEXTSPLIT($D54,".")), 'S2. USITC Exports'!$B:$B,'S2. USITC Exports'!E:E)</f>
        <v>8.5279519999999991</v>
      </c>
      <c r="F54" s="67">
        <f>_xlfn.XLOOKUP(_xlfn.CONCAT(_xlfn.TEXTSPLIT($D54,".")), 'S2. USITC Exports'!$B:$B,'S2. USITC Exports'!$J:$J)*_xlfn.XLOOKUP(_xlfn.CONCAT(_xlfn.TEXTSPLIT($D54,".")), 'S2. USITC Exports'!$B:$B,'S2. USITC Exports'!F:F)</f>
        <v>9.4258480000000002</v>
      </c>
      <c r="G54" s="67">
        <f>_xlfn.XLOOKUP(_xlfn.CONCAT(_xlfn.TEXTSPLIT($D54,".")), 'S2. USITC Exports'!$B:$B,'S2. USITC Exports'!$J:$J)*_xlfn.XLOOKUP(_xlfn.CONCAT(_xlfn.TEXTSPLIT($D54,".")), 'S2. USITC Exports'!$B:$B,'S2. USITC Exports'!G:G)</f>
        <v>12.731950999999999</v>
      </c>
      <c r="H54" s="67">
        <f>_xlfn.XLOOKUP(_xlfn.CONCAT(_xlfn.TEXTSPLIT($D54,".")), 'S2. USITC Exports'!$B:$B,'S2. USITC Exports'!$J:$J)*_xlfn.XLOOKUP(_xlfn.CONCAT(_xlfn.TEXTSPLIT($D54,".")), 'S2. USITC Exports'!$B:$B,'S2. USITC Exports'!H:H)</f>
        <v>11.895602</v>
      </c>
      <c r="I54" s="68">
        <f>_xlfn.XLOOKUP(_xlfn.CONCAT(_xlfn.TEXTSPLIT($D54,".")), 'S2. USITC Exports'!$B:$B,'S2. USITC Exports'!$J:$J)*_xlfn.XLOOKUP(_xlfn.CONCAT(_xlfn.TEXTSPLIT($D54,".")), 'S2. USITC Exports'!$B:$B,'S2. USITC Exports'!I:I)</f>
        <v>10.059503999999999</v>
      </c>
    </row>
    <row r="55" spans="1:26">
      <c r="B55" s="14" t="s">
        <v>197</v>
      </c>
      <c r="C55" s="15" t="s">
        <v>34</v>
      </c>
      <c r="D55" s="15" t="s">
        <v>29</v>
      </c>
      <c r="E55" s="29">
        <f>SUM(E53:E54)</f>
        <v>61.577952000000003</v>
      </c>
      <c r="F55" s="29">
        <f t="shared" ref="F55:I55" si="5">SUM(F53:F54)</f>
        <v>86.500848000000005</v>
      </c>
      <c r="G55" s="29">
        <f t="shared" si="5"/>
        <v>74.706951000000004</v>
      </c>
      <c r="H55" s="29">
        <f t="shared" si="5"/>
        <v>65.029601999999997</v>
      </c>
      <c r="I55" s="30">
        <f t="shared" si="5"/>
        <v>63.938503999999995</v>
      </c>
    </row>
    <row r="56" spans="1:26">
      <c r="B56" s="62" t="s">
        <v>214</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17</v>
      </c>
    </row>
    <row r="61" spans="1:26">
      <c r="B61" s="4" t="s">
        <v>16</v>
      </c>
      <c r="C61" s="11" t="s">
        <v>18</v>
      </c>
      <c r="D61" s="11">
        <v>2021</v>
      </c>
      <c r="E61" s="11">
        <v>2022</v>
      </c>
      <c r="F61" s="11">
        <v>2023</v>
      </c>
      <c r="G61" s="11">
        <v>2024</v>
      </c>
      <c r="H61" s="12">
        <v>2025</v>
      </c>
    </row>
    <row r="62" spans="1:26" ht="37">
      <c r="B62" s="23" t="s">
        <v>245</v>
      </c>
      <c r="C62" s="15" t="s">
        <v>33</v>
      </c>
      <c r="D62" s="15">
        <v>167</v>
      </c>
      <c r="E62" s="15">
        <v>145</v>
      </c>
      <c r="F62" s="15">
        <v>218</v>
      </c>
      <c r="G62" s="15">
        <v>210</v>
      </c>
      <c r="H62" s="10">
        <v>210</v>
      </c>
    </row>
    <row r="63" spans="1:26">
      <c r="B63" s="21" t="s">
        <v>228</v>
      </c>
    </row>
  </sheetData>
  <mergeCells count="3">
    <mergeCell ref="G14:J16"/>
    <mergeCell ref="B35:H35"/>
    <mergeCell ref="B43:H43"/>
  </mergeCells>
  <hyperlinks>
    <hyperlink ref="C7" r:id="rId1" xr:uid="{75D9533E-A210-4744-A28D-572FCF54DD87}"/>
    <hyperlink ref="B17" r:id="rId2" xr:uid="{B41DA361-3826-6A4F-8473-6125F2E4E60D}"/>
    <hyperlink ref="B49" r:id="rId3" xr:uid="{DF20C7B6-4386-AA44-84CA-1519F7FF51BE}"/>
    <hyperlink ref="B40" r:id="rId4" xr:uid="{FBCDDF21-B787-5E47-8DEE-554394944314}"/>
    <hyperlink ref="B63" r:id="rId5" xr:uid="{7BA4785C-258A-2D4E-B190-C00BBC55130B}"/>
    <hyperlink ref="B56" r:id="rId6" display="(1) Source: USITC DataWeb, Imports for Consumption" xr:uid="{BFB58C1B-1932-A14D-A7A4-4FC13E1F0C9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395A-18F1-2644-AA05-ED59154E26AF}">
  <dimension ref="A1:Z70"/>
  <sheetViews>
    <sheetView topLeftCell="A41" workbookViewId="0">
      <selection activeCell="E51" sqref="E51"/>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250</v>
      </c>
    </row>
    <row r="3" spans="1:26" ht="16" customHeight="1">
      <c r="B3" t="s">
        <v>145</v>
      </c>
    </row>
    <row r="5" spans="1:26" ht="24">
      <c r="B5" s="3" t="s">
        <v>0</v>
      </c>
    </row>
    <row r="6" spans="1:26">
      <c r="B6" s="4" t="s">
        <v>1</v>
      </c>
      <c r="C6" s="86" t="s">
        <v>251</v>
      </c>
    </row>
    <row r="7" spans="1:26">
      <c r="B7" s="6" t="s">
        <v>2</v>
      </c>
      <c r="C7" s="7" t="s">
        <v>250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41" t="s">
        <v>581</v>
      </c>
      <c r="H14" s="141"/>
      <c r="I14" s="141"/>
      <c r="J14" s="141"/>
      <c r="K14" s="141"/>
      <c r="L14" s="141"/>
      <c r="M14" s="141"/>
    </row>
    <row r="15" spans="1:26">
      <c r="B15" s="94" t="s">
        <v>57</v>
      </c>
      <c r="C15" s="17" t="s">
        <v>253</v>
      </c>
      <c r="D15">
        <v>483000</v>
      </c>
      <c r="E15" s="99">
        <f>D15/SUM($D$15:$D$19)</f>
        <v>0.58945569929216501</v>
      </c>
      <c r="G15" s="141"/>
      <c r="H15" s="141"/>
      <c r="I15" s="141"/>
      <c r="J15" s="141"/>
      <c r="K15" s="141"/>
      <c r="L15" s="141"/>
      <c r="M15" s="141"/>
    </row>
    <row r="16" spans="1:26">
      <c r="B16" s="94" t="s">
        <v>79</v>
      </c>
      <c r="C16" s="17" t="s">
        <v>80</v>
      </c>
      <c r="D16">
        <v>103500</v>
      </c>
      <c r="E16" s="99">
        <f t="shared" ref="E16:E19" si="0">D16/SUM($D$15:$D$19)</f>
        <v>0.12631193556260678</v>
      </c>
      <c r="G16" s="141"/>
      <c r="H16" s="141"/>
      <c r="I16" s="141"/>
      <c r="J16" s="141"/>
      <c r="K16" s="141"/>
      <c r="L16" s="141"/>
      <c r="M16" s="141"/>
    </row>
    <row r="17" spans="1:26">
      <c r="B17" s="94" t="s">
        <v>254</v>
      </c>
      <c r="C17" s="17" t="s">
        <v>255</v>
      </c>
      <c r="D17">
        <v>86300</v>
      </c>
      <c r="E17" s="99">
        <f t="shared" si="0"/>
        <v>0.10532096656089822</v>
      </c>
      <c r="G17" s="141"/>
      <c r="H17" s="141"/>
      <c r="I17" s="141"/>
      <c r="J17" s="141"/>
      <c r="K17" s="141"/>
      <c r="L17" s="141"/>
      <c r="M17" s="141"/>
    </row>
    <row r="18" spans="1:26" ht="17">
      <c r="B18" s="95" t="s">
        <v>256</v>
      </c>
      <c r="C18" s="96" t="s">
        <v>257</v>
      </c>
      <c r="D18">
        <v>77600</v>
      </c>
      <c r="E18" s="99">
        <f t="shared" si="0"/>
        <v>9.4703441542592137E-2</v>
      </c>
      <c r="G18" s="141"/>
      <c r="H18" s="141"/>
      <c r="I18" s="141"/>
      <c r="J18" s="141"/>
      <c r="K18" s="141"/>
      <c r="L18" s="141"/>
      <c r="M18" s="141"/>
    </row>
    <row r="19" spans="1:26" ht="23" customHeight="1">
      <c r="B19" s="97" t="s">
        <v>258</v>
      </c>
      <c r="C19" s="98" t="s">
        <v>73</v>
      </c>
      <c r="D19" s="15">
        <v>69000</v>
      </c>
      <c r="E19" s="100">
        <f t="shared" si="0"/>
        <v>8.4207957041737863E-2</v>
      </c>
      <c r="G19" s="141"/>
      <c r="H19" s="141"/>
      <c r="I19" s="141"/>
      <c r="J19" s="141"/>
      <c r="K19" s="141"/>
      <c r="L19" s="141"/>
      <c r="M19" s="141"/>
    </row>
    <row r="20" spans="1:26">
      <c r="B20" s="21" t="s">
        <v>252</v>
      </c>
      <c r="G20" s="21" t="s">
        <v>259</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13</v>
      </c>
    </row>
    <row r="25" spans="1:26" ht="19">
      <c r="B25" s="18" t="s">
        <v>14</v>
      </c>
      <c r="C25" s="19" t="s">
        <v>138</v>
      </c>
    </row>
    <row r="26" spans="1:26">
      <c r="B26" s="36" t="s">
        <v>16</v>
      </c>
      <c r="C26" s="37" t="s">
        <v>18</v>
      </c>
      <c r="D26" s="37">
        <v>2021</v>
      </c>
      <c r="E26" s="37">
        <v>2022</v>
      </c>
      <c r="F26" s="37">
        <v>2023</v>
      </c>
      <c r="G26" s="37">
        <v>2024</v>
      </c>
      <c r="H26" s="38">
        <v>2025</v>
      </c>
    </row>
    <row r="27" spans="1:26" ht="20">
      <c r="B27" s="40" t="s">
        <v>139</v>
      </c>
      <c r="C27" s="39" t="s">
        <v>34</v>
      </c>
      <c r="D27" s="48">
        <f>D47</f>
        <v>201</v>
      </c>
      <c r="E27" s="48">
        <f t="shared" ref="E27:H27" si="1">E47</f>
        <v>203</v>
      </c>
      <c r="F27" s="48">
        <f t="shared" si="1"/>
        <v>195</v>
      </c>
      <c r="G27" s="48">
        <f t="shared" si="1"/>
        <v>195</v>
      </c>
      <c r="H27" s="41">
        <f t="shared" si="1"/>
        <v>199</v>
      </c>
    </row>
    <row r="28" spans="1:26" ht="19">
      <c r="B28" s="42" t="s">
        <v>140</v>
      </c>
      <c r="C28" s="39" t="s">
        <v>34</v>
      </c>
      <c r="D28" s="48">
        <f>D55</f>
        <v>27.2</v>
      </c>
      <c r="E28" s="48">
        <f t="shared" ref="E28:H28" si="2">E55</f>
        <v>36.5</v>
      </c>
      <c r="F28" s="48">
        <f t="shared" si="2"/>
        <v>50.8</v>
      </c>
      <c r="G28" s="48">
        <f t="shared" si="2"/>
        <v>58.3</v>
      </c>
      <c r="H28" s="41">
        <f t="shared" si="2"/>
        <v>40</v>
      </c>
    </row>
    <row r="29" spans="1:26" ht="20">
      <c r="B29" s="40" t="s">
        <v>141</v>
      </c>
      <c r="C29" s="39" t="s">
        <v>34</v>
      </c>
      <c r="D29" s="48">
        <f>D60</f>
        <v>27.9</v>
      </c>
      <c r="E29" s="48">
        <f t="shared" ref="E29:H29" si="3">E60</f>
        <v>19.399999999999999</v>
      </c>
      <c r="F29" s="48">
        <f t="shared" si="3"/>
        <v>38.9</v>
      </c>
      <c r="G29" s="48">
        <f t="shared" si="3"/>
        <v>33.799999999999997</v>
      </c>
      <c r="H29" s="41">
        <f t="shared" si="3"/>
        <v>33</v>
      </c>
    </row>
    <row r="30" spans="1:26" ht="19">
      <c r="B30" s="49" t="s">
        <v>142</v>
      </c>
      <c r="C30" s="44" t="s">
        <v>34</v>
      </c>
      <c r="D30" s="45">
        <f>D27+D28-D29</f>
        <v>200.29999999999998</v>
      </c>
      <c r="E30" s="45">
        <f t="shared" ref="E30:H30" si="4">E27+E28-E29</f>
        <v>220.1</v>
      </c>
      <c r="F30" s="45">
        <f t="shared" si="4"/>
        <v>206.9</v>
      </c>
      <c r="G30" s="45">
        <f t="shared" si="4"/>
        <v>219.5</v>
      </c>
      <c r="H30" s="46">
        <f t="shared" si="4"/>
        <v>206</v>
      </c>
    </row>
    <row r="31" spans="1:26">
      <c r="B31" s="39" t="s">
        <v>218</v>
      </c>
      <c r="C31" s="39"/>
      <c r="D31" s="39"/>
      <c r="E31" s="39"/>
      <c r="F31" s="39"/>
      <c r="G31" s="39"/>
      <c r="H31" s="39"/>
    </row>
    <row r="32" spans="1:26">
      <c r="B32" s="39" t="s">
        <v>219</v>
      </c>
      <c r="C32" s="39"/>
      <c r="D32" s="39"/>
      <c r="E32" s="39"/>
      <c r="F32" s="39"/>
      <c r="G32" s="39"/>
      <c r="H32" s="39"/>
    </row>
    <row r="33" spans="2:8">
      <c r="B33" s="39" t="s">
        <v>220</v>
      </c>
      <c r="C33" s="16"/>
      <c r="D33" s="16"/>
      <c r="E33" s="16"/>
      <c r="F33" s="16"/>
      <c r="G33" s="16"/>
      <c r="H33" s="16"/>
    </row>
    <row r="34" spans="2:8">
      <c r="B34" s="39" t="s">
        <v>221</v>
      </c>
      <c r="C34" s="16"/>
      <c r="D34" s="16"/>
      <c r="E34" s="16"/>
      <c r="F34" s="16"/>
      <c r="G34" s="16"/>
      <c r="H34" s="16"/>
    </row>
    <row r="35" spans="2:8">
      <c r="B35" s="16"/>
      <c r="C35" s="16"/>
      <c r="D35" s="16"/>
      <c r="E35" s="16"/>
      <c r="F35" s="16"/>
      <c r="G35" s="16"/>
      <c r="H35" s="16"/>
    </row>
    <row r="36" spans="2:8" ht="24">
      <c r="B36" s="3" t="s">
        <v>156</v>
      </c>
      <c r="C36" s="16"/>
      <c r="D36" s="16"/>
      <c r="E36" s="16"/>
      <c r="F36" s="16"/>
      <c r="G36" s="16"/>
      <c r="H36" s="16"/>
    </row>
    <row r="37" spans="2:8" ht="19">
      <c r="B37" s="18" t="s">
        <v>158</v>
      </c>
      <c r="C37" s="16"/>
      <c r="D37" s="16"/>
      <c r="E37" s="16"/>
      <c r="F37" s="16"/>
      <c r="G37" s="16"/>
      <c r="H37" s="16"/>
    </row>
    <row r="38" spans="2:8" ht="112" customHeight="1">
      <c r="B38" s="140" t="s">
        <v>583</v>
      </c>
      <c r="C38" s="140"/>
      <c r="D38" s="140"/>
      <c r="E38" s="140"/>
      <c r="F38" s="140"/>
      <c r="G38" s="140"/>
      <c r="H38" s="140"/>
    </row>
    <row r="39" spans="2:8" ht="17" customHeight="1">
      <c r="B39" s="101" t="s">
        <v>260</v>
      </c>
      <c r="C39" s="35"/>
      <c r="D39" s="35"/>
      <c r="E39" s="35"/>
      <c r="F39" s="35"/>
      <c r="G39" s="35"/>
      <c r="H39" s="35"/>
    </row>
    <row r="40" spans="2:8" ht="17" customHeight="1">
      <c r="B40" s="101" t="s">
        <v>261</v>
      </c>
      <c r="C40" s="35"/>
      <c r="D40" s="35"/>
      <c r="E40" s="35"/>
      <c r="F40" s="35"/>
      <c r="G40" s="35"/>
      <c r="H40" s="35"/>
    </row>
    <row r="41" spans="2:8" ht="16" customHeight="1">
      <c r="B41" s="101" t="s">
        <v>262</v>
      </c>
      <c r="C41" s="35"/>
      <c r="D41" s="35"/>
      <c r="E41" s="35"/>
      <c r="F41" s="35"/>
      <c r="G41" s="35"/>
      <c r="H41" s="35"/>
    </row>
    <row r="43" spans="2:8">
      <c r="B43" s="16" t="s">
        <v>269</v>
      </c>
      <c r="D43" s="28"/>
      <c r="E43" s="28"/>
      <c r="F43" s="28"/>
      <c r="G43" s="28"/>
      <c r="H43" s="28"/>
    </row>
    <row r="44" spans="2:8">
      <c r="B44" s="36" t="s">
        <v>16</v>
      </c>
      <c r="C44" s="37" t="s">
        <v>18</v>
      </c>
      <c r="D44" s="37">
        <v>2021</v>
      </c>
      <c r="E44" s="37">
        <v>2022</v>
      </c>
      <c r="F44" s="37">
        <v>2023</v>
      </c>
      <c r="G44" s="37">
        <v>2024</v>
      </c>
      <c r="H44" s="38">
        <v>2025</v>
      </c>
    </row>
    <row r="45" spans="2:8" ht="20">
      <c r="B45" s="40" t="s">
        <v>263</v>
      </c>
      <c r="C45" s="138" t="s">
        <v>34</v>
      </c>
      <c r="D45" s="138">
        <v>71</v>
      </c>
      <c r="E45" s="138">
        <v>73</v>
      </c>
      <c r="F45" s="138">
        <v>65</v>
      </c>
      <c r="G45" s="138">
        <v>65</v>
      </c>
      <c r="H45" s="102">
        <v>69</v>
      </c>
    </row>
    <row r="46" spans="2:8" ht="20">
      <c r="B46" s="40" t="s">
        <v>584</v>
      </c>
      <c r="C46" s="138" t="s">
        <v>34</v>
      </c>
      <c r="D46" s="139">
        <v>130</v>
      </c>
      <c r="E46" s="139">
        <v>130</v>
      </c>
      <c r="F46" s="139">
        <v>130</v>
      </c>
      <c r="G46" s="139">
        <v>130</v>
      </c>
      <c r="H46" s="137">
        <v>130</v>
      </c>
    </row>
    <row r="47" spans="2:8" ht="17">
      <c r="B47" s="43" t="s">
        <v>265</v>
      </c>
      <c r="C47" s="82" t="s">
        <v>34</v>
      </c>
      <c r="D47" s="69">
        <f>D45+D46</f>
        <v>201</v>
      </c>
      <c r="E47" s="69">
        <f t="shared" ref="E47:H47" si="5">E45+E46</f>
        <v>203</v>
      </c>
      <c r="F47" s="69">
        <f t="shared" si="5"/>
        <v>195</v>
      </c>
      <c r="G47" s="69">
        <f t="shared" si="5"/>
        <v>195</v>
      </c>
      <c r="H47" s="70">
        <f t="shared" si="5"/>
        <v>199</v>
      </c>
    </row>
    <row r="48" spans="2:8">
      <c r="B48" s="60" t="s">
        <v>264</v>
      </c>
      <c r="D48" s="28"/>
      <c r="E48" s="28"/>
      <c r="F48" s="28"/>
      <c r="G48" s="28"/>
      <c r="H48" s="28"/>
    </row>
    <row r="49" spans="1:26">
      <c r="B49" s="60" t="s">
        <v>585</v>
      </c>
      <c r="D49" s="28"/>
      <c r="E49" s="28"/>
      <c r="F49" s="28"/>
      <c r="G49" s="28"/>
      <c r="H49" s="28"/>
    </row>
    <row r="51" spans="1:26" ht="19">
      <c r="B51" s="18" t="s">
        <v>209</v>
      </c>
      <c r="C51" s="16"/>
      <c r="D51" s="16"/>
      <c r="E51" s="16"/>
      <c r="F51" s="16"/>
      <c r="G51" s="16"/>
      <c r="H51" s="16"/>
    </row>
    <row r="53" spans="1:26" ht="18" customHeight="1">
      <c r="B53" s="83" t="s">
        <v>267</v>
      </c>
      <c r="C53" s="22"/>
      <c r="D53" s="22"/>
      <c r="E53" s="22"/>
      <c r="F53" s="22"/>
      <c r="G53" s="22"/>
      <c r="H53" s="22"/>
      <c r="I53" s="22"/>
    </row>
    <row r="54" spans="1:26">
      <c r="B54" s="36" t="s">
        <v>172</v>
      </c>
      <c r="C54" s="37" t="s">
        <v>18</v>
      </c>
      <c r="D54" s="37">
        <v>2021</v>
      </c>
      <c r="E54" s="37">
        <v>2022</v>
      </c>
      <c r="F54" s="37">
        <v>2023</v>
      </c>
      <c r="G54" s="37">
        <v>2024</v>
      </c>
      <c r="H54" s="38">
        <v>2025</v>
      </c>
    </row>
    <row r="55" spans="1:26" ht="37">
      <c r="B55" s="43" t="s">
        <v>266</v>
      </c>
      <c r="C55" s="15" t="s">
        <v>34</v>
      </c>
      <c r="D55" s="92">
        <v>27.2</v>
      </c>
      <c r="E55" s="92">
        <v>36.5</v>
      </c>
      <c r="F55" s="92">
        <v>50.8</v>
      </c>
      <c r="G55" s="92">
        <v>58.3</v>
      </c>
      <c r="H55" s="93">
        <v>40</v>
      </c>
    </row>
    <row r="56" spans="1:26">
      <c r="B56" s="101" t="s">
        <v>260</v>
      </c>
      <c r="D56" s="28"/>
      <c r="E56" s="67"/>
      <c r="F56" s="67"/>
      <c r="G56" s="67"/>
      <c r="H56" s="67"/>
      <c r="I56" s="67"/>
    </row>
    <row r="58" spans="1:26" ht="17">
      <c r="B58" s="83" t="s">
        <v>268</v>
      </c>
      <c r="C58" s="22"/>
      <c r="D58" s="22"/>
      <c r="E58" s="22"/>
      <c r="F58" s="22"/>
      <c r="G58" s="22"/>
      <c r="H58" s="22"/>
      <c r="I58" s="22"/>
    </row>
    <row r="59" spans="1:26">
      <c r="B59" s="36" t="s">
        <v>172</v>
      </c>
      <c r="C59" s="37" t="s">
        <v>18</v>
      </c>
      <c r="D59" s="37">
        <v>2021</v>
      </c>
      <c r="E59" s="37">
        <v>2022</v>
      </c>
      <c r="F59" s="37">
        <v>2023</v>
      </c>
      <c r="G59" s="37">
        <v>2024</v>
      </c>
      <c r="H59" s="38">
        <v>2025</v>
      </c>
    </row>
    <row r="60" spans="1:26" ht="37">
      <c r="B60" s="43" t="s">
        <v>272</v>
      </c>
      <c r="C60" s="15" t="s">
        <v>34</v>
      </c>
      <c r="D60" s="54">
        <v>27.9</v>
      </c>
      <c r="E60" s="92">
        <v>19.399999999999999</v>
      </c>
      <c r="F60" s="92">
        <v>38.9</v>
      </c>
      <c r="G60" s="92">
        <v>33.799999999999997</v>
      </c>
      <c r="H60" s="93">
        <v>33</v>
      </c>
    </row>
    <row r="61" spans="1:26">
      <c r="B61" s="101" t="s">
        <v>260</v>
      </c>
      <c r="E61" s="28"/>
      <c r="F61" s="28"/>
      <c r="G61" s="28"/>
      <c r="H61" s="28"/>
      <c r="I61" s="28"/>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5" spans="2:8" ht="24">
      <c r="B65" s="3" t="s">
        <v>17</v>
      </c>
    </row>
    <row r="66" spans="2:8">
      <c r="B66" s="4" t="s">
        <v>16</v>
      </c>
      <c r="C66" s="11" t="s">
        <v>18</v>
      </c>
      <c r="D66" s="11">
        <v>2021</v>
      </c>
      <c r="E66" s="11">
        <v>2022</v>
      </c>
      <c r="F66" s="11">
        <v>2023</v>
      </c>
      <c r="G66" s="11">
        <v>2024</v>
      </c>
      <c r="H66" s="12">
        <v>2025</v>
      </c>
    </row>
    <row r="67" spans="2:8" ht="37">
      <c r="B67" s="31" t="s">
        <v>273</v>
      </c>
      <c r="C67" s="17" t="s">
        <v>274</v>
      </c>
      <c r="D67" s="17">
        <v>2.85</v>
      </c>
      <c r="E67" s="17">
        <v>3.29</v>
      </c>
      <c r="F67" s="17">
        <v>2.92</v>
      </c>
      <c r="G67" s="17">
        <v>2.7</v>
      </c>
      <c r="H67" s="103">
        <v>3</v>
      </c>
    </row>
    <row r="68" spans="2:8" ht="37">
      <c r="B68" s="23" t="s">
        <v>275</v>
      </c>
      <c r="C68" s="15" t="s">
        <v>33</v>
      </c>
      <c r="D68" s="52">
        <f>D67*907.2</f>
        <v>2585.5200000000004</v>
      </c>
      <c r="E68" s="52">
        <f t="shared" ref="E68:H68" si="6">E67*907.2</f>
        <v>2984.6880000000001</v>
      </c>
      <c r="F68" s="52">
        <f t="shared" si="6"/>
        <v>2649.0239999999999</v>
      </c>
      <c r="G68" s="52">
        <f t="shared" si="6"/>
        <v>2449.4400000000005</v>
      </c>
      <c r="H68" s="53">
        <f t="shared" si="6"/>
        <v>2721.6000000000004</v>
      </c>
    </row>
    <row r="69" spans="2:8">
      <c r="B69" s="101" t="s">
        <v>260</v>
      </c>
    </row>
    <row r="70" spans="2:8">
      <c r="B70" t="s">
        <v>276</v>
      </c>
    </row>
  </sheetData>
  <mergeCells count="2">
    <mergeCell ref="G14:M19"/>
    <mergeCell ref="B38:H38"/>
  </mergeCells>
  <hyperlinks>
    <hyperlink ref="C7" r:id="rId1" xr:uid="{61E01601-FB54-FC48-A800-71978576A354}"/>
    <hyperlink ref="B20" r:id="rId2" xr:uid="{B349E515-C073-1B4F-AF20-4BA387CE7F7D}"/>
    <hyperlink ref="G20" r:id="rId3" xr:uid="{49A7F431-E715-C847-BCB8-75ED1830FC6B}"/>
    <hyperlink ref="B39" r:id="rId4" xr:uid="{CA909A59-B200-6343-8A5B-C8E941662601}"/>
    <hyperlink ref="B40" r:id="rId5" xr:uid="{99251F48-5A5F-E448-94BC-35E08AA11637}"/>
    <hyperlink ref="B41" r:id="rId6" xr:uid="{102559D1-2F89-164F-B6E0-D82A090F0526}"/>
    <hyperlink ref="B48" r:id="rId7" display="(2) Extracted from Rio Tinto Corporation Annual Reports retrieved from the U.S. Securities and Exchange Commission's Electronic Data Gathering, Analysis, and Retrieval (EDGAR) system for RIO TINTO PLC (CIK 0000863064)" xr:uid="{2F132FA1-758F-F041-A98D-73E8F0D2A81E}"/>
    <hyperlink ref="B49" r:id="rId8" display="(2) Assumed based on relative capacities of Albemarle and Chemtura bromine facilities (Arkansas Geological Survey)" xr:uid="{52BB1D32-E4AB-EC40-AF36-B8E2372CCE3B}"/>
    <hyperlink ref="B56" r:id="rId9" xr:uid="{BD4D56B3-B713-F54E-8275-0AC427F91AC1}"/>
    <hyperlink ref="B61" r:id="rId10" xr:uid="{078D0B36-73BE-F347-B622-AB8A8394EFE8}"/>
    <hyperlink ref="B69" r:id="rId11" xr:uid="{9233FD4F-1B83-0C49-8C50-028634EDF65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8335-C60D-2E4B-A361-5211CAD58A55}">
  <dimension ref="A1:Z154"/>
  <sheetViews>
    <sheetView topLeftCell="A122" workbookViewId="0">
      <selection activeCell="G20" sqref="G2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430</v>
      </c>
    </row>
    <row r="3" spans="1:26" ht="16" customHeight="1">
      <c r="B3" t="s">
        <v>145</v>
      </c>
    </row>
    <row r="5" spans="1:26" ht="24">
      <c r="B5" s="3" t="s">
        <v>0</v>
      </c>
    </row>
    <row r="6" spans="1:26" ht="18">
      <c r="B6" s="4" t="s">
        <v>1</v>
      </c>
      <c r="C6" s="86" t="s">
        <v>431</v>
      </c>
    </row>
    <row r="7" spans="1:26">
      <c r="B7" s="6" t="s">
        <v>2</v>
      </c>
      <c r="C7" s="7" t="s">
        <v>432</v>
      </c>
    </row>
    <row r="8" spans="1:26">
      <c r="B8" s="6" t="s">
        <v>3</v>
      </c>
      <c r="C8" s="8" t="s">
        <v>433</v>
      </c>
    </row>
    <row r="9" spans="1:26">
      <c r="B9" s="9" t="s">
        <v>5</v>
      </c>
      <c r="C9" s="10" t="s">
        <v>447</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41" t="s">
        <v>441</v>
      </c>
      <c r="H14" s="141"/>
      <c r="I14" s="141"/>
      <c r="J14" s="141"/>
      <c r="K14" s="141"/>
    </row>
    <row r="15" spans="1:26">
      <c r="B15" s="94" t="s">
        <v>67</v>
      </c>
      <c r="C15" s="17" t="s">
        <v>434</v>
      </c>
      <c r="D15" s="67">
        <v>13004</v>
      </c>
      <c r="E15" s="108">
        <f>D15/SUM($D$15:$D$19)</f>
        <v>1.8516250843654155E-2</v>
      </c>
      <c r="F15" s="51"/>
      <c r="G15" s="141"/>
      <c r="H15" s="141"/>
      <c r="I15" s="141"/>
      <c r="J15" s="141"/>
      <c r="K15" s="141"/>
    </row>
    <row r="16" spans="1:26">
      <c r="B16" s="94" t="s">
        <v>39</v>
      </c>
      <c r="C16" s="17" t="s">
        <v>435</v>
      </c>
      <c r="D16" s="67">
        <v>110000</v>
      </c>
      <c r="E16" s="108">
        <f>D16/SUM($D$15:$D$19)</f>
        <v>0.15662777551537657</v>
      </c>
      <c r="F16" s="51"/>
      <c r="G16" s="141"/>
      <c r="H16" s="141"/>
      <c r="I16" s="141"/>
      <c r="J16" s="141"/>
      <c r="K16" s="141"/>
    </row>
    <row r="17" spans="1:26">
      <c r="B17" s="94" t="s">
        <v>436</v>
      </c>
      <c r="C17" s="17" t="s">
        <v>437</v>
      </c>
      <c r="D17" s="67">
        <v>32500</v>
      </c>
      <c r="E17" s="108">
        <f>D17/SUM($D$15:$D$19)</f>
        <v>4.6276388220452172E-2</v>
      </c>
      <c r="F17" s="51"/>
      <c r="G17" s="141"/>
      <c r="H17" s="141"/>
      <c r="I17" s="141"/>
      <c r="J17" s="141"/>
      <c r="K17" s="141"/>
    </row>
    <row r="18" spans="1:26" ht="17">
      <c r="B18" s="95" t="s">
        <v>67</v>
      </c>
      <c r="C18" s="96" t="s">
        <v>438</v>
      </c>
      <c r="D18" s="133">
        <v>4120</v>
      </c>
      <c r="E18" s="134">
        <f>D18/SUM($D$15:$D$19)</f>
        <v>5.8664221374850134E-3</v>
      </c>
      <c r="F18" s="51"/>
      <c r="G18" s="141"/>
      <c r="H18" s="141"/>
      <c r="I18" s="141"/>
      <c r="J18" s="141"/>
      <c r="K18" s="141"/>
    </row>
    <row r="19" spans="1:26" ht="34">
      <c r="B19" s="97" t="s">
        <v>67</v>
      </c>
      <c r="C19" s="98" t="s">
        <v>439</v>
      </c>
      <c r="D19" s="129">
        <v>542678</v>
      </c>
      <c r="E19" s="128">
        <f>D19/SUM($D$15:$D$19)</f>
        <v>0.77271316328303208</v>
      </c>
      <c r="F19" s="51"/>
      <c r="G19" s="141"/>
      <c r="H19" s="141"/>
      <c r="I19" s="141"/>
      <c r="J19" s="141"/>
      <c r="K19" s="141"/>
    </row>
    <row r="20" spans="1:26">
      <c r="B20" s="111" t="s">
        <v>440</v>
      </c>
    </row>
    <row r="21" spans="1:26">
      <c r="B21" s="130"/>
    </row>
    <row r="22" spans="1:26">
      <c r="B22" s="130"/>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6" spans="1:26" ht="24">
      <c r="B26" s="3" t="s">
        <v>442</v>
      </c>
    </row>
    <row r="27" spans="1:26" ht="64" customHeight="1">
      <c r="B27" s="140" t="s">
        <v>443</v>
      </c>
      <c r="C27" s="140"/>
      <c r="D27" s="140"/>
      <c r="E27" s="140"/>
      <c r="F27" s="140"/>
      <c r="G27" s="140"/>
    </row>
    <row r="28" spans="1:26" ht="69" customHeight="1">
      <c r="B28" s="140" t="s">
        <v>444</v>
      </c>
      <c r="C28" s="140"/>
      <c r="D28" s="140"/>
      <c r="E28" s="140"/>
      <c r="F28" s="140"/>
      <c r="G28" s="140"/>
    </row>
    <row r="29" spans="1:26" ht="75" customHeight="1">
      <c r="B29" s="140" t="s">
        <v>446</v>
      </c>
      <c r="C29" s="140"/>
      <c r="D29" s="140"/>
      <c r="E29" s="140"/>
      <c r="F29" s="140"/>
      <c r="G29" s="140"/>
    </row>
    <row r="30" spans="1:26">
      <c r="B30" s="21" t="s">
        <v>445</v>
      </c>
    </row>
    <row r="32" spans="1:26" ht="27">
      <c r="B32" s="3" t="s">
        <v>499</v>
      </c>
    </row>
    <row r="33" spans="2:8">
      <c r="B33" s="4" t="s">
        <v>447</v>
      </c>
      <c r="C33" s="11" t="s">
        <v>18</v>
      </c>
      <c r="D33" s="11">
        <v>2021</v>
      </c>
      <c r="E33" s="11">
        <v>2022</v>
      </c>
      <c r="F33" s="11">
        <v>2023</v>
      </c>
      <c r="G33" s="11">
        <v>2024</v>
      </c>
      <c r="H33" s="12">
        <v>2025</v>
      </c>
    </row>
    <row r="34" spans="2:8">
      <c r="B34" s="13" t="s">
        <v>448</v>
      </c>
      <c r="C34" t="s">
        <v>34</v>
      </c>
      <c r="D34" s="28">
        <v>5200</v>
      </c>
      <c r="E34" s="28">
        <v>4180</v>
      </c>
      <c r="F34" s="28">
        <v>4660</v>
      </c>
      <c r="G34" t="s">
        <v>451</v>
      </c>
      <c r="H34" s="8" t="s">
        <v>451</v>
      </c>
    </row>
    <row r="35" spans="2:8">
      <c r="B35" s="13" t="s">
        <v>449</v>
      </c>
      <c r="C35" t="s">
        <v>34</v>
      </c>
      <c r="D35" s="28">
        <v>0</v>
      </c>
      <c r="E35" s="28">
        <v>0</v>
      </c>
      <c r="F35" s="28">
        <v>0</v>
      </c>
      <c r="G35" t="s">
        <v>451</v>
      </c>
      <c r="H35" s="8" t="s">
        <v>451</v>
      </c>
    </row>
    <row r="36" spans="2:8">
      <c r="B36" s="13" t="s">
        <v>450</v>
      </c>
      <c r="C36" t="s">
        <v>34</v>
      </c>
      <c r="D36" s="28" t="s">
        <v>451</v>
      </c>
      <c r="E36" s="28">
        <v>3540</v>
      </c>
      <c r="F36" s="28" t="s">
        <v>451</v>
      </c>
      <c r="G36" t="s">
        <v>451</v>
      </c>
      <c r="H36" s="8" t="s">
        <v>451</v>
      </c>
    </row>
    <row r="37" spans="2:8">
      <c r="B37" s="13" t="s">
        <v>452</v>
      </c>
      <c r="C37" t="s">
        <v>34</v>
      </c>
      <c r="D37" s="28" t="s">
        <v>451</v>
      </c>
      <c r="E37" s="28" t="s">
        <v>451</v>
      </c>
      <c r="F37" s="28" t="s">
        <v>451</v>
      </c>
      <c r="G37" t="s">
        <v>451</v>
      </c>
      <c r="H37" s="8" t="s">
        <v>451</v>
      </c>
    </row>
    <row r="38" spans="2:8">
      <c r="B38" s="13" t="s">
        <v>453</v>
      </c>
      <c r="C38" t="s">
        <v>34</v>
      </c>
      <c r="D38" s="28">
        <v>12300</v>
      </c>
      <c r="E38" s="28">
        <v>12800</v>
      </c>
      <c r="F38" s="28">
        <v>12300</v>
      </c>
      <c r="G38" t="s">
        <v>451</v>
      </c>
      <c r="H38" s="8" t="s">
        <v>451</v>
      </c>
    </row>
    <row r="39" spans="2:8">
      <c r="B39" s="13" t="s">
        <v>454</v>
      </c>
      <c r="C39" t="s">
        <v>34</v>
      </c>
      <c r="D39" s="28">
        <v>1780</v>
      </c>
      <c r="E39" s="28" t="s">
        <v>451</v>
      </c>
      <c r="F39" s="28">
        <v>3140</v>
      </c>
      <c r="G39" t="s">
        <v>451</v>
      </c>
      <c r="H39" s="8" t="s">
        <v>451</v>
      </c>
    </row>
    <row r="40" spans="2:8">
      <c r="B40" s="13" t="s">
        <v>455</v>
      </c>
      <c r="C40" t="s">
        <v>34</v>
      </c>
      <c r="D40" s="28">
        <v>0</v>
      </c>
      <c r="E40" s="28">
        <v>0</v>
      </c>
      <c r="F40" s="28">
        <v>0</v>
      </c>
      <c r="G40" t="s">
        <v>451</v>
      </c>
      <c r="H40" s="8" t="s">
        <v>451</v>
      </c>
    </row>
    <row r="41" spans="2:8">
      <c r="B41" s="13" t="s">
        <v>456</v>
      </c>
      <c r="C41" t="s">
        <v>34</v>
      </c>
      <c r="D41" s="28">
        <v>0</v>
      </c>
      <c r="E41" s="28">
        <v>0</v>
      </c>
      <c r="F41" s="28">
        <v>0</v>
      </c>
      <c r="G41" t="s">
        <v>451</v>
      </c>
      <c r="H41" s="8" t="s">
        <v>451</v>
      </c>
    </row>
    <row r="42" spans="2:8">
      <c r="B42" s="13" t="s">
        <v>457</v>
      </c>
      <c r="C42" t="s">
        <v>34</v>
      </c>
      <c r="D42" s="28">
        <v>8580</v>
      </c>
      <c r="E42" s="28">
        <v>7370</v>
      </c>
      <c r="F42" s="28">
        <v>5370</v>
      </c>
      <c r="G42" t="s">
        <v>451</v>
      </c>
      <c r="H42" s="8" t="s">
        <v>451</v>
      </c>
    </row>
    <row r="43" spans="2:8">
      <c r="B43" s="13" t="s">
        <v>458</v>
      </c>
      <c r="C43" t="s">
        <v>34</v>
      </c>
      <c r="D43" s="28">
        <v>801</v>
      </c>
      <c r="E43" s="28">
        <v>617</v>
      </c>
      <c r="F43" s="28">
        <v>530</v>
      </c>
      <c r="G43" t="s">
        <v>451</v>
      </c>
      <c r="H43" s="8" t="s">
        <v>451</v>
      </c>
    </row>
    <row r="44" spans="2:8">
      <c r="B44" s="13" t="s">
        <v>459</v>
      </c>
      <c r="C44" t="s">
        <v>34</v>
      </c>
      <c r="D44" s="28">
        <v>0</v>
      </c>
      <c r="E44" s="28">
        <v>0</v>
      </c>
      <c r="F44" s="28">
        <v>0</v>
      </c>
      <c r="G44" t="s">
        <v>451</v>
      </c>
      <c r="H44" s="8" t="s">
        <v>451</v>
      </c>
    </row>
    <row r="45" spans="2:8">
      <c r="B45" s="13" t="s">
        <v>460</v>
      </c>
      <c r="C45" t="s">
        <v>34</v>
      </c>
      <c r="D45" s="28">
        <v>0</v>
      </c>
      <c r="E45" s="28">
        <v>0</v>
      </c>
      <c r="F45" s="28">
        <v>0</v>
      </c>
      <c r="G45" t="s">
        <v>451</v>
      </c>
      <c r="H45" s="8" t="s">
        <v>451</v>
      </c>
    </row>
    <row r="46" spans="2:8">
      <c r="B46" s="13" t="s">
        <v>461</v>
      </c>
      <c r="C46" t="s">
        <v>34</v>
      </c>
      <c r="D46" s="28" t="s">
        <v>451</v>
      </c>
      <c r="E46" s="28" t="s">
        <v>451</v>
      </c>
      <c r="F46" s="28" t="s">
        <v>451</v>
      </c>
      <c r="G46" t="s">
        <v>451</v>
      </c>
      <c r="H46" s="8" t="s">
        <v>451</v>
      </c>
    </row>
    <row r="47" spans="2:8">
      <c r="B47" s="13" t="s">
        <v>462</v>
      </c>
      <c r="C47" t="s">
        <v>34</v>
      </c>
      <c r="D47" s="28" t="s">
        <v>451</v>
      </c>
      <c r="E47" s="28">
        <v>3250</v>
      </c>
      <c r="F47" s="28">
        <v>3520</v>
      </c>
      <c r="G47" t="s">
        <v>451</v>
      </c>
      <c r="H47" s="8" t="s">
        <v>451</v>
      </c>
    </row>
    <row r="48" spans="2:8">
      <c r="B48" s="13" t="s">
        <v>463</v>
      </c>
      <c r="C48" t="s">
        <v>34</v>
      </c>
      <c r="D48" s="28">
        <v>2170</v>
      </c>
      <c r="E48" s="28">
        <v>2130</v>
      </c>
      <c r="F48" s="28">
        <v>2150</v>
      </c>
      <c r="G48" t="s">
        <v>451</v>
      </c>
      <c r="H48" s="8" t="s">
        <v>451</v>
      </c>
    </row>
    <row r="49" spans="2:8">
      <c r="B49" s="13" t="s">
        <v>464</v>
      </c>
      <c r="C49" t="s">
        <v>34</v>
      </c>
      <c r="D49" s="28" t="s">
        <v>451</v>
      </c>
      <c r="E49" s="28" t="s">
        <v>451</v>
      </c>
      <c r="F49" s="28" t="s">
        <v>451</v>
      </c>
      <c r="G49" t="s">
        <v>451</v>
      </c>
      <c r="H49" s="8" t="s">
        <v>451</v>
      </c>
    </row>
    <row r="50" spans="2:8">
      <c r="B50" s="13" t="s">
        <v>465</v>
      </c>
      <c r="C50" t="s">
        <v>34</v>
      </c>
      <c r="D50" s="28">
        <v>2040</v>
      </c>
      <c r="E50" s="28">
        <v>2000</v>
      </c>
      <c r="F50" s="28">
        <v>1770</v>
      </c>
      <c r="G50" t="s">
        <v>451</v>
      </c>
      <c r="H50" s="8" t="s">
        <v>451</v>
      </c>
    </row>
    <row r="51" spans="2:8">
      <c r="B51" s="13" t="s">
        <v>466</v>
      </c>
      <c r="C51" t="s">
        <v>34</v>
      </c>
      <c r="D51" s="28" t="s">
        <v>451</v>
      </c>
      <c r="E51" s="28">
        <v>0</v>
      </c>
      <c r="F51" s="28">
        <v>0</v>
      </c>
      <c r="G51" t="s">
        <v>451</v>
      </c>
      <c r="H51" s="8" t="s">
        <v>451</v>
      </c>
    </row>
    <row r="52" spans="2:8">
      <c r="B52" s="13" t="s">
        <v>467</v>
      </c>
      <c r="C52" t="s">
        <v>34</v>
      </c>
      <c r="D52" s="28">
        <v>466</v>
      </c>
      <c r="E52" s="28">
        <v>466</v>
      </c>
      <c r="F52" s="28">
        <v>394</v>
      </c>
      <c r="G52" t="s">
        <v>451</v>
      </c>
      <c r="H52" s="8" t="s">
        <v>451</v>
      </c>
    </row>
    <row r="53" spans="2:8">
      <c r="B53" s="13" t="s">
        <v>468</v>
      </c>
      <c r="C53" t="s">
        <v>34</v>
      </c>
      <c r="D53" s="28">
        <v>4010</v>
      </c>
      <c r="E53" s="28">
        <v>3910</v>
      </c>
      <c r="F53" s="28">
        <v>3660</v>
      </c>
      <c r="G53" t="s">
        <v>451</v>
      </c>
      <c r="H53" s="8" t="s">
        <v>451</v>
      </c>
    </row>
    <row r="54" spans="2:8">
      <c r="B54" s="13" t="s">
        <v>469</v>
      </c>
      <c r="C54" t="s">
        <v>34</v>
      </c>
      <c r="D54" s="28">
        <v>0</v>
      </c>
      <c r="E54" s="28">
        <v>0</v>
      </c>
      <c r="F54" s="28">
        <v>0</v>
      </c>
      <c r="G54" t="s">
        <v>451</v>
      </c>
      <c r="H54" s="8" t="s">
        <v>451</v>
      </c>
    </row>
    <row r="55" spans="2:8">
      <c r="B55" s="13" t="s">
        <v>470</v>
      </c>
      <c r="C55" t="s">
        <v>34</v>
      </c>
      <c r="D55" s="28">
        <v>4780</v>
      </c>
      <c r="E55" s="28">
        <v>5980</v>
      </c>
      <c r="F55" s="28" t="s">
        <v>451</v>
      </c>
      <c r="G55" t="s">
        <v>451</v>
      </c>
      <c r="H55" s="8" t="s">
        <v>451</v>
      </c>
    </row>
    <row r="56" spans="2:8">
      <c r="B56" s="13" t="s">
        <v>471</v>
      </c>
      <c r="C56" t="s">
        <v>34</v>
      </c>
      <c r="D56" s="28">
        <v>0</v>
      </c>
      <c r="E56" s="28">
        <v>0</v>
      </c>
      <c r="F56" s="28">
        <v>0</v>
      </c>
      <c r="G56" t="s">
        <v>451</v>
      </c>
      <c r="H56" s="8" t="s">
        <v>451</v>
      </c>
    </row>
    <row r="57" spans="2:8">
      <c r="B57" s="13" t="s">
        <v>472</v>
      </c>
      <c r="C57" t="s">
        <v>34</v>
      </c>
      <c r="D57" s="28">
        <v>0</v>
      </c>
      <c r="E57" s="28">
        <v>0</v>
      </c>
      <c r="F57" s="28">
        <v>0</v>
      </c>
      <c r="G57" t="s">
        <v>451</v>
      </c>
      <c r="H57" s="8" t="s">
        <v>451</v>
      </c>
    </row>
    <row r="58" spans="2:8">
      <c r="B58" s="13" t="s">
        <v>473</v>
      </c>
      <c r="C58" t="s">
        <v>34</v>
      </c>
      <c r="D58" s="28">
        <v>12100</v>
      </c>
      <c r="E58" s="28">
        <v>12300</v>
      </c>
      <c r="F58" s="28">
        <v>11900</v>
      </c>
      <c r="G58" t="s">
        <v>451</v>
      </c>
      <c r="H58" s="8" t="s">
        <v>451</v>
      </c>
    </row>
    <row r="59" spans="2:8">
      <c r="B59" s="13" t="s">
        <v>474</v>
      </c>
      <c r="C59" t="s">
        <v>34</v>
      </c>
      <c r="D59" s="28">
        <v>781</v>
      </c>
      <c r="E59" s="28">
        <v>750</v>
      </c>
      <c r="F59" s="28">
        <v>718</v>
      </c>
      <c r="G59" t="s">
        <v>451</v>
      </c>
      <c r="H59" s="8" t="s">
        <v>451</v>
      </c>
    </row>
    <row r="60" spans="2:8">
      <c r="B60" s="13" t="s">
        <v>475</v>
      </c>
      <c r="C60" t="s">
        <v>34</v>
      </c>
      <c r="D60" s="28">
        <v>0</v>
      </c>
      <c r="E60" s="28" t="s">
        <v>451</v>
      </c>
      <c r="F60" s="28" t="s">
        <v>451</v>
      </c>
      <c r="G60" t="s">
        <v>451</v>
      </c>
      <c r="H60" s="8" t="s">
        <v>451</v>
      </c>
    </row>
    <row r="61" spans="2:8">
      <c r="B61" s="13" t="s">
        <v>476</v>
      </c>
      <c r="C61" t="s">
        <v>34</v>
      </c>
      <c r="D61" s="28" t="s">
        <v>451</v>
      </c>
      <c r="E61" s="28">
        <v>464</v>
      </c>
      <c r="F61" s="28">
        <v>599</v>
      </c>
      <c r="G61" t="s">
        <v>451</v>
      </c>
      <c r="H61" s="8" t="s">
        <v>451</v>
      </c>
    </row>
    <row r="62" spans="2:8">
      <c r="B62" s="13" t="s">
        <v>477</v>
      </c>
      <c r="C62" t="s">
        <v>34</v>
      </c>
      <c r="D62" s="28">
        <v>0</v>
      </c>
      <c r="E62" s="28">
        <v>0</v>
      </c>
      <c r="F62" s="28">
        <v>0</v>
      </c>
      <c r="G62" t="s">
        <v>451</v>
      </c>
      <c r="H62" s="8" t="s">
        <v>451</v>
      </c>
    </row>
    <row r="63" spans="2:8">
      <c r="B63" s="13" t="s">
        <v>478</v>
      </c>
      <c r="C63" t="s">
        <v>34</v>
      </c>
      <c r="D63" s="28">
        <v>0</v>
      </c>
      <c r="E63" s="28">
        <v>0</v>
      </c>
      <c r="F63" s="28">
        <v>0</v>
      </c>
      <c r="G63" t="s">
        <v>451</v>
      </c>
      <c r="H63" s="8" t="s">
        <v>451</v>
      </c>
    </row>
    <row r="64" spans="2:8">
      <c r="B64" s="13" t="s">
        <v>479</v>
      </c>
      <c r="C64" t="s">
        <v>34</v>
      </c>
      <c r="D64" s="28">
        <v>494</v>
      </c>
      <c r="E64" s="28">
        <v>514</v>
      </c>
      <c r="F64" s="28">
        <v>514</v>
      </c>
      <c r="G64" t="s">
        <v>451</v>
      </c>
      <c r="H64" s="8" t="s">
        <v>451</v>
      </c>
    </row>
    <row r="65" spans="2:8">
      <c r="B65" s="13" t="s">
        <v>480</v>
      </c>
      <c r="C65" t="s">
        <v>34</v>
      </c>
      <c r="D65" s="28">
        <v>1910</v>
      </c>
      <c r="E65" s="28">
        <v>1940</v>
      </c>
      <c r="F65" s="28">
        <v>2150</v>
      </c>
      <c r="G65" t="s">
        <v>451</v>
      </c>
      <c r="H65" s="8" t="s">
        <v>451</v>
      </c>
    </row>
    <row r="66" spans="2:8">
      <c r="B66" s="13" t="s">
        <v>481</v>
      </c>
      <c r="C66" t="s">
        <v>34</v>
      </c>
      <c r="D66" s="28">
        <v>0</v>
      </c>
      <c r="E66" s="28">
        <v>0</v>
      </c>
      <c r="F66" s="28">
        <v>0</v>
      </c>
      <c r="G66" t="s">
        <v>451</v>
      </c>
      <c r="H66" s="8" t="s">
        <v>451</v>
      </c>
    </row>
    <row r="67" spans="2:8">
      <c r="B67" s="13" t="s">
        <v>482</v>
      </c>
      <c r="C67" t="s">
        <v>34</v>
      </c>
      <c r="D67" s="28">
        <v>0</v>
      </c>
      <c r="E67" s="28">
        <v>0</v>
      </c>
      <c r="F67" s="28">
        <v>0</v>
      </c>
      <c r="G67" t="s">
        <v>451</v>
      </c>
      <c r="H67" s="8" t="s">
        <v>451</v>
      </c>
    </row>
    <row r="68" spans="2:8">
      <c r="B68" s="13" t="s">
        <v>483</v>
      </c>
      <c r="C68" t="s">
        <v>34</v>
      </c>
      <c r="D68" s="28" t="s">
        <v>451</v>
      </c>
      <c r="E68" s="28">
        <v>1280</v>
      </c>
      <c r="F68" s="28">
        <v>1140</v>
      </c>
      <c r="G68" t="s">
        <v>451</v>
      </c>
      <c r="H68" s="8" t="s">
        <v>451</v>
      </c>
    </row>
    <row r="69" spans="2:8">
      <c r="B69" s="13" t="s">
        <v>484</v>
      </c>
      <c r="C69" t="s">
        <v>34</v>
      </c>
      <c r="D69" s="28">
        <v>2090</v>
      </c>
      <c r="E69" s="28">
        <v>1040</v>
      </c>
      <c r="F69" s="28">
        <v>1890</v>
      </c>
      <c r="G69" t="s">
        <v>451</v>
      </c>
      <c r="H69" s="8" t="s">
        <v>451</v>
      </c>
    </row>
    <row r="70" spans="2:8">
      <c r="B70" s="13" t="s">
        <v>485</v>
      </c>
      <c r="C70" t="s">
        <v>34</v>
      </c>
      <c r="D70" s="28">
        <v>1070</v>
      </c>
      <c r="E70" s="28">
        <v>1180</v>
      </c>
      <c r="F70" s="28" t="s">
        <v>451</v>
      </c>
      <c r="G70" t="s">
        <v>451</v>
      </c>
      <c r="H70" s="8" t="s">
        <v>451</v>
      </c>
    </row>
    <row r="71" spans="2:8">
      <c r="B71" s="13" t="s">
        <v>486</v>
      </c>
      <c r="C71" t="s">
        <v>34</v>
      </c>
      <c r="D71" s="28">
        <v>5810</v>
      </c>
      <c r="E71" s="28">
        <v>5990</v>
      </c>
      <c r="F71" s="28">
        <v>5190</v>
      </c>
      <c r="G71" t="s">
        <v>451</v>
      </c>
      <c r="H71" s="8" t="s">
        <v>451</v>
      </c>
    </row>
    <row r="72" spans="2:8">
      <c r="B72" s="13" t="s">
        <v>487</v>
      </c>
      <c r="C72" t="s">
        <v>34</v>
      </c>
      <c r="D72" s="28">
        <v>0</v>
      </c>
      <c r="E72" s="28">
        <v>0</v>
      </c>
      <c r="F72" s="28">
        <v>0</v>
      </c>
      <c r="G72" t="s">
        <v>451</v>
      </c>
      <c r="H72" s="8" t="s">
        <v>451</v>
      </c>
    </row>
    <row r="73" spans="2:8">
      <c r="B73" s="13" t="s">
        <v>488</v>
      </c>
      <c r="C73" t="s">
        <v>34</v>
      </c>
      <c r="D73" s="28">
        <v>2010</v>
      </c>
      <c r="E73" s="28">
        <v>2310</v>
      </c>
      <c r="F73" s="28">
        <v>2060</v>
      </c>
      <c r="G73" t="s">
        <v>451</v>
      </c>
      <c r="H73" s="8" t="s">
        <v>451</v>
      </c>
    </row>
    <row r="74" spans="2:8">
      <c r="B74" s="13" t="s">
        <v>489</v>
      </c>
      <c r="C74" t="s">
        <v>34</v>
      </c>
      <c r="D74" s="28">
        <v>971</v>
      </c>
      <c r="E74" s="28">
        <v>1100</v>
      </c>
      <c r="F74" s="28" t="s">
        <v>451</v>
      </c>
      <c r="G74" t="s">
        <v>451</v>
      </c>
      <c r="H74" s="8" t="s">
        <v>451</v>
      </c>
    </row>
    <row r="75" spans="2:8">
      <c r="B75" s="13" t="s">
        <v>490</v>
      </c>
      <c r="C75" t="s">
        <v>34</v>
      </c>
      <c r="D75" s="28" t="s">
        <v>451</v>
      </c>
      <c r="E75" s="28" t="s">
        <v>451</v>
      </c>
      <c r="F75" s="28" t="s">
        <v>451</v>
      </c>
      <c r="G75" t="s">
        <v>451</v>
      </c>
      <c r="H75" s="8" t="s">
        <v>451</v>
      </c>
    </row>
    <row r="76" spans="2:8">
      <c r="B76" s="13" t="s">
        <v>491</v>
      </c>
      <c r="C76" t="s">
        <v>34</v>
      </c>
      <c r="D76" s="28">
        <v>17400</v>
      </c>
      <c r="E76" s="28">
        <v>17700</v>
      </c>
      <c r="F76" s="28">
        <v>20300</v>
      </c>
      <c r="G76" t="s">
        <v>451</v>
      </c>
      <c r="H76" s="8" t="s">
        <v>451</v>
      </c>
    </row>
    <row r="77" spans="2:8">
      <c r="B77" s="13" t="s">
        <v>492</v>
      </c>
      <c r="C77" t="s">
        <v>34</v>
      </c>
      <c r="D77" s="28" t="s">
        <v>451</v>
      </c>
      <c r="E77" s="28" t="s">
        <v>451</v>
      </c>
      <c r="F77" s="28" t="s">
        <v>451</v>
      </c>
      <c r="G77" t="s">
        <v>451</v>
      </c>
      <c r="H77" s="8" t="s">
        <v>451</v>
      </c>
    </row>
    <row r="78" spans="2:8">
      <c r="B78" s="13" t="s">
        <v>493</v>
      </c>
      <c r="C78" t="s">
        <v>34</v>
      </c>
      <c r="D78" s="28">
        <v>0</v>
      </c>
      <c r="E78" s="28">
        <v>0</v>
      </c>
      <c r="F78" s="28">
        <v>0</v>
      </c>
      <c r="G78" t="s">
        <v>451</v>
      </c>
      <c r="H78" s="8" t="s">
        <v>451</v>
      </c>
    </row>
    <row r="79" spans="2:8">
      <c r="B79" s="13" t="s">
        <v>494</v>
      </c>
      <c r="C79" t="s">
        <v>34</v>
      </c>
      <c r="D79" s="28">
        <v>1340</v>
      </c>
      <c r="E79" s="28">
        <v>1410</v>
      </c>
      <c r="F79" s="28">
        <v>1460</v>
      </c>
      <c r="G79" t="s">
        <v>451</v>
      </c>
      <c r="H79" s="8" t="s">
        <v>451</v>
      </c>
    </row>
    <row r="80" spans="2:8">
      <c r="B80" s="13" t="s">
        <v>495</v>
      </c>
      <c r="C80" t="s">
        <v>34</v>
      </c>
      <c r="D80" s="28" t="s">
        <v>451</v>
      </c>
      <c r="E80" s="28">
        <v>599</v>
      </c>
      <c r="F80" s="28">
        <v>637</v>
      </c>
      <c r="G80" t="s">
        <v>451</v>
      </c>
      <c r="H80" s="8" t="s">
        <v>451</v>
      </c>
    </row>
    <row r="81" spans="2:10">
      <c r="B81" s="13" t="s">
        <v>496</v>
      </c>
      <c r="C81" t="s">
        <v>34</v>
      </c>
      <c r="D81" s="28" t="s">
        <v>451</v>
      </c>
      <c r="E81" s="28" t="s">
        <v>451</v>
      </c>
      <c r="F81" s="28" t="s">
        <v>451</v>
      </c>
      <c r="G81" t="s">
        <v>451</v>
      </c>
      <c r="H81" s="8" t="s">
        <v>451</v>
      </c>
    </row>
    <row r="82" spans="2:10">
      <c r="B82" s="13" t="s">
        <v>497</v>
      </c>
      <c r="C82" t="s">
        <v>34</v>
      </c>
      <c r="D82" s="28">
        <v>0</v>
      </c>
      <c r="E82" s="28">
        <v>0</v>
      </c>
      <c r="F82" s="28">
        <v>0</v>
      </c>
      <c r="G82" t="s">
        <v>451</v>
      </c>
      <c r="H82" s="8" t="s">
        <v>451</v>
      </c>
    </row>
    <row r="83" spans="2:10">
      <c r="B83" s="13" t="s">
        <v>498</v>
      </c>
      <c r="C83" t="s">
        <v>34</v>
      </c>
      <c r="D83" s="28">
        <v>826</v>
      </c>
      <c r="E83" s="28" t="s">
        <v>451</v>
      </c>
      <c r="F83" s="28" t="s">
        <v>451</v>
      </c>
      <c r="G83" t="s">
        <v>451</v>
      </c>
      <c r="H83" s="8" t="s">
        <v>451</v>
      </c>
    </row>
    <row r="84" spans="2:10">
      <c r="B84" s="14" t="s">
        <v>500</v>
      </c>
      <c r="C84" s="15" t="s">
        <v>34</v>
      </c>
      <c r="D84" s="29">
        <v>20800</v>
      </c>
      <c r="E84" s="29">
        <v>14400</v>
      </c>
      <c r="F84" s="29">
        <v>23500</v>
      </c>
      <c r="G84" s="29">
        <f>1500000*0.7*E16</f>
        <v>164459.1642911454</v>
      </c>
      <c r="H84" s="30">
        <f>1500000*0.7*E16</f>
        <v>164459.1642911454</v>
      </c>
      <c r="J84" s="28"/>
    </row>
    <row r="85" spans="2:10">
      <c r="B85" t="s">
        <v>501</v>
      </c>
      <c r="F85" s="28"/>
    </row>
    <row r="86" spans="2:10">
      <c r="B86" t="s">
        <v>502</v>
      </c>
    </row>
    <row r="87" spans="2:10">
      <c r="B87" t="s">
        <v>503</v>
      </c>
    </row>
    <row r="89" spans="2:10" ht="27">
      <c r="B89" s="3" t="s">
        <v>504</v>
      </c>
    </row>
    <row r="90" spans="2:10">
      <c r="B90" s="4" t="s">
        <v>447</v>
      </c>
      <c r="C90" s="11" t="s">
        <v>18</v>
      </c>
      <c r="D90" s="11">
        <v>2021</v>
      </c>
      <c r="E90" s="11">
        <v>2022</v>
      </c>
      <c r="F90" s="11">
        <v>2023</v>
      </c>
      <c r="G90" s="11">
        <v>2024</v>
      </c>
      <c r="H90" s="12">
        <v>2025</v>
      </c>
    </row>
    <row r="91" spans="2:10">
      <c r="B91" s="13" t="s">
        <v>448</v>
      </c>
      <c r="C91" t="s">
        <v>34</v>
      </c>
      <c r="D91" s="28">
        <v>7920</v>
      </c>
      <c r="E91" s="28">
        <v>8190</v>
      </c>
      <c r="F91" s="28">
        <v>6360</v>
      </c>
      <c r="G91" t="s">
        <v>451</v>
      </c>
      <c r="H91" s="8" t="s">
        <v>451</v>
      </c>
    </row>
    <row r="92" spans="2:10">
      <c r="B92" s="13" t="s">
        <v>449</v>
      </c>
      <c r="C92" t="s">
        <v>34</v>
      </c>
      <c r="D92" s="28">
        <v>0</v>
      </c>
      <c r="E92" s="28">
        <v>0</v>
      </c>
      <c r="F92" s="28">
        <v>0</v>
      </c>
      <c r="G92" t="s">
        <v>451</v>
      </c>
      <c r="H92" s="8" t="s">
        <v>451</v>
      </c>
    </row>
    <row r="93" spans="2:10">
      <c r="B93" s="13" t="s">
        <v>450</v>
      </c>
      <c r="C93" t="s">
        <v>34</v>
      </c>
      <c r="D93" s="28">
        <v>330</v>
      </c>
      <c r="E93" s="28">
        <v>506</v>
      </c>
      <c r="F93" s="28">
        <v>1440</v>
      </c>
      <c r="G93" t="s">
        <v>451</v>
      </c>
      <c r="H93" s="8" t="s">
        <v>451</v>
      </c>
    </row>
    <row r="94" spans="2:10">
      <c r="B94" s="13" t="s">
        <v>452</v>
      </c>
      <c r="C94" t="s">
        <v>34</v>
      </c>
      <c r="D94" s="28" t="s">
        <v>451</v>
      </c>
      <c r="E94" s="28" t="s">
        <v>451</v>
      </c>
      <c r="F94" s="28" t="s">
        <v>451</v>
      </c>
      <c r="G94" t="s">
        <v>451</v>
      </c>
      <c r="H94" s="8" t="s">
        <v>451</v>
      </c>
    </row>
    <row r="95" spans="2:10">
      <c r="B95" s="13" t="s">
        <v>453</v>
      </c>
      <c r="C95" t="s">
        <v>34</v>
      </c>
      <c r="D95" s="28">
        <v>555</v>
      </c>
      <c r="E95" s="28" t="s">
        <v>451</v>
      </c>
      <c r="F95" s="28" t="s">
        <v>451</v>
      </c>
      <c r="G95" t="s">
        <v>451</v>
      </c>
      <c r="H95" s="8" t="s">
        <v>451</v>
      </c>
    </row>
    <row r="96" spans="2:10">
      <c r="B96" s="13" t="s">
        <v>454</v>
      </c>
      <c r="C96" t="s">
        <v>34</v>
      </c>
      <c r="D96" s="28">
        <v>0</v>
      </c>
      <c r="E96" s="28">
        <v>0</v>
      </c>
      <c r="F96" s="28">
        <v>0</v>
      </c>
      <c r="G96" t="s">
        <v>451</v>
      </c>
      <c r="H96" s="8" t="s">
        <v>451</v>
      </c>
    </row>
    <row r="97" spans="2:8">
      <c r="B97" s="13" t="s">
        <v>455</v>
      </c>
      <c r="C97" t="s">
        <v>34</v>
      </c>
      <c r="D97" s="28">
        <v>0</v>
      </c>
      <c r="E97" s="28">
        <v>0</v>
      </c>
      <c r="F97" s="28">
        <v>0</v>
      </c>
      <c r="G97" t="s">
        <v>451</v>
      </c>
      <c r="H97" s="8" t="s">
        <v>451</v>
      </c>
    </row>
    <row r="98" spans="2:8">
      <c r="B98" s="13" t="s">
        <v>456</v>
      </c>
      <c r="C98" t="s">
        <v>34</v>
      </c>
      <c r="D98" s="28">
        <v>0</v>
      </c>
      <c r="E98" s="28">
        <v>0</v>
      </c>
      <c r="F98" s="28">
        <v>0</v>
      </c>
      <c r="G98" t="s">
        <v>451</v>
      </c>
      <c r="H98" s="8" t="s">
        <v>451</v>
      </c>
    </row>
    <row r="99" spans="2:8">
      <c r="B99" s="13" t="s">
        <v>457</v>
      </c>
      <c r="C99" t="s">
        <v>34</v>
      </c>
      <c r="D99" s="28">
        <v>1890</v>
      </c>
      <c r="E99" s="28">
        <v>519</v>
      </c>
      <c r="F99" s="28">
        <v>2790</v>
      </c>
      <c r="G99" t="s">
        <v>451</v>
      </c>
      <c r="H99" s="8" t="s">
        <v>451</v>
      </c>
    </row>
    <row r="100" spans="2:8">
      <c r="B100" s="13" t="s">
        <v>458</v>
      </c>
      <c r="C100" t="s">
        <v>34</v>
      </c>
      <c r="D100" s="28">
        <v>0</v>
      </c>
      <c r="E100" s="28">
        <v>0</v>
      </c>
      <c r="F100" s="28">
        <v>0</v>
      </c>
      <c r="G100" t="s">
        <v>451</v>
      </c>
      <c r="H100" s="8" t="s">
        <v>451</v>
      </c>
    </row>
    <row r="101" spans="2:8">
      <c r="B101" s="13" t="s">
        <v>459</v>
      </c>
      <c r="C101" t="s">
        <v>34</v>
      </c>
      <c r="D101" s="28">
        <v>0</v>
      </c>
      <c r="E101" s="28">
        <v>0</v>
      </c>
      <c r="F101" s="28">
        <v>0</v>
      </c>
      <c r="G101" t="s">
        <v>451</v>
      </c>
      <c r="H101" s="8" t="s">
        <v>451</v>
      </c>
    </row>
    <row r="102" spans="2:8">
      <c r="B102" s="13" t="s">
        <v>460</v>
      </c>
      <c r="C102" t="s">
        <v>34</v>
      </c>
      <c r="D102" s="28">
        <v>0</v>
      </c>
      <c r="E102" s="28">
        <v>0</v>
      </c>
      <c r="F102" s="28">
        <v>0</v>
      </c>
      <c r="G102" t="s">
        <v>451</v>
      </c>
      <c r="H102" s="8" t="s">
        <v>451</v>
      </c>
    </row>
    <row r="103" spans="2:8">
      <c r="B103" s="13" t="s">
        <v>461</v>
      </c>
      <c r="C103" t="s">
        <v>34</v>
      </c>
      <c r="D103" s="28">
        <v>0</v>
      </c>
      <c r="E103" s="28">
        <v>0</v>
      </c>
      <c r="F103" s="28">
        <v>0</v>
      </c>
      <c r="G103" t="s">
        <v>451</v>
      </c>
      <c r="H103" s="8" t="s">
        <v>451</v>
      </c>
    </row>
    <row r="104" spans="2:8">
      <c r="B104" s="13" t="s">
        <v>462</v>
      </c>
      <c r="C104" t="s">
        <v>34</v>
      </c>
      <c r="D104" s="28">
        <v>0</v>
      </c>
      <c r="E104" s="28">
        <v>0</v>
      </c>
      <c r="F104" s="28">
        <v>0</v>
      </c>
      <c r="G104" t="s">
        <v>451</v>
      </c>
      <c r="H104" s="8" t="s">
        <v>451</v>
      </c>
    </row>
    <row r="105" spans="2:8">
      <c r="B105" s="13" t="s">
        <v>463</v>
      </c>
      <c r="C105" t="s">
        <v>34</v>
      </c>
      <c r="D105" s="28">
        <v>406</v>
      </c>
      <c r="E105" s="28" t="s">
        <v>451</v>
      </c>
      <c r="F105" s="28" t="s">
        <v>451</v>
      </c>
      <c r="G105" t="s">
        <v>451</v>
      </c>
      <c r="H105" s="8" t="s">
        <v>451</v>
      </c>
    </row>
    <row r="106" spans="2:8">
      <c r="B106" s="13" t="s">
        <v>464</v>
      </c>
      <c r="C106" t="s">
        <v>34</v>
      </c>
      <c r="D106" s="28">
        <v>0</v>
      </c>
      <c r="E106" s="28">
        <v>0</v>
      </c>
      <c r="F106" s="28">
        <v>0</v>
      </c>
      <c r="G106" t="s">
        <v>451</v>
      </c>
      <c r="H106" s="8" t="s">
        <v>451</v>
      </c>
    </row>
    <row r="107" spans="2:8">
      <c r="B107" s="13" t="s">
        <v>465</v>
      </c>
      <c r="C107" t="s">
        <v>34</v>
      </c>
      <c r="D107" s="28">
        <v>2210</v>
      </c>
      <c r="E107" s="28" t="s">
        <v>451</v>
      </c>
      <c r="F107" s="28">
        <v>6</v>
      </c>
      <c r="G107" t="s">
        <v>451</v>
      </c>
      <c r="H107" s="8" t="s">
        <v>451</v>
      </c>
    </row>
    <row r="108" spans="2:8">
      <c r="B108" s="13" t="s">
        <v>466</v>
      </c>
      <c r="C108" t="s">
        <v>34</v>
      </c>
      <c r="D108" s="28">
        <v>0</v>
      </c>
      <c r="E108" s="28">
        <v>0</v>
      </c>
      <c r="F108" s="28">
        <v>0</v>
      </c>
      <c r="G108" t="s">
        <v>451</v>
      </c>
      <c r="H108" s="8" t="s">
        <v>451</v>
      </c>
    </row>
    <row r="109" spans="2:8">
      <c r="B109" s="13" t="s">
        <v>467</v>
      </c>
      <c r="C109" t="s">
        <v>34</v>
      </c>
      <c r="D109" s="28">
        <v>0</v>
      </c>
      <c r="E109" s="28">
        <v>0</v>
      </c>
      <c r="F109" s="28">
        <v>0</v>
      </c>
      <c r="G109" t="s">
        <v>451</v>
      </c>
      <c r="H109" s="8" t="s">
        <v>451</v>
      </c>
    </row>
    <row r="110" spans="2:8">
      <c r="B110" s="13" t="s">
        <v>468</v>
      </c>
      <c r="C110" t="s">
        <v>34</v>
      </c>
      <c r="D110" s="28">
        <v>0</v>
      </c>
      <c r="E110" s="28">
        <v>0</v>
      </c>
      <c r="F110" s="28">
        <v>0</v>
      </c>
      <c r="G110" t="s">
        <v>451</v>
      </c>
      <c r="H110" s="8" t="s">
        <v>451</v>
      </c>
    </row>
    <row r="111" spans="2:8">
      <c r="B111" s="13" t="s">
        <v>469</v>
      </c>
      <c r="C111" t="s">
        <v>34</v>
      </c>
      <c r="D111" s="28">
        <v>212</v>
      </c>
      <c r="E111" s="28">
        <v>425</v>
      </c>
      <c r="F111" s="28">
        <v>418</v>
      </c>
      <c r="G111" t="s">
        <v>451</v>
      </c>
      <c r="H111" s="8" t="s">
        <v>451</v>
      </c>
    </row>
    <row r="112" spans="2:8">
      <c r="B112" s="13" t="s">
        <v>470</v>
      </c>
      <c r="C112" t="s">
        <v>34</v>
      </c>
      <c r="D112" s="28" t="s">
        <v>451</v>
      </c>
      <c r="E112" s="28" t="s">
        <v>451</v>
      </c>
      <c r="F112" s="28">
        <v>0</v>
      </c>
      <c r="G112" t="s">
        <v>451</v>
      </c>
      <c r="H112" s="8" t="s">
        <v>451</v>
      </c>
    </row>
    <row r="113" spans="2:8">
      <c r="B113" s="13" t="s">
        <v>471</v>
      </c>
      <c r="C113" t="s">
        <v>34</v>
      </c>
      <c r="D113" s="28">
        <v>0</v>
      </c>
      <c r="E113" s="28">
        <v>0</v>
      </c>
      <c r="F113" s="28">
        <v>0</v>
      </c>
      <c r="G113" t="s">
        <v>451</v>
      </c>
      <c r="H113" s="8" t="s">
        <v>451</v>
      </c>
    </row>
    <row r="114" spans="2:8">
      <c r="B114" s="13" t="s">
        <v>472</v>
      </c>
      <c r="C114" t="s">
        <v>34</v>
      </c>
      <c r="D114" s="28">
        <v>0</v>
      </c>
      <c r="E114" s="28">
        <v>0</v>
      </c>
      <c r="F114" s="28">
        <v>0</v>
      </c>
      <c r="G114" t="s">
        <v>451</v>
      </c>
      <c r="H114" s="8" t="s">
        <v>451</v>
      </c>
    </row>
    <row r="115" spans="2:8">
      <c r="B115" s="13" t="s">
        <v>473</v>
      </c>
      <c r="C115" t="s">
        <v>34</v>
      </c>
      <c r="D115" s="28">
        <v>9130</v>
      </c>
      <c r="E115" s="28">
        <v>8540</v>
      </c>
      <c r="F115" s="28">
        <v>8150</v>
      </c>
      <c r="G115" t="s">
        <v>451</v>
      </c>
      <c r="H115" s="8" t="s">
        <v>451</v>
      </c>
    </row>
    <row r="116" spans="2:8">
      <c r="B116" s="13" t="s">
        <v>474</v>
      </c>
      <c r="C116" t="s">
        <v>34</v>
      </c>
      <c r="D116" s="28" t="s">
        <v>451</v>
      </c>
      <c r="E116" s="28" t="s">
        <v>451</v>
      </c>
      <c r="F116" s="28" t="s">
        <v>451</v>
      </c>
      <c r="G116" t="s">
        <v>451</v>
      </c>
      <c r="H116" s="8" t="s">
        <v>451</v>
      </c>
    </row>
    <row r="117" spans="2:8">
      <c r="B117" s="13" t="s">
        <v>475</v>
      </c>
      <c r="C117" t="s">
        <v>34</v>
      </c>
      <c r="D117" s="28">
        <v>0</v>
      </c>
      <c r="E117" s="28">
        <v>0</v>
      </c>
      <c r="F117" s="28">
        <v>0</v>
      </c>
      <c r="G117" t="s">
        <v>451</v>
      </c>
      <c r="H117" s="8" t="s">
        <v>451</v>
      </c>
    </row>
    <row r="118" spans="2:8">
      <c r="B118" s="13" t="s">
        <v>476</v>
      </c>
      <c r="C118" t="s">
        <v>34</v>
      </c>
      <c r="D118" s="28" t="s">
        <v>451</v>
      </c>
      <c r="E118" s="28" t="s">
        <v>451</v>
      </c>
      <c r="F118" s="28" t="s">
        <v>451</v>
      </c>
      <c r="G118" t="s">
        <v>451</v>
      </c>
      <c r="H118" s="8" t="s">
        <v>451</v>
      </c>
    </row>
    <row r="119" spans="2:8">
      <c r="B119" s="13" t="s">
        <v>477</v>
      </c>
      <c r="C119" t="s">
        <v>34</v>
      </c>
      <c r="D119" s="28">
        <v>0</v>
      </c>
      <c r="E119" s="28">
        <v>0</v>
      </c>
      <c r="F119" s="28">
        <v>0</v>
      </c>
      <c r="G119" t="s">
        <v>451</v>
      </c>
      <c r="H119" s="8" t="s">
        <v>451</v>
      </c>
    </row>
    <row r="120" spans="2:8">
      <c r="B120" s="13" t="s">
        <v>478</v>
      </c>
      <c r="C120" t="s">
        <v>34</v>
      </c>
      <c r="D120" s="28">
        <v>0</v>
      </c>
      <c r="E120" s="28">
        <v>0</v>
      </c>
      <c r="F120" s="28">
        <v>0</v>
      </c>
      <c r="G120" t="s">
        <v>451</v>
      </c>
      <c r="H120" s="8" t="s">
        <v>451</v>
      </c>
    </row>
    <row r="121" spans="2:8">
      <c r="B121" s="13" t="s">
        <v>479</v>
      </c>
      <c r="C121" t="s">
        <v>34</v>
      </c>
      <c r="D121" s="28">
        <v>0</v>
      </c>
      <c r="E121" s="28">
        <v>0</v>
      </c>
      <c r="F121" s="28">
        <v>0</v>
      </c>
      <c r="G121" t="s">
        <v>451</v>
      </c>
      <c r="H121" s="8" t="s">
        <v>451</v>
      </c>
    </row>
    <row r="122" spans="2:8">
      <c r="B122" s="13" t="s">
        <v>480</v>
      </c>
      <c r="C122" t="s">
        <v>34</v>
      </c>
      <c r="D122" s="28" t="s">
        <v>451</v>
      </c>
      <c r="E122" s="28" t="s">
        <v>451</v>
      </c>
      <c r="F122" s="28">
        <v>0</v>
      </c>
      <c r="G122" t="s">
        <v>451</v>
      </c>
      <c r="H122" s="8" t="s">
        <v>451</v>
      </c>
    </row>
    <row r="123" spans="2:8">
      <c r="B123" s="13" t="s">
        <v>481</v>
      </c>
      <c r="C123" t="s">
        <v>34</v>
      </c>
      <c r="D123" s="28">
        <v>0</v>
      </c>
      <c r="E123" s="28">
        <v>0</v>
      </c>
      <c r="F123" s="28">
        <v>0</v>
      </c>
      <c r="G123" t="s">
        <v>451</v>
      </c>
      <c r="H123" s="8" t="s">
        <v>451</v>
      </c>
    </row>
    <row r="124" spans="2:8">
      <c r="B124" s="13" t="s">
        <v>482</v>
      </c>
      <c r="C124" t="s">
        <v>34</v>
      </c>
      <c r="D124" s="28">
        <v>0</v>
      </c>
      <c r="E124" s="28">
        <v>0</v>
      </c>
      <c r="F124" s="28">
        <v>0</v>
      </c>
      <c r="G124" t="s">
        <v>451</v>
      </c>
      <c r="H124" s="8" t="s">
        <v>451</v>
      </c>
    </row>
    <row r="125" spans="2:8">
      <c r="B125" s="13" t="s">
        <v>483</v>
      </c>
      <c r="C125" t="s">
        <v>34</v>
      </c>
      <c r="D125" s="28" t="s">
        <v>451</v>
      </c>
      <c r="E125" s="28">
        <v>2030</v>
      </c>
      <c r="F125" s="28">
        <v>255</v>
      </c>
      <c r="G125" t="s">
        <v>451</v>
      </c>
      <c r="H125" s="8" t="s">
        <v>451</v>
      </c>
    </row>
    <row r="126" spans="2:8">
      <c r="B126" s="13" t="s">
        <v>484</v>
      </c>
      <c r="C126" t="s">
        <v>34</v>
      </c>
      <c r="D126" s="28" t="s">
        <v>451</v>
      </c>
      <c r="E126" s="28">
        <v>349</v>
      </c>
      <c r="F126" s="28">
        <v>395</v>
      </c>
      <c r="G126" t="s">
        <v>451</v>
      </c>
      <c r="H126" s="8" t="s">
        <v>451</v>
      </c>
    </row>
    <row r="127" spans="2:8">
      <c r="B127" s="13" t="s">
        <v>485</v>
      </c>
      <c r="C127" t="s">
        <v>34</v>
      </c>
      <c r="D127" s="28">
        <v>0</v>
      </c>
      <c r="E127" s="28">
        <v>0</v>
      </c>
      <c r="F127" s="28">
        <v>0</v>
      </c>
      <c r="G127" t="s">
        <v>451</v>
      </c>
      <c r="H127" s="8" t="s">
        <v>451</v>
      </c>
    </row>
    <row r="128" spans="2:8">
      <c r="B128" s="13" t="s">
        <v>486</v>
      </c>
      <c r="C128" t="s">
        <v>34</v>
      </c>
      <c r="D128" s="28">
        <v>3980</v>
      </c>
      <c r="E128" s="28">
        <v>3690</v>
      </c>
      <c r="F128" s="28" t="s">
        <v>451</v>
      </c>
      <c r="G128" t="s">
        <v>451</v>
      </c>
      <c r="H128" s="8" t="s">
        <v>451</v>
      </c>
    </row>
    <row r="129" spans="2:14">
      <c r="B129" s="13" t="s">
        <v>487</v>
      </c>
      <c r="C129" t="s">
        <v>34</v>
      </c>
      <c r="D129" s="28">
        <v>0</v>
      </c>
      <c r="E129" s="28">
        <v>0</v>
      </c>
      <c r="F129" s="28">
        <v>0</v>
      </c>
      <c r="G129" t="s">
        <v>451</v>
      </c>
      <c r="H129" s="8" t="s">
        <v>451</v>
      </c>
    </row>
    <row r="130" spans="2:14">
      <c r="B130" s="13" t="s">
        <v>488</v>
      </c>
      <c r="C130" t="s">
        <v>34</v>
      </c>
      <c r="D130" s="28">
        <v>0</v>
      </c>
      <c r="E130" s="28">
        <v>0</v>
      </c>
      <c r="F130" s="28">
        <v>0</v>
      </c>
      <c r="G130" t="s">
        <v>451</v>
      </c>
      <c r="H130" s="8" t="s">
        <v>451</v>
      </c>
    </row>
    <row r="131" spans="2:14">
      <c r="B131" s="13" t="s">
        <v>489</v>
      </c>
      <c r="C131" t="s">
        <v>34</v>
      </c>
      <c r="D131" s="28">
        <v>1060</v>
      </c>
      <c r="E131" s="28">
        <v>933</v>
      </c>
      <c r="F131" s="28">
        <v>895</v>
      </c>
      <c r="G131" t="s">
        <v>451</v>
      </c>
      <c r="H131" s="8" t="s">
        <v>451</v>
      </c>
    </row>
    <row r="132" spans="2:14">
      <c r="B132" s="13" t="s">
        <v>490</v>
      </c>
      <c r="C132" t="s">
        <v>34</v>
      </c>
      <c r="D132" s="28">
        <v>252</v>
      </c>
      <c r="E132" s="28">
        <v>226</v>
      </c>
      <c r="F132" s="28">
        <v>0</v>
      </c>
      <c r="G132" t="s">
        <v>451</v>
      </c>
      <c r="H132" s="8" t="s">
        <v>451</v>
      </c>
    </row>
    <row r="133" spans="2:14">
      <c r="B133" s="13" t="s">
        <v>491</v>
      </c>
      <c r="C133" t="s">
        <v>34</v>
      </c>
      <c r="D133" s="28">
        <v>2460</v>
      </c>
      <c r="E133" s="28">
        <v>4550</v>
      </c>
      <c r="F133" s="28">
        <v>3960</v>
      </c>
      <c r="G133" t="s">
        <v>451</v>
      </c>
      <c r="H133" s="8" t="s">
        <v>451</v>
      </c>
    </row>
    <row r="134" spans="2:14">
      <c r="B134" s="13" t="s">
        <v>492</v>
      </c>
      <c r="C134" t="s">
        <v>34</v>
      </c>
      <c r="D134" s="28" t="s">
        <v>451</v>
      </c>
      <c r="E134" s="28" t="s">
        <v>451</v>
      </c>
      <c r="F134" s="28" t="s">
        <v>451</v>
      </c>
      <c r="G134" t="s">
        <v>451</v>
      </c>
      <c r="H134" s="8" t="s">
        <v>451</v>
      </c>
    </row>
    <row r="135" spans="2:14">
      <c r="B135" s="13" t="s">
        <v>493</v>
      </c>
      <c r="C135" t="s">
        <v>34</v>
      </c>
      <c r="D135" s="28">
        <v>0</v>
      </c>
      <c r="E135" s="28">
        <v>0</v>
      </c>
      <c r="F135" s="28">
        <v>0</v>
      </c>
      <c r="G135" t="s">
        <v>451</v>
      </c>
      <c r="H135" s="8" t="s">
        <v>451</v>
      </c>
    </row>
    <row r="136" spans="2:14">
      <c r="B136" s="13" t="s">
        <v>494</v>
      </c>
      <c r="C136" t="s">
        <v>34</v>
      </c>
      <c r="D136" s="28">
        <v>0</v>
      </c>
      <c r="E136" s="28">
        <v>394</v>
      </c>
      <c r="F136" s="28" t="s">
        <v>451</v>
      </c>
      <c r="G136" t="s">
        <v>451</v>
      </c>
      <c r="H136" s="8" t="s">
        <v>451</v>
      </c>
    </row>
    <row r="137" spans="2:14">
      <c r="B137" s="13" t="s">
        <v>495</v>
      </c>
      <c r="C137" t="s">
        <v>34</v>
      </c>
      <c r="D137" s="28">
        <v>6</v>
      </c>
      <c r="E137" s="28">
        <v>8</v>
      </c>
      <c r="F137" s="28">
        <v>8</v>
      </c>
      <c r="G137" t="s">
        <v>451</v>
      </c>
      <c r="H137" s="8" t="s">
        <v>451</v>
      </c>
    </row>
    <row r="138" spans="2:14">
      <c r="B138" s="13" t="s">
        <v>496</v>
      </c>
      <c r="C138" t="s">
        <v>34</v>
      </c>
      <c r="D138" s="28">
        <v>0</v>
      </c>
      <c r="E138" s="28">
        <v>0</v>
      </c>
      <c r="F138" s="28">
        <v>0</v>
      </c>
      <c r="G138" t="s">
        <v>451</v>
      </c>
      <c r="H138" s="8" t="s">
        <v>451</v>
      </c>
      <c r="J138" s="28"/>
      <c r="K138" s="28"/>
      <c r="L138" s="28"/>
      <c r="M138" s="28"/>
    </row>
    <row r="139" spans="2:14">
      <c r="B139" s="13" t="s">
        <v>497</v>
      </c>
      <c r="C139" t="s">
        <v>34</v>
      </c>
      <c r="D139" s="28">
        <v>262</v>
      </c>
      <c r="E139" s="28">
        <v>256</v>
      </c>
      <c r="F139" s="28">
        <v>0</v>
      </c>
      <c r="G139" t="s">
        <v>451</v>
      </c>
      <c r="H139" s="8" t="s">
        <v>451</v>
      </c>
    </row>
    <row r="140" spans="2:14">
      <c r="B140" s="13" t="s">
        <v>498</v>
      </c>
      <c r="C140" t="s">
        <v>34</v>
      </c>
      <c r="D140" s="28">
        <v>0</v>
      </c>
      <c r="E140" s="28">
        <v>0</v>
      </c>
      <c r="F140" s="28">
        <v>0</v>
      </c>
      <c r="G140" t="s">
        <v>451</v>
      </c>
      <c r="H140" s="8" t="s">
        <v>451</v>
      </c>
    </row>
    <row r="141" spans="2:14">
      <c r="B141" s="14" t="s">
        <v>500</v>
      </c>
      <c r="C141" s="15" t="s">
        <v>34</v>
      </c>
      <c r="D141" s="29">
        <v>10000</v>
      </c>
      <c r="E141" s="29">
        <v>10100</v>
      </c>
      <c r="F141" s="29">
        <v>8360</v>
      </c>
      <c r="G141" s="29">
        <f>1500000*0.7*$E$17</f>
        <v>48590.207631474783</v>
      </c>
      <c r="H141" s="30">
        <f>1500000*0.7*$E$17</f>
        <v>48590.207631474783</v>
      </c>
      <c r="J141" s="28"/>
      <c r="K141" s="28"/>
      <c r="L141" s="28"/>
      <c r="M141" s="28"/>
      <c r="N141" s="28"/>
    </row>
    <row r="142" spans="2:14">
      <c r="B142" t="s">
        <v>501</v>
      </c>
    </row>
    <row r="143" spans="2:14">
      <c r="B143" t="s">
        <v>502</v>
      </c>
      <c r="F143" s="28"/>
    </row>
    <row r="144" spans="2:14">
      <c r="B144" t="s">
        <v>503</v>
      </c>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8" spans="1:26" ht="24">
      <c r="B148" s="3" t="s">
        <v>17</v>
      </c>
    </row>
    <row r="149" spans="1:26">
      <c r="B149" s="4" t="s">
        <v>16</v>
      </c>
      <c r="C149" s="11" t="s">
        <v>18</v>
      </c>
      <c r="D149" s="37" t="s">
        <v>174</v>
      </c>
      <c r="E149" s="11">
        <v>2021</v>
      </c>
      <c r="F149" s="11">
        <v>2022</v>
      </c>
      <c r="G149" s="11">
        <v>2023</v>
      </c>
      <c r="H149" s="11">
        <v>2024</v>
      </c>
      <c r="I149" s="12">
        <v>2025</v>
      </c>
    </row>
    <row r="150" spans="1:26" ht="20">
      <c r="B150" s="31" t="s">
        <v>322</v>
      </c>
      <c r="C150" s="17" t="s">
        <v>323</v>
      </c>
      <c r="D150" s="28" t="s">
        <v>510</v>
      </c>
      <c r="E150" s="67">
        <f>_xlfn.XLOOKUP(_xlfn.CONCAT(_xlfn.TEXTSPLIT($D150,".")), 'S3. USITC FAS Value'!$B:$B,'S3. USITC FAS Value'!E:E)</f>
        <v>9147202</v>
      </c>
      <c r="F150" s="67">
        <f>_xlfn.XLOOKUP(_xlfn.CONCAT(_xlfn.TEXTSPLIT($D150,".")), 'S3. USITC FAS Value'!$B:$B,'S3. USITC FAS Value'!F:F)</f>
        <v>10897391</v>
      </c>
      <c r="G150" s="67">
        <f>_xlfn.XLOOKUP(_xlfn.CONCAT(_xlfn.TEXTSPLIT($D150,".")), 'S3. USITC FAS Value'!$B:$B,'S3. USITC FAS Value'!G:G)</f>
        <v>8767076</v>
      </c>
      <c r="H150" s="67">
        <f>_xlfn.XLOOKUP(_xlfn.CONCAT(_xlfn.TEXTSPLIT($D150,".")), 'S3. USITC FAS Value'!$B:$B,'S3. USITC FAS Value'!H:H)</f>
        <v>8754022</v>
      </c>
      <c r="I150" s="68">
        <f>_xlfn.XLOOKUP(_xlfn.CONCAT(_xlfn.TEXTSPLIT($D150,".")), 'S3. USITC FAS Value'!$B:$B,'S3. USITC FAS Value'!I:I)</f>
        <v>9162709</v>
      </c>
    </row>
    <row r="151" spans="1:26" ht="20">
      <c r="B151" s="31" t="s">
        <v>511</v>
      </c>
      <c r="C151" t="s">
        <v>326</v>
      </c>
      <c r="D151" s="28" t="s">
        <v>510</v>
      </c>
      <c r="E151" s="67">
        <f>1000*_xlfn.XLOOKUP(_xlfn.CONCAT(_xlfn.TEXTSPLIT($D151,".")), 'S2. USITC Exports'!$B:$B,'S2. USITC Exports'!$J:$J)*_xlfn.XLOOKUP(_xlfn.CONCAT(_xlfn.TEXTSPLIT($D151,".")), 'S2. USITC Exports'!$B:$B,'S2. USITC Exports'!E:E)</f>
        <v>56040</v>
      </c>
      <c r="F151" s="67">
        <f>1000*_xlfn.XLOOKUP(_xlfn.CONCAT(_xlfn.TEXTSPLIT($D151,".")), 'S2. USITC Exports'!$B:$B,'S2. USITC Exports'!$J:$J)*_xlfn.XLOOKUP(_xlfn.CONCAT(_xlfn.TEXTSPLIT($D151,".")), 'S2. USITC Exports'!$B:$B,'S2. USITC Exports'!F:F)</f>
        <v>67392</v>
      </c>
      <c r="G151" s="67">
        <f>1000*_xlfn.XLOOKUP(_xlfn.CONCAT(_xlfn.TEXTSPLIT($D151,".")), 'S2. USITC Exports'!$B:$B,'S2. USITC Exports'!$J:$J)*_xlfn.XLOOKUP(_xlfn.CONCAT(_xlfn.TEXTSPLIT($D151,".")), 'S2. USITC Exports'!$B:$B,'S2. USITC Exports'!G:G)</f>
        <v>57616</v>
      </c>
      <c r="H151" s="67">
        <f>1000*_xlfn.XLOOKUP(_xlfn.CONCAT(_xlfn.TEXTSPLIT($D151,".")), 'S2. USITC Exports'!$B:$B,'S2. USITC Exports'!$J:$J)*_xlfn.XLOOKUP(_xlfn.CONCAT(_xlfn.TEXTSPLIT($D151,".")), 'S2. USITC Exports'!$B:$B,'S2. USITC Exports'!H:H)</f>
        <v>62103</v>
      </c>
      <c r="I151" s="68">
        <f>1000*_xlfn.XLOOKUP(_xlfn.CONCAT(_xlfn.TEXTSPLIT($D151,".")), 'S2. USITC Exports'!$B:$B,'S2. USITC Exports'!$J:$J)*_xlfn.XLOOKUP(_xlfn.CONCAT(_xlfn.TEXTSPLIT($D151,".")), 'S2. USITC Exports'!$B:$B,'S2. USITC Exports'!I:I)</f>
        <v>63443</v>
      </c>
    </row>
    <row r="152" spans="1:26" ht="35" customHeight="1">
      <c r="B152" s="23" t="s">
        <v>327</v>
      </c>
      <c r="C152" s="15" t="s">
        <v>33</v>
      </c>
      <c r="D152" s="15" t="s">
        <v>29</v>
      </c>
      <c r="E152" s="52">
        <f>E150/E151</f>
        <v>163.22630264097074</v>
      </c>
      <c r="F152" s="52">
        <f t="shared" ref="F152:I152" si="0">F150/F151</f>
        <v>161.70155211301045</v>
      </c>
      <c r="G152" s="52">
        <f t="shared" si="0"/>
        <v>152.16391280199946</v>
      </c>
      <c r="H152" s="52">
        <f t="shared" si="0"/>
        <v>140.95972819348501</v>
      </c>
      <c r="I152" s="53">
        <f t="shared" si="0"/>
        <v>144.42427060511011</v>
      </c>
    </row>
    <row r="153" spans="1:26">
      <c r="B153" s="33" t="s">
        <v>214</v>
      </c>
    </row>
    <row r="154" spans="1:26">
      <c r="B154" t="s">
        <v>512</v>
      </c>
    </row>
  </sheetData>
  <mergeCells count="4">
    <mergeCell ref="B27:G27"/>
    <mergeCell ref="B28:G28"/>
    <mergeCell ref="B29:G29"/>
    <mergeCell ref="G14:K19"/>
  </mergeCells>
  <hyperlinks>
    <hyperlink ref="C7" r:id="rId1" xr:uid="{4171B4B9-B722-7343-AE2C-6AA249B5B052}"/>
    <hyperlink ref="B20" r:id="rId2" xr:uid="{FA411F5E-B69D-4B44-A983-4A61FBBA7446}"/>
    <hyperlink ref="B30" r:id="rId3" xr:uid="{712584BE-089A-DC43-BBB8-86F5ADECCC4D}"/>
    <hyperlink ref="B153" r:id="rId4" display="(1) Source: USITC DataWeb, Imports for Consumption" xr:uid="{C882D795-8EE7-7B49-95CE-DCB1C97BF45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005B-0171-9B41-8B1C-2BC8C8CF2CD1}">
  <dimension ref="A1:Z31"/>
  <sheetViews>
    <sheetView workbookViewId="0">
      <selection activeCell="C21" sqref="C21"/>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24</v>
      </c>
    </row>
    <row r="3" spans="1:26" ht="16" customHeight="1">
      <c r="B3" t="s">
        <v>145</v>
      </c>
    </row>
    <row r="5" spans="1:26" ht="24">
      <c r="B5" s="3" t="s">
        <v>0</v>
      </c>
    </row>
    <row r="6" spans="1:26" ht="18">
      <c r="B6" s="4" t="s">
        <v>1</v>
      </c>
      <c r="C6" s="5" t="s">
        <v>25</v>
      </c>
    </row>
    <row r="7" spans="1:26">
      <c r="B7" s="6" t="s">
        <v>2</v>
      </c>
      <c r="C7" s="7" t="s">
        <v>26</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41" t="s">
        <v>30</v>
      </c>
      <c r="H14" s="141"/>
      <c r="I14" s="141"/>
      <c r="J14" s="141"/>
    </row>
    <row r="15" spans="1:26" ht="28" customHeight="1">
      <c r="B15" s="14" t="s">
        <v>27</v>
      </c>
      <c r="C15" s="15" t="s">
        <v>28</v>
      </c>
      <c r="D15" s="15" t="s">
        <v>29</v>
      </c>
      <c r="E15" s="20">
        <v>1</v>
      </c>
      <c r="G15" s="141"/>
      <c r="H15" s="141"/>
      <c r="I15" s="141"/>
      <c r="J15" s="141"/>
    </row>
    <row r="16" spans="1:26">
      <c r="B16" s="21" t="s">
        <v>51</v>
      </c>
      <c r="G16" s="141"/>
      <c r="H16" s="141"/>
      <c r="I16" s="141"/>
      <c r="J16" s="14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20" spans="1:26" ht="24">
      <c r="B20" s="3" t="s">
        <v>13</v>
      </c>
    </row>
    <row r="21" spans="1:26" ht="19">
      <c r="B21" s="18" t="s">
        <v>14</v>
      </c>
      <c r="C21" s="19" t="s">
        <v>586</v>
      </c>
    </row>
    <row r="22" spans="1:26" ht="16" customHeight="1">
      <c r="B22" s="4" t="s">
        <v>16</v>
      </c>
      <c r="C22" s="11" t="s">
        <v>18</v>
      </c>
      <c r="D22" s="11">
        <v>2021</v>
      </c>
      <c r="E22" s="11">
        <v>2022</v>
      </c>
      <c r="F22" s="11">
        <v>2023</v>
      </c>
      <c r="G22" s="11">
        <v>2024</v>
      </c>
      <c r="H22" s="12">
        <v>2025</v>
      </c>
      <c r="J22" s="140" t="s">
        <v>32</v>
      </c>
      <c r="K22" s="140"/>
      <c r="L22" s="140"/>
      <c r="M22" s="140"/>
    </row>
    <row r="23" spans="1:26" ht="37">
      <c r="B23" s="23" t="s">
        <v>46</v>
      </c>
      <c r="C23" s="15" t="s">
        <v>34</v>
      </c>
      <c r="D23" s="29">
        <v>391</v>
      </c>
      <c r="E23" s="29">
        <v>448</v>
      </c>
      <c r="F23" s="29">
        <v>378</v>
      </c>
      <c r="G23" s="29">
        <v>372</v>
      </c>
      <c r="H23" s="30">
        <v>360</v>
      </c>
      <c r="I23" s="22"/>
      <c r="J23" s="140"/>
      <c r="K23" s="140"/>
      <c r="L23" s="140"/>
      <c r="M23" s="140"/>
    </row>
    <row r="24" spans="1:26">
      <c r="B24" s="21" t="s">
        <v>51</v>
      </c>
      <c r="I24" s="22"/>
      <c r="J24" s="22"/>
      <c r="K24" s="22"/>
      <c r="L24" s="22"/>
      <c r="M24" s="22"/>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8" spans="1:26" ht="24">
      <c r="B28" s="3" t="s">
        <v>17</v>
      </c>
    </row>
    <row r="29" spans="1:26">
      <c r="B29" s="4" t="s">
        <v>16</v>
      </c>
      <c r="C29" s="11" t="s">
        <v>18</v>
      </c>
      <c r="D29" s="11">
        <v>2021</v>
      </c>
      <c r="E29" s="11">
        <v>2022</v>
      </c>
      <c r="F29" s="11">
        <v>2023</v>
      </c>
      <c r="G29" s="11">
        <v>2024</v>
      </c>
      <c r="H29" s="12">
        <v>2025</v>
      </c>
    </row>
    <row r="30" spans="1:26" ht="37">
      <c r="B30" s="23" t="s">
        <v>35</v>
      </c>
      <c r="C30" s="15" t="s">
        <v>33</v>
      </c>
      <c r="D30" s="15">
        <v>322</v>
      </c>
      <c r="E30" s="15">
        <v>387</v>
      </c>
      <c r="F30" s="15">
        <v>428</v>
      </c>
      <c r="G30" s="15">
        <v>464</v>
      </c>
      <c r="H30" s="10">
        <v>470</v>
      </c>
    </row>
    <row r="31" spans="1:26">
      <c r="B31" s="21" t="s">
        <v>51</v>
      </c>
    </row>
  </sheetData>
  <mergeCells count="2">
    <mergeCell ref="G14:J16"/>
    <mergeCell ref="J22:M23"/>
  </mergeCells>
  <hyperlinks>
    <hyperlink ref="C7" r:id="rId1" xr:uid="{546C54DD-74FD-7543-B848-47988AB88B36}"/>
    <hyperlink ref="B16" r:id="rId2" display="(1) USGS Mineral Commodity Summaries 2026, Fluorspar" xr:uid="{82E14883-DFCF-8A42-9E6A-57553BEA64B2}"/>
    <hyperlink ref="B24" r:id="rId3" display="(1) USGS Mineral Commodity Summaries 2026, Fluorspar" xr:uid="{215BB7E8-203C-7C45-81DE-A97E6B4C63EE}"/>
    <hyperlink ref="B31" r:id="rId4" display="(1) USGS Mineral Commodity Summaries 2026, Fluorspar" xr:uid="{1BF89394-CF9B-C04D-AF3F-6A22157936C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563C-600B-7B45-8AB6-2EED37130F6A}">
  <dimension ref="A1:Z42"/>
  <sheetViews>
    <sheetView topLeftCell="A7" workbookViewId="0">
      <selection activeCell="C29" sqref="C2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88</v>
      </c>
    </row>
    <row r="3" spans="1:26" ht="16" customHeight="1">
      <c r="B3" t="s">
        <v>145</v>
      </c>
    </row>
    <row r="5" spans="1:26" ht="24">
      <c r="B5" s="3" t="s">
        <v>0</v>
      </c>
    </row>
    <row r="6" spans="1:26" ht="18">
      <c r="B6" s="4" t="s">
        <v>1</v>
      </c>
      <c r="C6" s="5" t="s">
        <v>89</v>
      </c>
    </row>
    <row r="7" spans="1:26">
      <c r="B7" s="6" t="s">
        <v>2</v>
      </c>
      <c r="C7" s="7" t="s">
        <v>90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41" t="s">
        <v>105</v>
      </c>
      <c r="H14" s="141"/>
      <c r="I14" s="141"/>
      <c r="J14" s="141"/>
    </row>
    <row r="15" spans="1:26" ht="17">
      <c r="B15" s="13" t="s">
        <v>57</v>
      </c>
      <c r="C15" s="24" t="s">
        <v>91</v>
      </c>
      <c r="D15">
        <v>615</v>
      </c>
      <c r="E15" s="26">
        <f>D15/SUM(D$15:D$23)</f>
        <v>0.24949290060851928</v>
      </c>
      <c r="G15" s="141"/>
      <c r="H15" s="141"/>
      <c r="I15" s="141"/>
      <c r="J15" s="141"/>
    </row>
    <row r="16" spans="1:26" ht="34">
      <c r="B16" s="13" t="s">
        <v>92</v>
      </c>
      <c r="C16" s="24" t="s">
        <v>93</v>
      </c>
      <c r="D16">
        <v>878</v>
      </c>
      <c r="E16" s="26">
        <f t="shared" ref="E16:E23" si="0">D16/SUM(D$15:D$23)</f>
        <v>0.35618661257606493</v>
      </c>
      <c r="G16" s="141"/>
      <c r="H16" s="141"/>
      <c r="I16" s="141"/>
      <c r="J16" s="141"/>
    </row>
    <row r="17" spans="1:26" ht="17">
      <c r="B17" s="13" t="s">
        <v>94</v>
      </c>
      <c r="C17" s="24" t="s">
        <v>95</v>
      </c>
      <c r="D17">
        <v>446</v>
      </c>
      <c r="E17" s="26">
        <f t="shared" si="0"/>
        <v>0.18093306288032454</v>
      </c>
      <c r="G17" s="141"/>
      <c r="H17" s="141"/>
      <c r="I17" s="141"/>
      <c r="J17" s="141"/>
    </row>
    <row r="18" spans="1:26" ht="17">
      <c r="B18" s="13" t="s">
        <v>96</v>
      </c>
      <c r="C18" s="24" t="s">
        <v>97</v>
      </c>
      <c r="D18">
        <v>128</v>
      </c>
      <c r="E18" s="26">
        <f t="shared" si="0"/>
        <v>5.1926977687626774E-2</v>
      </c>
      <c r="G18" s="141"/>
      <c r="H18" s="141"/>
      <c r="I18" s="141"/>
      <c r="J18" s="141"/>
    </row>
    <row r="19" spans="1:26" ht="17">
      <c r="B19" s="13" t="s">
        <v>67</v>
      </c>
      <c r="C19" s="24" t="s">
        <v>98</v>
      </c>
      <c r="D19">
        <v>47</v>
      </c>
      <c r="E19" s="26">
        <f t="shared" si="0"/>
        <v>1.9066937119675456E-2</v>
      </c>
      <c r="G19" s="141"/>
      <c r="H19" s="141"/>
      <c r="I19" s="141"/>
      <c r="J19" s="141"/>
    </row>
    <row r="20" spans="1:26" ht="17">
      <c r="B20" s="13" t="s">
        <v>99</v>
      </c>
      <c r="C20" s="24" t="s">
        <v>100</v>
      </c>
      <c r="D20">
        <v>137</v>
      </c>
      <c r="E20" s="26">
        <f t="shared" si="0"/>
        <v>5.5578093306288032E-2</v>
      </c>
      <c r="G20" s="141"/>
      <c r="H20" s="141"/>
      <c r="I20" s="141"/>
      <c r="J20" s="141"/>
    </row>
    <row r="21" spans="1:26" ht="17">
      <c r="B21" s="13" t="s">
        <v>67</v>
      </c>
      <c r="C21" s="24" t="s">
        <v>101</v>
      </c>
      <c r="D21">
        <v>108</v>
      </c>
      <c r="E21" s="26">
        <f t="shared" si="0"/>
        <v>4.3813387423935091E-2</v>
      </c>
      <c r="G21" s="141"/>
      <c r="H21" s="141"/>
      <c r="I21" s="141"/>
      <c r="J21" s="141"/>
    </row>
    <row r="22" spans="1:26" ht="17">
      <c r="B22" s="13" t="s">
        <v>67</v>
      </c>
      <c r="C22" s="24" t="s">
        <v>102</v>
      </c>
      <c r="D22">
        <v>43</v>
      </c>
      <c r="E22" s="26">
        <f t="shared" si="0"/>
        <v>1.7444219066937119E-2</v>
      </c>
      <c r="G22" s="141"/>
      <c r="H22" s="141"/>
      <c r="I22" s="141"/>
      <c r="J22" s="141"/>
    </row>
    <row r="23" spans="1:26" ht="17">
      <c r="B23" s="14" t="s">
        <v>67</v>
      </c>
      <c r="C23" s="25" t="s">
        <v>103</v>
      </c>
      <c r="D23" s="15">
        <v>63</v>
      </c>
      <c r="E23" s="27">
        <f t="shared" si="0"/>
        <v>2.5557809330628803E-2</v>
      </c>
      <c r="G23" s="141"/>
      <c r="H23" s="141"/>
      <c r="I23" s="141"/>
      <c r="J23" s="141"/>
    </row>
    <row r="24" spans="1:26">
      <c r="B24" s="21" t="s">
        <v>104</v>
      </c>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8" spans="1:26" ht="24">
      <c r="B28" s="3" t="s">
        <v>13</v>
      </c>
    </row>
    <row r="29" spans="1:26" ht="19">
      <c r="B29" s="18" t="s">
        <v>14</v>
      </c>
      <c r="C29" s="19" t="s">
        <v>587</v>
      </c>
    </row>
    <row r="30" spans="1:26">
      <c r="B30" s="4" t="s">
        <v>16</v>
      </c>
      <c r="C30" s="11" t="s">
        <v>18</v>
      </c>
      <c r="D30" s="11">
        <v>2021</v>
      </c>
      <c r="E30" s="11">
        <v>2022</v>
      </c>
      <c r="F30" s="11">
        <v>2023</v>
      </c>
      <c r="G30" s="11">
        <v>2024</v>
      </c>
      <c r="H30" s="12">
        <v>2025</v>
      </c>
      <c r="J30" s="140" t="s">
        <v>108</v>
      </c>
      <c r="K30" s="140"/>
      <c r="L30" s="140"/>
      <c r="M30" s="140"/>
    </row>
    <row r="31" spans="1:26" ht="20">
      <c r="B31" s="31" t="s">
        <v>106</v>
      </c>
      <c r="C31" t="s">
        <v>34</v>
      </c>
      <c r="D31" s="28">
        <v>16600</v>
      </c>
      <c r="E31" s="28">
        <v>16800</v>
      </c>
      <c r="F31" s="28">
        <v>15800</v>
      </c>
      <c r="G31" s="28">
        <v>15000</v>
      </c>
      <c r="H31" s="32">
        <v>15000</v>
      </c>
      <c r="J31" s="140"/>
      <c r="K31" s="140"/>
      <c r="L31" s="140"/>
      <c r="M31" s="140"/>
    </row>
    <row r="32" spans="1:26" ht="37">
      <c r="B32" s="31" t="s">
        <v>107</v>
      </c>
      <c r="C32" t="s">
        <v>29</v>
      </c>
      <c r="D32">
        <v>0.15</v>
      </c>
      <c r="E32">
        <v>0.15</v>
      </c>
      <c r="F32">
        <v>0.15</v>
      </c>
      <c r="G32">
        <v>0.15</v>
      </c>
      <c r="H32" s="8">
        <v>0.15</v>
      </c>
      <c r="J32" s="140"/>
      <c r="K32" s="140"/>
      <c r="L32" s="140"/>
      <c r="M32" s="140"/>
    </row>
    <row r="33" spans="1:26" ht="17">
      <c r="B33" s="23" t="s">
        <v>123</v>
      </c>
      <c r="C33" s="15" t="s">
        <v>34</v>
      </c>
      <c r="D33" s="29">
        <f>D31*D32</f>
        <v>2490</v>
      </c>
      <c r="E33" s="29">
        <f t="shared" ref="E33:H33" si="1">E31*E32</f>
        <v>2520</v>
      </c>
      <c r="F33" s="29">
        <f t="shared" si="1"/>
        <v>2370</v>
      </c>
      <c r="G33" s="29">
        <f t="shared" si="1"/>
        <v>2250</v>
      </c>
      <c r="H33" s="30">
        <f t="shared" si="1"/>
        <v>2250</v>
      </c>
      <c r="J33" s="140"/>
      <c r="K33" s="140"/>
      <c r="L33" s="140"/>
      <c r="M33" s="140"/>
    </row>
    <row r="34" spans="1:26">
      <c r="B34" s="33" t="s">
        <v>109</v>
      </c>
    </row>
    <row r="35" spans="1:26">
      <c r="B35" s="33" t="s">
        <v>110</v>
      </c>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9" spans="1:26" ht="24">
      <c r="B39" s="3" t="s">
        <v>17</v>
      </c>
    </row>
    <row r="40" spans="1:26">
      <c r="B40" s="4" t="s">
        <v>16</v>
      </c>
      <c r="C40" s="11" t="s">
        <v>18</v>
      </c>
      <c r="D40" s="11">
        <v>2021</v>
      </c>
      <c r="E40" s="11">
        <v>2022</v>
      </c>
      <c r="F40" s="11">
        <v>2023</v>
      </c>
      <c r="G40" s="11">
        <v>2024</v>
      </c>
      <c r="H40" s="12">
        <v>2025</v>
      </c>
    </row>
    <row r="41" spans="1:26" ht="37">
      <c r="B41" s="23" t="s">
        <v>111</v>
      </c>
      <c r="C41" s="15" t="s">
        <v>33</v>
      </c>
      <c r="D41" s="15">
        <v>158</v>
      </c>
      <c r="E41" s="15">
        <v>179.1</v>
      </c>
      <c r="F41" s="15">
        <v>234.6</v>
      </c>
      <c r="G41" s="15">
        <v>274.2</v>
      </c>
      <c r="H41" s="10">
        <v>280</v>
      </c>
    </row>
    <row r="42" spans="1:26">
      <c r="B42" s="33" t="s">
        <v>109</v>
      </c>
    </row>
  </sheetData>
  <mergeCells count="2">
    <mergeCell ref="G14:J23"/>
    <mergeCell ref="J30:M33"/>
  </mergeCells>
  <hyperlinks>
    <hyperlink ref="C7" r:id="rId1" xr:uid="{B9923809-A4A3-4046-9A23-6A29482AD1BC}"/>
    <hyperlink ref="B24" r:id="rId2" xr:uid="{EC7D427E-6177-4241-8265-CAE1F616E4D0}"/>
    <hyperlink ref="B34" r:id="rId3" xr:uid="{87AD16DB-8309-374F-8EE3-FF572F7D34A2}"/>
    <hyperlink ref="B35" r:id="rId4" xr:uid="{62A46F02-1192-6E4C-B9E0-844A03EA9FC1}"/>
    <hyperlink ref="B42" r:id="rId5" xr:uid="{DC1B14B2-44FD-5241-ADE9-39B2778C0B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032C-0E0B-5A4B-AFA3-D40D79C340FE}">
  <dimension ref="A1:Z33"/>
  <sheetViews>
    <sheetView workbookViewId="0">
      <selection activeCell="C23" sqref="C23"/>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36</v>
      </c>
    </row>
    <row r="3" spans="1:26" ht="16" customHeight="1">
      <c r="B3" t="s">
        <v>145</v>
      </c>
    </row>
    <row r="5" spans="1:26" ht="24">
      <c r="B5" s="3" t="s">
        <v>0</v>
      </c>
    </row>
    <row r="6" spans="1:26" ht="18">
      <c r="B6" s="4" t="s">
        <v>1</v>
      </c>
      <c r="C6" s="5" t="s">
        <v>37</v>
      </c>
    </row>
    <row r="7" spans="1:26">
      <c r="B7" s="6" t="s">
        <v>2</v>
      </c>
      <c r="C7" s="7" t="s">
        <v>38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41" t="s">
        <v>45</v>
      </c>
      <c r="H14" s="141"/>
      <c r="I14" s="141"/>
      <c r="J14" s="141"/>
    </row>
    <row r="15" spans="1:26" ht="17">
      <c r="B15" s="13" t="s">
        <v>39</v>
      </c>
      <c r="C15" s="24" t="s">
        <v>40</v>
      </c>
      <c r="D15" s="28">
        <v>4400</v>
      </c>
      <c r="E15" s="26">
        <f>D15/SUM(D$15:D$17)</f>
        <v>0.11859838274932614</v>
      </c>
      <c r="G15" s="141"/>
      <c r="H15" s="141"/>
      <c r="I15" s="141"/>
      <c r="J15" s="141"/>
    </row>
    <row r="16" spans="1:26" ht="17">
      <c r="B16" s="13" t="s">
        <v>41</v>
      </c>
      <c r="C16" s="24" t="s">
        <v>42</v>
      </c>
      <c r="D16" s="28">
        <v>14400</v>
      </c>
      <c r="E16" s="26">
        <f t="shared" ref="E16:E17" si="0">D16/SUM(D$15:D$17)</f>
        <v>0.38814016172506738</v>
      </c>
      <c r="G16" s="141"/>
      <c r="H16" s="141"/>
      <c r="I16" s="141"/>
      <c r="J16" s="141"/>
    </row>
    <row r="17" spans="1:26" ht="34">
      <c r="B17" s="14" t="s">
        <v>43</v>
      </c>
      <c r="C17" s="25" t="s">
        <v>44</v>
      </c>
      <c r="D17" s="29">
        <v>18300</v>
      </c>
      <c r="E17" s="27">
        <f t="shared" si="0"/>
        <v>0.49326145552560646</v>
      </c>
      <c r="G17" s="141"/>
      <c r="H17" s="141"/>
      <c r="I17" s="141"/>
      <c r="J17" s="141"/>
    </row>
    <row r="18" spans="1:26">
      <c r="B18" s="21" t="s">
        <v>49</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586</v>
      </c>
    </row>
    <row r="24" spans="1:26">
      <c r="B24" s="4" t="s">
        <v>16</v>
      </c>
      <c r="C24" s="11" t="s">
        <v>18</v>
      </c>
      <c r="D24" s="11">
        <v>2021</v>
      </c>
      <c r="E24" s="11">
        <v>2022</v>
      </c>
      <c r="F24" s="11">
        <v>2023</v>
      </c>
      <c r="G24" s="11">
        <v>2024</v>
      </c>
      <c r="H24" s="12">
        <v>2025</v>
      </c>
    </row>
    <row r="25" spans="1:26" ht="19">
      <c r="B25" s="14" t="s">
        <v>47</v>
      </c>
      <c r="C25" s="15" t="s">
        <v>34</v>
      </c>
      <c r="D25" s="29">
        <v>3200</v>
      </c>
      <c r="E25" s="29">
        <v>44600</v>
      </c>
      <c r="F25" s="29">
        <v>5800</v>
      </c>
      <c r="G25" s="29">
        <v>44900</v>
      </c>
      <c r="H25" s="30">
        <v>44000</v>
      </c>
    </row>
    <row r="26" spans="1:26">
      <c r="B26" s="21" t="s">
        <v>50</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17</v>
      </c>
    </row>
    <row r="31" spans="1:26">
      <c r="B31" s="4" t="s">
        <v>16</v>
      </c>
      <c r="C31" s="11" t="s">
        <v>18</v>
      </c>
      <c r="D31" s="11">
        <v>2021</v>
      </c>
      <c r="E31" s="11">
        <v>2022</v>
      </c>
      <c r="F31" s="11">
        <v>2023</v>
      </c>
      <c r="G31" s="11">
        <v>2024</v>
      </c>
      <c r="H31" s="12">
        <v>2025</v>
      </c>
    </row>
    <row r="32" spans="1:26" ht="37">
      <c r="B32" s="23" t="s">
        <v>48</v>
      </c>
      <c r="C32" s="15" t="s">
        <v>33</v>
      </c>
      <c r="D32" s="15">
        <v>42</v>
      </c>
      <c r="E32" s="15">
        <v>50</v>
      </c>
      <c r="F32" s="15">
        <v>60</v>
      </c>
      <c r="G32" s="15">
        <v>60</v>
      </c>
      <c r="H32" s="10">
        <v>62</v>
      </c>
    </row>
    <row r="33" spans="2:2">
      <c r="B33" s="21" t="s">
        <v>50</v>
      </c>
    </row>
  </sheetData>
  <mergeCells count="1">
    <mergeCell ref="G14:J17"/>
  </mergeCells>
  <hyperlinks>
    <hyperlink ref="C7" r:id="rId1" xr:uid="{F7D49E8E-0E5E-0246-BC70-BC8E79FDFBF9}"/>
    <hyperlink ref="B18" r:id="rId2" display="(1) USGS Minerals Yearbook 2023, Gypsum" xr:uid="{77911598-31DE-CF48-A337-50237F730DE2}"/>
    <hyperlink ref="B26" r:id="rId3" display="(1) USGS Mineral Commodity Summaries 2026 Gypsum" xr:uid="{20172DAB-0D78-DD4D-8B29-4FD08D76C123}"/>
    <hyperlink ref="B33" r:id="rId4" display="(1) USGS Mineral Commodity Summaries 2026 Gypsum" xr:uid="{15F9D047-71B9-4D46-91CC-800EFDFC95A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EC41-FFD3-8246-A06D-D709C85B86FB}">
  <dimension ref="A1:Z67"/>
  <sheetViews>
    <sheetView topLeftCell="A57" workbookViewId="0">
      <selection activeCell="B19" sqref="B1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297</v>
      </c>
    </row>
    <row r="3" spans="1:26" ht="16" customHeight="1">
      <c r="B3" t="s">
        <v>145</v>
      </c>
    </row>
    <row r="5" spans="1:26" ht="24">
      <c r="B5" s="3" t="s">
        <v>0</v>
      </c>
    </row>
    <row r="6" spans="1:26">
      <c r="B6" s="4" t="s">
        <v>1</v>
      </c>
      <c r="C6" s="86" t="s">
        <v>298</v>
      </c>
    </row>
    <row r="7" spans="1:26">
      <c r="B7" s="6" t="s">
        <v>300</v>
      </c>
      <c r="C7" s="117" t="s">
        <v>299</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51"/>
      <c r="H14" s="51"/>
      <c r="I14" s="51"/>
      <c r="J14" s="51"/>
    </row>
    <row r="15" spans="1:26">
      <c r="B15" s="94" t="s">
        <v>301</v>
      </c>
      <c r="C15" s="17" t="s">
        <v>302</v>
      </c>
      <c r="D15" s="17" t="s">
        <v>29</v>
      </c>
      <c r="E15" s="108">
        <v>0.3</v>
      </c>
      <c r="G15" s="51"/>
      <c r="H15" s="51"/>
      <c r="I15" s="51"/>
      <c r="J15" s="51"/>
    </row>
    <row r="16" spans="1:26">
      <c r="B16" s="94" t="s">
        <v>303</v>
      </c>
      <c r="C16" s="17" t="s">
        <v>304</v>
      </c>
      <c r="D16" s="17" t="s">
        <v>29</v>
      </c>
      <c r="E16" s="108">
        <v>0.19</v>
      </c>
      <c r="G16" s="51"/>
      <c r="H16" s="51"/>
      <c r="I16" s="51"/>
      <c r="J16" s="51"/>
    </row>
    <row r="17" spans="1:26" ht="17">
      <c r="B17" s="31" t="s">
        <v>81</v>
      </c>
      <c r="C17" s="24" t="s">
        <v>305</v>
      </c>
      <c r="D17" s="24" t="s">
        <v>29</v>
      </c>
      <c r="E17" s="26">
        <v>0.19</v>
      </c>
      <c r="G17" s="51"/>
      <c r="H17" s="51"/>
      <c r="I17" s="51"/>
      <c r="J17" s="51"/>
    </row>
    <row r="18" spans="1:26" ht="17">
      <c r="B18" s="23" t="s">
        <v>67</v>
      </c>
      <c r="C18" s="25" t="s">
        <v>67</v>
      </c>
      <c r="D18" s="25" t="s">
        <v>29</v>
      </c>
      <c r="E18" s="27">
        <v>0.32</v>
      </c>
      <c r="G18" s="51"/>
      <c r="H18" s="51"/>
      <c r="I18" s="51"/>
      <c r="J18" s="51"/>
    </row>
    <row r="19" spans="1:26">
      <c r="B19" s="111" t="s">
        <v>306</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13</v>
      </c>
    </row>
    <row r="24" spans="1:26" ht="19">
      <c r="B24" s="18" t="s">
        <v>14</v>
      </c>
      <c r="C24" s="19" t="s">
        <v>138</v>
      </c>
    </row>
    <row r="25" spans="1:26">
      <c r="B25" s="36" t="s">
        <v>16</v>
      </c>
      <c r="C25" s="37" t="s">
        <v>18</v>
      </c>
      <c r="D25" s="37">
        <v>2021</v>
      </c>
      <c r="E25" s="37">
        <v>2022</v>
      </c>
      <c r="F25" s="37">
        <v>2023</v>
      </c>
      <c r="G25" s="37">
        <v>2024</v>
      </c>
      <c r="H25" s="38">
        <v>2025</v>
      </c>
    </row>
    <row r="26" spans="1:26" ht="20">
      <c r="B26" s="40" t="s">
        <v>139</v>
      </c>
      <c r="C26" s="39" t="s">
        <v>34</v>
      </c>
      <c r="D26" s="48">
        <f>D43</f>
        <v>1214</v>
      </c>
      <c r="E26" s="48">
        <f t="shared" ref="E26:H26" si="0">E43</f>
        <v>1158</v>
      </c>
      <c r="F26" s="48">
        <f t="shared" si="0"/>
        <v>1191</v>
      </c>
      <c r="G26" s="48">
        <f t="shared" si="0"/>
        <v>1200</v>
      </c>
      <c r="H26" s="41">
        <f t="shared" si="0"/>
        <v>1200</v>
      </c>
    </row>
    <row r="27" spans="1:26" ht="19">
      <c r="B27" s="42" t="s">
        <v>140</v>
      </c>
      <c r="C27" s="39" t="s">
        <v>34</v>
      </c>
      <c r="D27" s="48">
        <f>E51</f>
        <v>328.67700000000002</v>
      </c>
      <c r="E27" s="48">
        <f t="shared" ref="E27:H27" si="1">F51</f>
        <v>317.11900000000003</v>
      </c>
      <c r="F27" s="48">
        <f t="shared" si="1"/>
        <v>350.072</v>
      </c>
      <c r="G27" s="48">
        <f t="shared" si="1"/>
        <v>320.38800000000003</v>
      </c>
      <c r="H27" s="41">
        <f t="shared" si="1"/>
        <v>270.18799999999999</v>
      </c>
    </row>
    <row r="28" spans="1:26" ht="20">
      <c r="B28" s="40" t="s">
        <v>141</v>
      </c>
      <c r="C28" s="39" t="s">
        <v>34</v>
      </c>
      <c r="D28" s="48">
        <f>E56</f>
        <v>63.097000000000001</v>
      </c>
      <c r="E28" s="48">
        <f t="shared" ref="E28:H28" si="2">F56</f>
        <v>84.293000000000006</v>
      </c>
      <c r="F28" s="48">
        <f t="shared" si="2"/>
        <v>125.40900000000001</v>
      </c>
      <c r="G28" s="48">
        <f t="shared" si="2"/>
        <v>120.03100000000001</v>
      </c>
      <c r="H28" s="41">
        <f t="shared" si="2"/>
        <v>115.645</v>
      </c>
    </row>
    <row r="29" spans="1:26" ht="19">
      <c r="B29" s="49" t="s">
        <v>142</v>
      </c>
      <c r="C29" s="44" t="s">
        <v>34</v>
      </c>
      <c r="D29" s="45">
        <f>D26+D27-D28</f>
        <v>1479.5800000000002</v>
      </c>
      <c r="E29" s="45">
        <f t="shared" ref="E29:H29" si="3">E26+E27-E28</f>
        <v>1390.826</v>
      </c>
      <c r="F29" s="45">
        <f t="shared" si="3"/>
        <v>1415.663</v>
      </c>
      <c r="G29" s="45">
        <f t="shared" si="3"/>
        <v>1400.357</v>
      </c>
      <c r="H29" s="46">
        <f t="shared" si="3"/>
        <v>1354.5430000000001</v>
      </c>
    </row>
    <row r="30" spans="1:26">
      <c r="B30" s="39" t="s">
        <v>218</v>
      </c>
      <c r="C30" s="39"/>
      <c r="D30" s="39"/>
      <c r="E30" s="39"/>
      <c r="F30" s="39"/>
      <c r="G30" s="39"/>
      <c r="H30" s="39"/>
    </row>
    <row r="31" spans="1:26">
      <c r="B31" s="39" t="s">
        <v>219</v>
      </c>
      <c r="C31" s="39"/>
      <c r="D31" s="39"/>
      <c r="E31" s="39"/>
      <c r="F31" s="39"/>
      <c r="G31" s="39"/>
      <c r="H31" s="39"/>
    </row>
    <row r="32" spans="1:26">
      <c r="B32" s="39" t="s">
        <v>220</v>
      </c>
      <c r="C32" s="16"/>
      <c r="D32" s="16"/>
      <c r="E32" s="16"/>
      <c r="F32" s="16"/>
      <c r="G32" s="16"/>
      <c r="H32" s="16"/>
    </row>
    <row r="33" spans="2:8">
      <c r="B33" s="39" t="s">
        <v>221</v>
      </c>
      <c r="C33" s="16"/>
      <c r="D33" s="16"/>
      <c r="E33" s="16"/>
      <c r="F33" s="16"/>
      <c r="G33" s="16"/>
      <c r="H33" s="16"/>
    </row>
    <row r="34" spans="2:8">
      <c r="B34" s="16"/>
      <c r="C34" s="16"/>
      <c r="D34" s="16"/>
      <c r="E34" s="16"/>
      <c r="F34" s="16"/>
      <c r="G34" s="16"/>
      <c r="H34" s="16"/>
    </row>
    <row r="35" spans="2:8" ht="24">
      <c r="B35" s="3" t="s">
        <v>156</v>
      </c>
      <c r="C35" s="16"/>
      <c r="D35" s="16"/>
      <c r="E35" s="16"/>
      <c r="F35" s="16"/>
      <c r="G35" s="16"/>
      <c r="H35" s="16"/>
    </row>
    <row r="36" spans="2:8" ht="19">
      <c r="B36" s="18" t="s">
        <v>158</v>
      </c>
      <c r="C36" s="16"/>
      <c r="D36" s="16"/>
      <c r="E36" s="16"/>
      <c r="F36" s="16"/>
      <c r="G36" s="16"/>
      <c r="H36" s="16"/>
    </row>
    <row r="37" spans="2:8" ht="53" customHeight="1">
      <c r="B37" s="140" t="s">
        <v>312</v>
      </c>
      <c r="C37" s="140"/>
      <c r="D37" s="140"/>
      <c r="E37" s="140"/>
      <c r="F37" s="140"/>
      <c r="G37" s="140"/>
      <c r="H37" s="140"/>
    </row>
    <row r="39" spans="2:8">
      <c r="B39" s="16" t="s">
        <v>309</v>
      </c>
      <c r="D39" s="28"/>
      <c r="E39" s="28"/>
      <c r="F39" s="28"/>
      <c r="G39" s="28"/>
      <c r="H39" s="28"/>
    </row>
    <row r="40" spans="2:8">
      <c r="B40" s="36" t="s">
        <v>16</v>
      </c>
      <c r="C40" s="37" t="s">
        <v>18</v>
      </c>
      <c r="D40" s="37">
        <v>2021</v>
      </c>
      <c r="E40" s="37">
        <v>2022</v>
      </c>
      <c r="F40" s="37">
        <v>2023</v>
      </c>
      <c r="G40" s="37">
        <v>2024</v>
      </c>
      <c r="H40" s="38">
        <v>2025</v>
      </c>
    </row>
    <row r="41" spans="2:8" ht="20">
      <c r="B41" s="40" t="s">
        <v>307</v>
      </c>
      <c r="C41" t="s">
        <v>34</v>
      </c>
      <c r="D41" s="28">
        <v>1214</v>
      </c>
      <c r="E41" s="28">
        <v>1158</v>
      </c>
      <c r="F41" s="28">
        <v>1191</v>
      </c>
      <c r="G41" s="28" t="s">
        <v>29</v>
      </c>
      <c r="H41" s="32" t="s">
        <v>29</v>
      </c>
    </row>
    <row r="42" spans="2:8" ht="20">
      <c r="B42" s="40" t="s">
        <v>308</v>
      </c>
      <c r="C42" t="s">
        <v>34</v>
      </c>
      <c r="D42" s="28" t="s">
        <v>29</v>
      </c>
      <c r="E42" s="28" t="s">
        <v>29</v>
      </c>
      <c r="F42" s="28" t="s">
        <v>29</v>
      </c>
      <c r="G42" s="28">
        <v>1200</v>
      </c>
      <c r="H42" s="32">
        <v>1200</v>
      </c>
    </row>
    <row r="43" spans="2:8" ht="17">
      <c r="B43" s="43" t="s">
        <v>310</v>
      </c>
      <c r="C43" s="15" t="s">
        <v>34</v>
      </c>
      <c r="D43" s="29">
        <f>D41</f>
        <v>1214</v>
      </c>
      <c r="E43" s="29">
        <f t="shared" ref="E43:F43" si="4">E41</f>
        <v>1158</v>
      </c>
      <c r="F43" s="29">
        <f t="shared" si="4"/>
        <v>1191</v>
      </c>
      <c r="G43" s="29">
        <f>G42</f>
        <v>1200</v>
      </c>
      <c r="H43" s="30">
        <f>H42</f>
        <v>1200</v>
      </c>
    </row>
    <row r="44" spans="2:8">
      <c r="B44" s="111" t="s">
        <v>311</v>
      </c>
      <c r="D44" s="28"/>
      <c r="E44" s="28"/>
      <c r="F44" s="28"/>
      <c r="G44" s="28"/>
      <c r="H44" s="28"/>
    </row>
    <row r="45" spans="2:8">
      <c r="B45" s="118" t="s">
        <v>313</v>
      </c>
      <c r="D45" s="28"/>
      <c r="E45" s="28"/>
      <c r="F45" s="28"/>
      <c r="G45" s="28"/>
      <c r="H45" s="28"/>
    </row>
    <row r="47" spans="2:8" ht="19">
      <c r="B47" s="18" t="s">
        <v>209</v>
      </c>
      <c r="C47" s="16"/>
      <c r="D47" s="16"/>
      <c r="E47" s="16"/>
      <c r="F47" s="16"/>
      <c r="G47" s="16"/>
      <c r="H47" s="16"/>
    </row>
    <row r="49" spans="1:26" ht="18" customHeight="1">
      <c r="B49" s="119" t="s">
        <v>314</v>
      </c>
      <c r="C49" s="22"/>
      <c r="D49" s="22"/>
      <c r="E49" s="22"/>
      <c r="F49" s="22"/>
      <c r="G49" s="22"/>
      <c r="H49" s="22"/>
      <c r="I49" s="22"/>
    </row>
    <row r="50" spans="1:26">
      <c r="B50" s="36" t="s">
        <v>172</v>
      </c>
      <c r="C50" s="37" t="s">
        <v>18</v>
      </c>
      <c r="D50" s="37" t="s">
        <v>174</v>
      </c>
      <c r="E50" s="37">
        <v>2021</v>
      </c>
      <c r="F50" s="37">
        <v>2022</v>
      </c>
      <c r="G50" s="37">
        <v>2023</v>
      </c>
      <c r="H50" s="37">
        <v>2024</v>
      </c>
      <c r="I50" s="38">
        <v>2025</v>
      </c>
    </row>
    <row r="51" spans="1:26" ht="20">
      <c r="B51" s="43" t="s">
        <v>320</v>
      </c>
      <c r="C51" s="15" t="s">
        <v>34</v>
      </c>
      <c r="D51" s="29" t="s">
        <v>321</v>
      </c>
      <c r="E51" s="69">
        <f>_xlfn.XLOOKUP(_xlfn.CONCAT(_xlfn.TEXTSPLIT($D51,".")), 'S1. USITC Imports'!$B:$B,'S1. USITC Imports'!$J:$J)*_xlfn.XLOOKUP(_xlfn.CONCAT(_xlfn.TEXTSPLIT($D51,".")), 'S1. USITC Imports'!$B:$B,'S1. USITC Imports'!E:E)</f>
        <v>328.67700000000002</v>
      </c>
      <c r="F51" s="69">
        <f>_xlfn.XLOOKUP(_xlfn.CONCAT(_xlfn.TEXTSPLIT($D51,".")), 'S1. USITC Imports'!$B:$B,'S1. USITC Imports'!$J:$J)*_xlfn.XLOOKUP(_xlfn.CONCAT(_xlfn.TEXTSPLIT($D51,".")), 'S1. USITC Imports'!$B:$B,'S1. USITC Imports'!F:F)</f>
        <v>317.11900000000003</v>
      </c>
      <c r="G51" s="69">
        <f>_xlfn.XLOOKUP(_xlfn.CONCAT(_xlfn.TEXTSPLIT($D51,".")), 'S1. USITC Imports'!$B:$B,'S1. USITC Imports'!$J:$J)*_xlfn.XLOOKUP(_xlfn.CONCAT(_xlfn.TEXTSPLIT($D51,".")), 'S1. USITC Imports'!$B:$B,'S1. USITC Imports'!G:G)</f>
        <v>350.072</v>
      </c>
      <c r="H51" s="69">
        <f>_xlfn.XLOOKUP(_xlfn.CONCAT(_xlfn.TEXTSPLIT($D51,".")), 'S1. USITC Imports'!$B:$B,'S1. USITC Imports'!$J:$J)*_xlfn.XLOOKUP(_xlfn.CONCAT(_xlfn.TEXTSPLIT($D51,".")), 'S1. USITC Imports'!$B:$B,'S1. USITC Imports'!H:H)</f>
        <v>320.38800000000003</v>
      </c>
      <c r="I51" s="70">
        <f>_xlfn.XLOOKUP(_xlfn.CONCAT(_xlfn.TEXTSPLIT($D51,".")), 'S1. USITC Imports'!$B:$B,'S1. USITC Imports'!$J:$J)*_xlfn.XLOOKUP(_xlfn.CONCAT(_xlfn.TEXTSPLIT($D51,".")), 'S1. USITC Imports'!$B:$B,'S1. USITC Imports'!I:I)</f>
        <v>270.18799999999999</v>
      </c>
    </row>
    <row r="52" spans="1:26">
      <c r="B52" s="33" t="s">
        <v>183</v>
      </c>
      <c r="D52" s="28"/>
      <c r="E52" s="67"/>
      <c r="F52" s="67"/>
      <c r="G52" s="67"/>
      <c r="H52" s="67"/>
      <c r="I52" s="67"/>
    </row>
    <row r="54" spans="1:26" ht="17">
      <c r="B54" s="83" t="s">
        <v>315</v>
      </c>
      <c r="C54" s="22"/>
      <c r="D54" s="22"/>
      <c r="E54" s="22"/>
      <c r="F54" s="22"/>
      <c r="G54" s="22"/>
      <c r="H54" s="22"/>
      <c r="I54" s="22"/>
    </row>
    <row r="55" spans="1:26">
      <c r="B55" s="36" t="s">
        <v>172</v>
      </c>
      <c r="C55" s="37" t="s">
        <v>18</v>
      </c>
      <c r="D55" s="37" t="s">
        <v>174</v>
      </c>
      <c r="E55" s="37">
        <v>2021</v>
      </c>
      <c r="F55" s="37">
        <v>2022</v>
      </c>
      <c r="G55" s="37">
        <v>2023</v>
      </c>
      <c r="H55" s="37">
        <v>2024</v>
      </c>
      <c r="I55" s="38">
        <v>2025</v>
      </c>
    </row>
    <row r="56" spans="1:26" ht="20">
      <c r="B56" s="43" t="s">
        <v>320</v>
      </c>
      <c r="C56" s="15" t="s">
        <v>34</v>
      </c>
      <c r="D56" s="29" t="s">
        <v>321</v>
      </c>
      <c r="E56" s="69">
        <f>_xlfn.XLOOKUP(_xlfn.CONCAT(_xlfn.TEXTSPLIT($D56,".")), 'S2. USITC Exports'!$B:$B,'S2. USITC Exports'!$J:$J)*_xlfn.XLOOKUP(_xlfn.CONCAT(_xlfn.TEXTSPLIT($D56,".")), 'S2. USITC Exports'!$B:$B,'S2. USITC Exports'!E:E)</f>
        <v>63.097000000000001</v>
      </c>
      <c r="F56" s="69">
        <f>_xlfn.XLOOKUP(_xlfn.CONCAT(_xlfn.TEXTSPLIT($D56,".")), 'S2. USITC Exports'!$B:$B,'S2. USITC Exports'!$J:$J)*_xlfn.XLOOKUP(_xlfn.CONCAT(_xlfn.TEXTSPLIT($D56,".")), 'S2. USITC Exports'!$B:$B,'S2. USITC Exports'!F:F)</f>
        <v>84.293000000000006</v>
      </c>
      <c r="G56" s="69">
        <f>_xlfn.XLOOKUP(_xlfn.CONCAT(_xlfn.TEXTSPLIT($D56,".")), 'S2. USITC Exports'!$B:$B,'S2. USITC Exports'!$J:$J)*_xlfn.XLOOKUP(_xlfn.CONCAT(_xlfn.TEXTSPLIT($D56,".")), 'S2. USITC Exports'!$B:$B,'S2. USITC Exports'!G:G)</f>
        <v>125.40900000000001</v>
      </c>
      <c r="H56" s="69">
        <f>_xlfn.XLOOKUP(_xlfn.CONCAT(_xlfn.TEXTSPLIT($D56,".")), 'S2. USITC Exports'!$B:$B,'S2. USITC Exports'!$J:$J)*_xlfn.XLOOKUP(_xlfn.CONCAT(_xlfn.TEXTSPLIT($D56,".")), 'S2. USITC Exports'!$B:$B,'S2. USITC Exports'!H:H)</f>
        <v>120.03100000000001</v>
      </c>
      <c r="I56" s="70">
        <f>_xlfn.XLOOKUP(_xlfn.CONCAT(_xlfn.TEXTSPLIT($D56,".")), 'S2. USITC Exports'!$B:$B,'S2. USITC Exports'!$J:$J)*_xlfn.XLOOKUP(_xlfn.CONCAT(_xlfn.TEXTSPLIT($D56,".")), 'S2. USITC Exports'!$B:$B,'S2. USITC Exports'!I:I)</f>
        <v>115.645</v>
      </c>
    </row>
    <row r="57" spans="1:26">
      <c r="B57" s="33" t="s">
        <v>214</v>
      </c>
      <c r="E57" s="28"/>
      <c r="F57" s="28"/>
      <c r="G57" s="28"/>
      <c r="H57" s="28"/>
      <c r="I57" s="28"/>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1" spans="1:26" ht="24">
      <c r="B61" s="3" t="s">
        <v>17</v>
      </c>
    </row>
    <row r="62" spans="1:26">
      <c r="B62" s="4" t="s">
        <v>16</v>
      </c>
      <c r="C62" s="11" t="s">
        <v>18</v>
      </c>
      <c r="D62" s="37" t="s">
        <v>174</v>
      </c>
      <c r="E62" s="11">
        <v>2021</v>
      </c>
      <c r="F62" s="11">
        <v>2022</v>
      </c>
      <c r="G62" s="11">
        <v>2023</v>
      </c>
      <c r="H62" s="11">
        <v>2024</v>
      </c>
      <c r="I62" s="12">
        <v>2025</v>
      </c>
    </row>
    <row r="63" spans="1:26" ht="20">
      <c r="B63" s="31" t="s">
        <v>322</v>
      </c>
      <c r="C63" s="17" t="s">
        <v>323</v>
      </c>
      <c r="D63" s="28" t="s">
        <v>321</v>
      </c>
      <c r="E63" s="67">
        <f>_xlfn.XLOOKUP(_xlfn.CONCAT(_xlfn.TEXTSPLIT($D63,".")), 'S3. USITC FAS Value'!$B:$B,'S3. USITC FAS Value'!E:E)</f>
        <v>20458388</v>
      </c>
      <c r="F63" s="67">
        <f>_xlfn.XLOOKUP(_xlfn.CONCAT(_xlfn.TEXTSPLIT($D63,".")), 'S3. USITC FAS Value'!$B:$B,'S3. USITC FAS Value'!F:F)</f>
        <v>22061173</v>
      </c>
      <c r="G63" s="67">
        <f>_xlfn.XLOOKUP(_xlfn.CONCAT(_xlfn.TEXTSPLIT($D63,".")), 'S3. USITC FAS Value'!$B:$B,'S3. USITC FAS Value'!G:G)</f>
        <v>26783655</v>
      </c>
      <c r="H63" s="67">
        <f>_xlfn.XLOOKUP(_xlfn.CONCAT(_xlfn.TEXTSPLIT($D63,".")), 'S3. USITC FAS Value'!$B:$B,'S3. USITC FAS Value'!H:H)</f>
        <v>25480468</v>
      </c>
      <c r="I63" s="68">
        <f>_xlfn.XLOOKUP(_xlfn.CONCAT(_xlfn.TEXTSPLIT($D63,".")), 'S3. USITC FAS Value'!$B:$B,'S3. USITC FAS Value'!I:I)</f>
        <v>24442975</v>
      </c>
    </row>
    <row r="64" spans="1:26" ht="20">
      <c r="B64" s="31" t="s">
        <v>324</v>
      </c>
      <c r="C64" t="s">
        <v>326</v>
      </c>
      <c r="D64" s="28" t="s">
        <v>321</v>
      </c>
      <c r="E64" s="28">
        <f>E56*1000</f>
        <v>63097</v>
      </c>
      <c r="F64" s="28">
        <f t="shared" ref="F64:I64" si="5">F56*1000</f>
        <v>84293</v>
      </c>
      <c r="G64" s="28">
        <f t="shared" si="5"/>
        <v>125409</v>
      </c>
      <c r="H64" s="28">
        <f t="shared" si="5"/>
        <v>120031</v>
      </c>
      <c r="I64" s="32">
        <f t="shared" si="5"/>
        <v>115645</v>
      </c>
    </row>
    <row r="65" spans="2:9" ht="35" customHeight="1">
      <c r="B65" s="23" t="s">
        <v>327</v>
      </c>
      <c r="C65" s="15" t="s">
        <v>33</v>
      </c>
      <c r="D65" s="15" t="s">
        <v>29</v>
      </c>
      <c r="E65" s="52">
        <f>E63/E64</f>
        <v>324.23709526601897</v>
      </c>
      <c r="F65" s="52">
        <f t="shared" ref="F65:I65" si="6">F63/F64</f>
        <v>261.72010724496698</v>
      </c>
      <c r="G65" s="52">
        <f t="shared" si="6"/>
        <v>213.57043752840704</v>
      </c>
      <c r="H65" s="52">
        <f t="shared" si="6"/>
        <v>212.28239371495698</v>
      </c>
      <c r="I65" s="53">
        <f t="shared" si="6"/>
        <v>211.36214276449479</v>
      </c>
    </row>
    <row r="66" spans="2:9">
      <c r="B66" s="33" t="s">
        <v>214</v>
      </c>
    </row>
    <row r="67" spans="2:9" ht="20" customHeight="1">
      <c r="B67" s="24" t="s">
        <v>325</v>
      </c>
    </row>
  </sheetData>
  <mergeCells count="1">
    <mergeCell ref="B37:H37"/>
  </mergeCells>
  <hyperlinks>
    <hyperlink ref="B52" r:id="rId1" xr:uid="{0ED0D91A-75CA-854F-9CA0-02238DB545F3}"/>
    <hyperlink ref="B57" r:id="rId2" display="(1) Source: USITC DataWeb, Imports for Consumption" xr:uid="{AB5CA71A-B03F-BB49-B65C-6883E7696258}"/>
    <hyperlink ref="B19" r:id="rId3" xr:uid="{52D3D010-DDF8-BB49-8582-817050B500F6}"/>
    <hyperlink ref="B44" r:id="rId4" location="2024" xr:uid="{EC4EC350-086C-4248-B5CA-734ADC9571C1}"/>
    <hyperlink ref="B66" r:id="rId5" display="(1) Source: USITC DataWeb, Imports for Consumption" xr:uid="{F48516F9-B3B3-0240-B855-D21753C9397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7C84-22FD-0248-BFE7-2D6A6E016C2D}">
  <dimension ref="A1:Z73"/>
  <sheetViews>
    <sheetView topLeftCell="A53" workbookViewId="0">
      <selection activeCell="C25" sqref="C25"/>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328</v>
      </c>
    </row>
    <row r="3" spans="1:26" ht="16" customHeight="1">
      <c r="B3" t="s">
        <v>145</v>
      </c>
    </row>
    <row r="5" spans="1:26" ht="24">
      <c r="B5" s="3" t="s">
        <v>0</v>
      </c>
    </row>
    <row r="6" spans="1:26">
      <c r="B6" s="4" t="s">
        <v>1</v>
      </c>
      <c r="C6" s="86" t="s">
        <v>329</v>
      </c>
    </row>
    <row r="7" spans="1:26">
      <c r="B7" s="6" t="s">
        <v>300</v>
      </c>
      <c r="C7" s="117" t="s">
        <v>330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41" t="s">
        <v>339</v>
      </c>
      <c r="H14" s="141"/>
      <c r="I14" s="141"/>
      <c r="J14" s="141"/>
    </row>
    <row r="15" spans="1:26">
      <c r="B15" s="94" t="s">
        <v>254</v>
      </c>
      <c r="C15" s="17" t="s">
        <v>332</v>
      </c>
      <c r="D15" s="17" t="s">
        <v>29</v>
      </c>
      <c r="E15" s="108">
        <v>0.56000000000000005</v>
      </c>
      <c r="G15" s="141"/>
      <c r="H15" s="141"/>
      <c r="I15" s="141"/>
      <c r="J15" s="141"/>
    </row>
    <row r="16" spans="1:26">
      <c r="B16" s="94" t="s">
        <v>254</v>
      </c>
      <c r="C16" s="17" t="s">
        <v>333</v>
      </c>
      <c r="D16" s="17" t="s">
        <v>29</v>
      </c>
      <c r="E16" s="108">
        <v>0.18333333333333332</v>
      </c>
      <c r="G16" s="141"/>
      <c r="H16" s="141"/>
      <c r="I16" s="141"/>
      <c r="J16" s="141"/>
    </row>
    <row r="17" spans="1:26">
      <c r="B17" s="94" t="s">
        <v>303</v>
      </c>
      <c r="C17" s="17" t="s">
        <v>334</v>
      </c>
      <c r="D17" s="17" t="s">
        <v>29</v>
      </c>
      <c r="E17" s="108">
        <v>0.11388888888888889</v>
      </c>
      <c r="G17" s="141"/>
      <c r="H17" s="141"/>
      <c r="I17" s="141"/>
      <c r="J17" s="141"/>
    </row>
    <row r="18" spans="1:26">
      <c r="B18" s="94" t="s">
        <v>335</v>
      </c>
      <c r="C18" s="17" t="s">
        <v>336</v>
      </c>
      <c r="D18" s="17" t="s">
        <v>29</v>
      </c>
      <c r="E18" s="108">
        <v>0.06</v>
      </c>
      <c r="G18" s="141"/>
      <c r="H18" s="141"/>
      <c r="I18" s="141"/>
      <c r="J18" s="141"/>
    </row>
    <row r="19" spans="1:26" ht="17">
      <c r="B19" s="31" t="s">
        <v>67</v>
      </c>
      <c r="C19" s="24" t="s">
        <v>337</v>
      </c>
      <c r="D19" s="24" t="s">
        <v>29</v>
      </c>
      <c r="E19" s="26">
        <v>0.04</v>
      </c>
      <c r="G19" s="141"/>
      <c r="H19" s="141"/>
      <c r="I19" s="141"/>
      <c r="J19" s="141"/>
    </row>
    <row r="20" spans="1:26" ht="17">
      <c r="B20" s="23" t="s">
        <v>67</v>
      </c>
      <c r="C20" s="25" t="s">
        <v>338</v>
      </c>
      <c r="D20" s="25" t="s">
        <v>29</v>
      </c>
      <c r="E20" s="27">
        <v>4.7222222222222221E-2</v>
      </c>
      <c r="G20" s="141"/>
      <c r="H20" s="141"/>
      <c r="I20" s="141"/>
      <c r="J20" s="141"/>
    </row>
    <row r="21" spans="1:26">
      <c r="B21" s="111" t="s">
        <v>331</v>
      </c>
      <c r="G21" s="21" t="s">
        <v>51</v>
      </c>
      <c r="H21" s="51"/>
      <c r="I21" s="51"/>
      <c r="J21" s="5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5" spans="1:26" ht="24">
      <c r="B25" s="3" t="s">
        <v>13</v>
      </c>
    </row>
    <row r="26" spans="1:26" ht="19">
      <c r="B26" s="18" t="s">
        <v>14</v>
      </c>
      <c r="C26" s="19" t="s">
        <v>138</v>
      </c>
    </row>
    <row r="27" spans="1:26">
      <c r="B27" s="36" t="s">
        <v>16</v>
      </c>
      <c r="C27" s="37" t="s">
        <v>18</v>
      </c>
      <c r="D27" s="37">
        <v>2021</v>
      </c>
      <c r="E27" s="37">
        <v>2022</v>
      </c>
      <c r="F27" s="37">
        <v>2023</v>
      </c>
      <c r="G27" s="37">
        <v>2024</v>
      </c>
      <c r="H27" s="38">
        <v>2025</v>
      </c>
    </row>
    <row r="28" spans="1:26" ht="20">
      <c r="B28" s="40" t="s">
        <v>139</v>
      </c>
      <c r="C28" s="39" t="s">
        <v>34</v>
      </c>
      <c r="D28" s="48">
        <f>D47</f>
        <v>200.38030099263526</v>
      </c>
      <c r="E28" s="48">
        <f t="shared" ref="E28:H28" si="0">E47</f>
        <v>229.59175152097342</v>
      </c>
      <c r="F28" s="48">
        <f t="shared" si="0"/>
        <v>193.71804034582132</v>
      </c>
      <c r="G28" s="48">
        <f t="shared" si="0"/>
        <v>190.64315081652256</v>
      </c>
      <c r="H28" s="41">
        <f t="shared" si="0"/>
        <v>184.49337175792508</v>
      </c>
    </row>
    <row r="29" spans="1:26" ht="19">
      <c r="B29" s="42" t="s">
        <v>140</v>
      </c>
      <c r="C29" s="39" t="s">
        <v>34</v>
      </c>
      <c r="D29" s="48">
        <f>E57</f>
        <v>103.27171799999999</v>
      </c>
      <c r="E29" s="48">
        <f t="shared" ref="E29:H29" si="1">F57</f>
        <v>99.439092000000002</v>
      </c>
      <c r="F29" s="48">
        <f t="shared" si="1"/>
        <v>86.756697000000003</v>
      </c>
      <c r="G29" s="48">
        <f t="shared" si="1"/>
        <v>68.94917199999999</v>
      </c>
      <c r="H29" s="41">
        <f t="shared" si="1"/>
        <v>76.05068</v>
      </c>
    </row>
    <row r="30" spans="1:26" ht="20">
      <c r="B30" s="40" t="s">
        <v>141</v>
      </c>
      <c r="C30" s="39" t="s">
        <v>34</v>
      </c>
      <c r="D30" s="48">
        <f>E62</f>
        <v>16.608257999999999</v>
      </c>
      <c r="E30" s="48">
        <f t="shared" ref="E30:H30" si="2">F62</f>
        <v>9.8887999999999998</v>
      </c>
      <c r="F30" s="48">
        <f t="shared" si="2"/>
        <v>10.460103999999999</v>
      </c>
      <c r="G30" s="48">
        <f t="shared" si="2"/>
        <v>13.948910999999999</v>
      </c>
      <c r="H30" s="41">
        <f t="shared" si="2"/>
        <v>12.203279</v>
      </c>
    </row>
    <row r="31" spans="1:26" ht="19">
      <c r="B31" s="49" t="s">
        <v>142</v>
      </c>
      <c r="C31" s="44" t="s">
        <v>34</v>
      </c>
      <c r="D31" s="45">
        <f>D28+D29-D30</f>
        <v>287.04376099263527</v>
      </c>
      <c r="E31" s="45">
        <f t="shared" ref="E31:H31" si="3">E28+E29-E30</f>
        <v>319.1420435209734</v>
      </c>
      <c r="F31" s="45">
        <f t="shared" si="3"/>
        <v>270.01463334582132</v>
      </c>
      <c r="G31" s="45">
        <f t="shared" si="3"/>
        <v>245.64341181652253</v>
      </c>
      <c r="H31" s="46">
        <f t="shared" si="3"/>
        <v>248.34077275792509</v>
      </c>
    </row>
    <row r="32" spans="1:26">
      <c r="B32" s="39" t="s">
        <v>218</v>
      </c>
      <c r="C32" s="39"/>
      <c r="D32" s="39"/>
      <c r="E32" s="39"/>
      <c r="F32" s="39"/>
      <c r="G32" s="39"/>
      <c r="H32" s="39"/>
    </row>
    <row r="33" spans="2:8">
      <c r="B33" s="39" t="s">
        <v>219</v>
      </c>
      <c r="C33" s="39"/>
      <c r="D33" s="39"/>
      <c r="E33" s="39"/>
      <c r="F33" s="39"/>
      <c r="G33" s="39"/>
      <c r="H33" s="39"/>
    </row>
    <row r="34" spans="2:8">
      <c r="B34" s="39" t="s">
        <v>220</v>
      </c>
      <c r="C34" s="16"/>
      <c r="D34" s="16"/>
      <c r="E34" s="16"/>
      <c r="F34" s="16"/>
      <c r="G34" s="16"/>
      <c r="H34" s="16"/>
    </row>
    <row r="35" spans="2:8">
      <c r="B35" s="39" t="s">
        <v>221</v>
      </c>
      <c r="C35" s="16"/>
      <c r="D35" s="16"/>
      <c r="E35" s="16"/>
      <c r="F35" s="16"/>
      <c r="G35" s="16"/>
      <c r="H35" s="16"/>
    </row>
    <row r="36" spans="2:8">
      <c r="B36" s="16"/>
      <c r="C36" s="16"/>
      <c r="D36" s="16"/>
      <c r="E36" s="16"/>
      <c r="F36" s="16"/>
      <c r="G36" s="16"/>
      <c r="H36" s="16"/>
    </row>
    <row r="37" spans="2:8" ht="24">
      <c r="B37" s="3" t="s">
        <v>156</v>
      </c>
      <c r="C37" s="16"/>
      <c r="D37" s="16"/>
      <c r="E37" s="16"/>
      <c r="F37" s="16"/>
      <c r="G37" s="16"/>
      <c r="H37" s="16"/>
    </row>
    <row r="38" spans="2:8" ht="19">
      <c r="B38" s="18" t="s">
        <v>158</v>
      </c>
      <c r="C38" s="16"/>
      <c r="D38" s="16"/>
      <c r="E38" s="16"/>
      <c r="F38" s="16"/>
      <c r="G38" s="16"/>
      <c r="H38" s="16"/>
    </row>
    <row r="39" spans="2:8" ht="124" customHeight="1">
      <c r="B39" s="140" t="s">
        <v>355</v>
      </c>
      <c r="C39" s="140"/>
      <c r="D39" s="140"/>
      <c r="E39" s="140"/>
      <c r="F39" s="140"/>
      <c r="G39" s="140"/>
      <c r="H39" s="140"/>
    </row>
    <row r="40" spans="2:8" ht="15" customHeight="1">
      <c r="B40" s="101" t="s">
        <v>348</v>
      </c>
      <c r="C40" s="35"/>
      <c r="D40" s="35"/>
      <c r="E40" s="35"/>
      <c r="F40" s="35"/>
      <c r="G40" s="35"/>
      <c r="H40" s="35"/>
    </row>
    <row r="42" spans="2:8">
      <c r="B42" s="16" t="s">
        <v>345</v>
      </c>
      <c r="D42" s="28"/>
      <c r="E42" s="28"/>
      <c r="F42" s="28"/>
      <c r="G42" s="28"/>
      <c r="H42" s="28"/>
    </row>
    <row r="43" spans="2:8">
      <c r="B43" s="36" t="s">
        <v>16</v>
      </c>
      <c r="C43" s="37" t="s">
        <v>18</v>
      </c>
      <c r="D43" s="37">
        <v>2021</v>
      </c>
      <c r="E43" s="37">
        <v>2022</v>
      </c>
      <c r="F43" s="37">
        <v>2023</v>
      </c>
      <c r="G43" s="37">
        <v>2024</v>
      </c>
      <c r="H43" s="38">
        <v>2025</v>
      </c>
    </row>
    <row r="44" spans="2:8" ht="37">
      <c r="B44" s="40" t="s">
        <v>349</v>
      </c>
      <c r="C44" t="s">
        <v>34</v>
      </c>
      <c r="D44" s="28">
        <f>'B5. CaF2'!D23</f>
        <v>391</v>
      </c>
      <c r="E44" s="28">
        <f>'B5. CaF2'!E23</f>
        <v>448</v>
      </c>
      <c r="F44" s="28">
        <f>'B5. CaF2'!F23</f>
        <v>378</v>
      </c>
      <c r="G44" s="28">
        <f>'B5. CaF2'!G23</f>
        <v>372</v>
      </c>
      <c r="H44" s="32">
        <f>'B5. CaF2'!H23</f>
        <v>360</v>
      </c>
    </row>
    <row r="45" spans="2:8" ht="37">
      <c r="B45" s="40" t="s">
        <v>354</v>
      </c>
      <c r="C45" t="s">
        <v>351</v>
      </c>
      <c r="D45" s="122">
        <f>D44/(78.075)</f>
        <v>5.008005123278898</v>
      </c>
      <c r="E45" s="122">
        <f t="shared" ref="E45:H45" si="4">E44/(78.075)</f>
        <v>5.7380723663144408</v>
      </c>
      <c r="F45" s="122">
        <f t="shared" si="4"/>
        <v>4.8414985590778095</v>
      </c>
      <c r="G45" s="122">
        <f t="shared" si="4"/>
        <v>4.764649375600384</v>
      </c>
      <c r="H45" s="123">
        <f t="shared" si="4"/>
        <v>4.6109510086455332</v>
      </c>
    </row>
    <row r="46" spans="2:8" ht="20">
      <c r="B46" s="40" t="s">
        <v>352</v>
      </c>
      <c r="C46" t="s">
        <v>351</v>
      </c>
      <c r="D46" s="122">
        <f>2*D45</f>
        <v>10.016010246557796</v>
      </c>
      <c r="E46" s="122">
        <f t="shared" ref="E46:H46" si="5">2*E45</f>
        <v>11.476144732628882</v>
      </c>
      <c r="F46" s="122">
        <f t="shared" si="5"/>
        <v>9.6829971181556189</v>
      </c>
      <c r="G46" s="122">
        <f t="shared" si="5"/>
        <v>9.5292987512007681</v>
      </c>
      <c r="H46" s="123">
        <f t="shared" si="5"/>
        <v>9.2219020172910664</v>
      </c>
    </row>
    <row r="47" spans="2:8" ht="20">
      <c r="B47" s="43" t="s">
        <v>353</v>
      </c>
      <c r="C47" s="15" t="s">
        <v>34</v>
      </c>
      <c r="D47" s="29">
        <f>D46*20.006</f>
        <v>200.38030099263526</v>
      </c>
      <c r="E47" s="29">
        <f t="shared" ref="E47:H47" si="6">E46*20.006</f>
        <v>229.59175152097342</v>
      </c>
      <c r="F47" s="29">
        <f t="shared" si="6"/>
        <v>193.71804034582132</v>
      </c>
      <c r="G47" s="29">
        <f t="shared" si="6"/>
        <v>190.64315081652256</v>
      </c>
      <c r="H47" s="30">
        <f t="shared" si="6"/>
        <v>184.49337175792508</v>
      </c>
    </row>
    <row r="48" spans="2:8">
      <c r="B48" s="111" t="s">
        <v>350</v>
      </c>
      <c r="D48" s="28"/>
      <c r="E48" s="28"/>
      <c r="F48" s="28"/>
      <c r="G48" s="28"/>
      <c r="H48" s="28"/>
    </row>
    <row r="49" spans="2:9">
      <c r="B49" s="118" t="s">
        <v>356</v>
      </c>
      <c r="D49" s="28"/>
      <c r="E49" s="28"/>
      <c r="F49" s="28"/>
      <c r="G49" s="28"/>
      <c r="H49" s="28"/>
    </row>
    <row r="50" spans="2:9" ht="18">
      <c r="B50" s="124" t="s">
        <v>357</v>
      </c>
      <c r="D50" s="28"/>
      <c r="E50" s="28"/>
      <c r="F50" s="28"/>
      <c r="G50" s="28"/>
      <c r="H50" s="28"/>
    </row>
    <row r="51" spans="2:9">
      <c r="B51" s="118" t="s">
        <v>358</v>
      </c>
      <c r="D51" s="28"/>
      <c r="E51" s="28"/>
      <c r="F51" s="28"/>
      <c r="G51" s="28"/>
      <c r="H51" s="28"/>
    </row>
    <row r="53" spans="2:9" ht="19">
      <c r="B53" s="18" t="s">
        <v>209</v>
      </c>
      <c r="C53" s="16"/>
      <c r="D53" s="16"/>
      <c r="E53" s="16"/>
      <c r="F53" s="16"/>
      <c r="G53" s="16"/>
      <c r="H53" s="16"/>
    </row>
    <row r="55" spans="2:9" ht="18" customHeight="1">
      <c r="B55" s="119" t="s">
        <v>346</v>
      </c>
      <c r="C55" s="22"/>
      <c r="D55" s="22"/>
      <c r="E55" s="22"/>
      <c r="F55" s="22"/>
      <c r="G55" s="22"/>
      <c r="H55" s="22"/>
      <c r="I55" s="22"/>
    </row>
    <row r="56" spans="2:9">
      <c r="B56" s="36" t="s">
        <v>172</v>
      </c>
      <c r="C56" s="37" t="s">
        <v>18</v>
      </c>
      <c r="D56" s="37" t="s">
        <v>174</v>
      </c>
      <c r="E56" s="37">
        <v>2021</v>
      </c>
      <c r="F56" s="37">
        <v>2022</v>
      </c>
      <c r="G56" s="37">
        <v>2023</v>
      </c>
      <c r="H56" s="37">
        <v>2024</v>
      </c>
      <c r="I56" s="38">
        <v>2025</v>
      </c>
    </row>
    <row r="57" spans="2:9" ht="20">
      <c r="B57" s="43" t="s">
        <v>343</v>
      </c>
      <c r="C57" s="15" t="s">
        <v>34</v>
      </c>
      <c r="D57" s="121" t="s">
        <v>342</v>
      </c>
      <c r="E57" s="69">
        <f>_xlfn.XLOOKUP(_xlfn.CONCAT(_xlfn.TEXTSPLIT($D57,".")), 'S1. USITC Imports'!$B:$B,'S1. USITC Imports'!$J:$J)*_xlfn.XLOOKUP(_xlfn.CONCAT(_xlfn.TEXTSPLIT($D57,".")), 'S1. USITC Imports'!$B:$B,'S1. USITC Imports'!E:E)</f>
        <v>103.27171799999999</v>
      </c>
      <c r="F57" s="69">
        <f>_xlfn.XLOOKUP(_xlfn.CONCAT(_xlfn.TEXTSPLIT($D57,".")), 'S1. USITC Imports'!$B:$B,'S1. USITC Imports'!$J:$J)*_xlfn.XLOOKUP(_xlfn.CONCAT(_xlfn.TEXTSPLIT($D57,".")), 'S1. USITC Imports'!$B:$B,'S1. USITC Imports'!F:F)</f>
        <v>99.439092000000002</v>
      </c>
      <c r="G57" s="69">
        <f>_xlfn.XLOOKUP(_xlfn.CONCAT(_xlfn.TEXTSPLIT($D57,".")), 'S1. USITC Imports'!$B:$B,'S1. USITC Imports'!$J:$J)*_xlfn.XLOOKUP(_xlfn.CONCAT(_xlfn.TEXTSPLIT($D57,".")), 'S1. USITC Imports'!$B:$B,'S1. USITC Imports'!G:G)</f>
        <v>86.756697000000003</v>
      </c>
      <c r="H57" s="69">
        <f>_xlfn.XLOOKUP(_xlfn.CONCAT(_xlfn.TEXTSPLIT($D57,".")), 'S1. USITC Imports'!$B:$B,'S1. USITC Imports'!$J:$J)*_xlfn.XLOOKUP(_xlfn.CONCAT(_xlfn.TEXTSPLIT($D57,".")), 'S1. USITC Imports'!$B:$B,'S1. USITC Imports'!H:H)</f>
        <v>68.94917199999999</v>
      </c>
      <c r="I57" s="70">
        <f>_xlfn.XLOOKUP(_xlfn.CONCAT(_xlfn.TEXTSPLIT($D57,".")), 'S1. USITC Imports'!$B:$B,'S1. USITC Imports'!$J:$J)*_xlfn.XLOOKUP(_xlfn.CONCAT(_xlfn.TEXTSPLIT($D57,".")), 'S1. USITC Imports'!$B:$B,'S1. USITC Imports'!I:I)</f>
        <v>76.05068</v>
      </c>
    </row>
    <row r="58" spans="2:9">
      <c r="B58" s="33" t="s">
        <v>183</v>
      </c>
      <c r="D58" s="28"/>
      <c r="E58" s="67"/>
      <c r="F58" s="67"/>
      <c r="G58" s="67"/>
      <c r="H58" s="67"/>
      <c r="I58" s="67"/>
    </row>
    <row r="60" spans="2:9" ht="17">
      <c r="B60" s="83" t="s">
        <v>347</v>
      </c>
      <c r="C60" s="22"/>
      <c r="D60" s="22"/>
      <c r="E60" s="22"/>
      <c r="F60" s="22"/>
      <c r="G60" s="22"/>
      <c r="H60" s="22"/>
      <c r="I60" s="22"/>
    </row>
    <row r="61" spans="2:9">
      <c r="B61" s="36" t="s">
        <v>172</v>
      </c>
      <c r="C61" s="37" t="s">
        <v>18</v>
      </c>
      <c r="D61" s="37" t="s">
        <v>174</v>
      </c>
      <c r="E61" s="37">
        <v>2021</v>
      </c>
      <c r="F61" s="37">
        <v>2022</v>
      </c>
      <c r="G61" s="37">
        <v>2023</v>
      </c>
      <c r="H61" s="37">
        <v>2024</v>
      </c>
      <c r="I61" s="38">
        <v>2025</v>
      </c>
    </row>
    <row r="62" spans="2:9" ht="20">
      <c r="B62" s="43" t="s">
        <v>343</v>
      </c>
      <c r="C62" s="15" t="s">
        <v>34</v>
      </c>
      <c r="D62" s="121" t="s">
        <v>342</v>
      </c>
      <c r="E62" s="69">
        <f>_xlfn.XLOOKUP(_xlfn.CONCAT(_xlfn.TEXTSPLIT($D62,".")), 'S2. USITC Exports'!$B:$B,'S2. USITC Exports'!$J:$J)*_xlfn.XLOOKUP(_xlfn.CONCAT(_xlfn.TEXTSPLIT($D62,".")), 'S2. USITC Exports'!$B:$B,'S2. USITC Exports'!E:E)</f>
        <v>16.608257999999999</v>
      </c>
      <c r="F62" s="69">
        <f>_xlfn.XLOOKUP(_xlfn.CONCAT(_xlfn.TEXTSPLIT($D62,".")), 'S2. USITC Exports'!$B:$B,'S2. USITC Exports'!$J:$J)*_xlfn.XLOOKUP(_xlfn.CONCAT(_xlfn.TEXTSPLIT($D62,".")), 'S2. USITC Exports'!$B:$B,'S2. USITC Exports'!F:F)</f>
        <v>9.8887999999999998</v>
      </c>
      <c r="G62" s="69">
        <f>_xlfn.XLOOKUP(_xlfn.CONCAT(_xlfn.TEXTSPLIT($D62,".")), 'S2. USITC Exports'!$B:$B,'S2. USITC Exports'!$J:$J)*_xlfn.XLOOKUP(_xlfn.CONCAT(_xlfn.TEXTSPLIT($D62,".")), 'S2. USITC Exports'!$B:$B,'S2. USITC Exports'!G:G)</f>
        <v>10.460103999999999</v>
      </c>
      <c r="H62" s="69">
        <f>_xlfn.XLOOKUP(_xlfn.CONCAT(_xlfn.TEXTSPLIT($D62,".")), 'S2. USITC Exports'!$B:$B,'S2. USITC Exports'!$J:$J)*_xlfn.XLOOKUP(_xlfn.CONCAT(_xlfn.TEXTSPLIT($D62,".")), 'S2. USITC Exports'!$B:$B,'S2. USITC Exports'!H:H)</f>
        <v>13.948910999999999</v>
      </c>
      <c r="I62" s="70">
        <f>_xlfn.XLOOKUP(_xlfn.CONCAT(_xlfn.TEXTSPLIT($D62,".")), 'S2. USITC Exports'!$B:$B,'S2. USITC Exports'!$J:$J)*_xlfn.XLOOKUP(_xlfn.CONCAT(_xlfn.TEXTSPLIT($D62,".")), 'S2. USITC Exports'!$B:$B,'S2. USITC Exports'!I:I)</f>
        <v>12.203279</v>
      </c>
    </row>
    <row r="63" spans="2:9">
      <c r="B63" s="33" t="s">
        <v>214</v>
      </c>
      <c r="E63" s="28"/>
      <c r="F63" s="28"/>
      <c r="G63" s="28"/>
      <c r="H63" s="28"/>
      <c r="I63" s="28"/>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7" spans="1:26" ht="24">
      <c r="B67" s="3" t="s">
        <v>17</v>
      </c>
    </row>
    <row r="68" spans="1:26">
      <c r="B68" s="4" t="s">
        <v>16</v>
      </c>
      <c r="C68" s="11" t="s">
        <v>18</v>
      </c>
      <c r="D68" s="37" t="s">
        <v>174</v>
      </c>
      <c r="E68" s="11">
        <v>2021</v>
      </c>
      <c r="F68" s="11">
        <v>2022</v>
      </c>
      <c r="G68" s="11">
        <v>2023</v>
      </c>
      <c r="H68" s="11">
        <v>2024</v>
      </c>
      <c r="I68" s="12">
        <v>2025</v>
      </c>
    </row>
    <row r="69" spans="1:26" ht="20">
      <c r="B69" s="31" t="s">
        <v>322</v>
      </c>
      <c r="C69" s="17" t="s">
        <v>323</v>
      </c>
      <c r="D69" s="120" t="s">
        <v>342</v>
      </c>
      <c r="E69" s="67">
        <f>_xlfn.XLOOKUP(_xlfn.CONCAT(_xlfn.TEXTSPLIT($D69,".")), 'S3. USITC FAS Value'!$B:$B,'S3. USITC FAS Value'!E:E)</f>
        <v>29011838</v>
      </c>
      <c r="F69" s="67">
        <f>_xlfn.XLOOKUP(_xlfn.CONCAT(_xlfn.TEXTSPLIT($D69,".")), 'S3. USITC FAS Value'!$B:$B,'S3. USITC FAS Value'!F:F)</f>
        <v>23403531</v>
      </c>
      <c r="G69" s="67">
        <f>_xlfn.XLOOKUP(_xlfn.CONCAT(_xlfn.TEXTSPLIT($D69,".")), 'S3. USITC FAS Value'!$B:$B,'S3. USITC FAS Value'!G:G)</f>
        <v>23922471</v>
      </c>
      <c r="H69" s="67">
        <f>_xlfn.XLOOKUP(_xlfn.CONCAT(_xlfn.TEXTSPLIT($D69,".")), 'S3. USITC FAS Value'!$B:$B,'S3. USITC FAS Value'!H:H)</f>
        <v>32122156</v>
      </c>
      <c r="I69" s="68">
        <f>_xlfn.XLOOKUP(_xlfn.CONCAT(_xlfn.TEXTSPLIT($D69,".")), 'S3. USITC FAS Value'!$B:$B,'S3. USITC FAS Value'!I:I)</f>
        <v>33293771</v>
      </c>
    </row>
    <row r="70" spans="1:26" ht="20">
      <c r="B70" s="31" t="s">
        <v>324</v>
      </c>
      <c r="C70" t="s">
        <v>326</v>
      </c>
      <c r="D70" s="120" t="s">
        <v>342</v>
      </c>
      <c r="E70" s="28">
        <f>E62*1000</f>
        <v>16608.257999999998</v>
      </c>
      <c r="F70" s="28">
        <f t="shared" ref="F70:I70" si="7">F62*1000</f>
        <v>9888.7999999999993</v>
      </c>
      <c r="G70" s="28">
        <f t="shared" si="7"/>
        <v>10460.103999999999</v>
      </c>
      <c r="H70" s="28">
        <f t="shared" si="7"/>
        <v>13948.910999999998</v>
      </c>
      <c r="I70" s="32">
        <f t="shared" si="7"/>
        <v>12203.279</v>
      </c>
    </row>
    <row r="71" spans="1:26" ht="34">
      <c r="B71" s="23" t="s">
        <v>327</v>
      </c>
      <c r="C71" s="15" t="s">
        <v>33</v>
      </c>
      <c r="D71" s="121" t="s">
        <v>29</v>
      </c>
      <c r="E71" s="29">
        <f>E69/E70</f>
        <v>1746.8320879889993</v>
      </c>
      <c r="F71" s="29">
        <f t="shared" ref="F71:I71" si="8">F69/F70</f>
        <v>2366.6704756896693</v>
      </c>
      <c r="G71" s="29">
        <f t="shared" si="8"/>
        <v>2287.0203776176604</v>
      </c>
      <c r="H71" s="29">
        <f t="shared" si="8"/>
        <v>2302.8432828914029</v>
      </c>
      <c r="I71" s="30">
        <f t="shared" si="8"/>
        <v>2728.2643460007757</v>
      </c>
    </row>
    <row r="72" spans="1:26">
      <c r="B72" s="33" t="s">
        <v>214</v>
      </c>
    </row>
    <row r="73" spans="1:26" ht="20" customHeight="1">
      <c r="B73" s="24" t="s">
        <v>325</v>
      </c>
    </row>
  </sheetData>
  <mergeCells count="2">
    <mergeCell ref="B39:H39"/>
    <mergeCell ref="G14:J20"/>
  </mergeCells>
  <hyperlinks>
    <hyperlink ref="B58" r:id="rId1" xr:uid="{B671E42D-C12E-6547-85E4-A64157ED6883}"/>
    <hyperlink ref="B63" r:id="rId2" display="(1) Source: USITC DataWeb, Imports for Consumption" xr:uid="{D5FCA831-16EB-8844-94D2-A8B129597726}"/>
    <hyperlink ref="B21" r:id="rId3" display="(1) Source: EPA Water Treatment Chemical Supply Chain Profile, Hydrochloric Acid" xr:uid="{5E414CEC-6A2F-2E42-815E-FDBF85116915}"/>
    <hyperlink ref="B48" location="'B5. CaF2'!A1" display="(1) See B5. CaF2" xr:uid="{3FBE2AB5-402A-6040-AA05-14027DEDF10A}"/>
    <hyperlink ref="B72" r:id="rId4" display="(1) Source: USITC DataWeb, Imports for Consumption" xr:uid="{FA46ED17-722F-154F-92C6-0A481E5730ED}"/>
    <hyperlink ref="G21" r:id="rId5" display="(1) USGS Mineral Commodity Summaries 2026, Fluorspar" xr:uid="{9AF616F2-850A-EC42-8FF6-F0F59D9BCCE2}"/>
    <hyperlink ref="B40" r:id="rId6" display="(Source): ATSDR Toxicological Profile for Fluorides, Hydrogen Fluoride, and Fluorine" xr:uid="{101CA1BC-308B-0E44-BB8F-0A2625B7293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0CB4-122D-4E41-86D2-B3001EEC6FA8}">
  <dimension ref="A1:Z32"/>
  <sheetViews>
    <sheetView workbookViewId="0">
      <selection activeCell="C22" sqref="C2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53</v>
      </c>
    </row>
    <row r="3" spans="1:26" ht="16" customHeight="1">
      <c r="B3" t="s">
        <v>145</v>
      </c>
    </row>
    <row r="5" spans="1:26" ht="24">
      <c r="B5" s="3" t="s">
        <v>0</v>
      </c>
    </row>
    <row r="6" spans="1:26" ht="18">
      <c r="B6" s="4" t="s">
        <v>1</v>
      </c>
      <c r="C6" s="5" t="s">
        <v>54</v>
      </c>
    </row>
    <row r="7" spans="1:26">
      <c r="B7" s="6" t="s">
        <v>2</v>
      </c>
      <c r="C7" s="7" t="s">
        <v>53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row>
    <row r="15" spans="1:26" ht="17">
      <c r="B15" s="13" t="s">
        <v>55</v>
      </c>
      <c r="C15" s="24" t="s">
        <v>56</v>
      </c>
      <c r="D15" t="s">
        <v>29</v>
      </c>
      <c r="E15" s="26">
        <v>0.85</v>
      </c>
    </row>
    <row r="16" spans="1:26" ht="34">
      <c r="B16" s="14" t="s">
        <v>57</v>
      </c>
      <c r="C16" s="25" t="s">
        <v>58</v>
      </c>
      <c r="D16" s="15" t="s">
        <v>29</v>
      </c>
      <c r="E16" s="27">
        <v>0.15</v>
      </c>
    </row>
    <row r="17" spans="1:26">
      <c r="B17" s="21" t="s">
        <v>59</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586</v>
      </c>
    </row>
    <row r="23" spans="1:26">
      <c r="B23" s="4" t="s">
        <v>16</v>
      </c>
      <c r="C23" s="11" t="s">
        <v>18</v>
      </c>
      <c r="D23" s="11">
        <v>2021</v>
      </c>
      <c r="E23" s="11">
        <v>2022</v>
      </c>
      <c r="F23" s="11">
        <v>2023</v>
      </c>
      <c r="G23" s="11">
        <v>2024</v>
      </c>
      <c r="H23" s="12">
        <v>2025</v>
      </c>
    </row>
    <row r="24" spans="1:26" ht="19">
      <c r="B24" s="14" t="s">
        <v>47</v>
      </c>
      <c r="C24" s="15" t="s">
        <v>34</v>
      </c>
      <c r="D24" s="29">
        <v>6900</v>
      </c>
      <c r="E24" s="29">
        <v>5100</v>
      </c>
      <c r="F24" s="29">
        <v>5900</v>
      </c>
      <c r="G24" s="29">
        <v>6200</v>
      </c>
      <c r="H24" s="30">
        <v>5900</v>
      </c>
    </row>
    <row r="25" spans="1:26">
      <c r="B25" s="21" t="s">
        <v>59</v>
      </c>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9" spans="1:26" ht="24">
      <c r="B29" s="3" t="s">
        <v>17</v>
      </c>
    </row>
    <row r="30" spans="1:26">
      <c r="B30" s="4" t="s">
        <v>16</v>
      </c>
      <c r="C30" s="11" t="s">
        <v>18</v>
      </c>
      <c r="D30" s="11">
        <v>2021</v>
      </c>
      <c r="E30" s="11">
        <v>2022</v>
      </c>
      <c r="F30" s="11">
        <v>2023</v>
      </c>
      <c r="G30" s="11">
        <v>2024</v>
      </c>
      <c r="H30" s="12">
        <v>2025</v>
      </c>
    </row>
    <row r="31" spans="1:26" ht="19">
      <c r="B31" s="14" t="s">
        <v>60</v>
      </c>
      <c r="C31" s="15" t="s">
        <v>33</v>
      </c>
      <c r="D31" s="29">
        <v>1120</v>
      </c>
      <c r="E31" s="29">
        <v>1790</v>
      </c>
      <c r="F31" s="29">
        <v>1250</v>
      </c>
      <c r="G31" s="29">
        <v>1150</v>
      </c>
      <c r="H31" s="30">
        <v>1200</v>
      </c>
    </row>
    <row r="32" spans="1:26">
      <c r="B32" s="21" t="s">
        <v>59</v>
      </c>
    </row>
  </sheetData>
  <hyperlinks>
    <hyperlink ref="C7" r:id="rId1" xr:uid="{1FF4DDEA-00EA-8047-92A9-F38CE1B9103E}"/>
    <hyperlink ref="B17" r:id="rId2" xr:uid="{7CCDA4FD-EB87-7941-938A-0DC3928B379D}"/>
    <hyperlink ref="B25" r:id="rId3" xr:uid="{A8480C71-557B-A342-AF76-09CD103F87E1}"/>
    <hyperlink ref="B32" r:id="rId4" xr:uid="{B3D97C87-1ACE-534F-83F6-5F947F6649C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92B1-02EE-1A48-A9E9-2D60F3946D62}">
  <dimension ref="A1:Z54"/>
  <sheetViews>
    <sheetView topLeftCell="A14" workbookViewId="0">
      <selection activeCell="E50" sqref="E5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277</v>
      </c>
    </row>
    <row r="3" spans="1:26" ht="16" customHeight="1">
      <c r="B3" t="s">
        <v>145</v>
      </c>
    </row>
    <row r="5" spans="1:26" ht="24">
      <c r="B5" s="3" t="s">
        <v>0</v>
      </c>
    </row>
    <row r="6" spans="1:26">
      <c r="B6" s="4" t="s">
        <v>1</v>
      </c>
      <c r="C6" s="86" t="s">
        <v>278</v>
      </c>
    </row>
    <row r="7" spans="1:26">
      <c r="B7" s="6" t="s">
        <v>2</v>
      </c>
      <c r="C7" s="7" t="s">
        <v>277</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41" t="s">
        <v>292</v>
      </c>
      <c r="H14" s="141"/>
      <c r="I14" s="141"/>
      <c r="J14" s="141"/>
    </row>
    <row r="15" spans="1:26" ht="17">
      <c r="A15" s="16"/>
      <c r="B15" s="94" t="s">
        <v>279</v>
      </c>
      <c r="C15" s="96" t="s">
        <v>280</v>
      </c>
      <c r="D15" s="17" t="s">
        <v>29</v>
      </c>
      <c r="E15" s="108">
        <v>0.88</v>
      </c>
      <c r="G15" s="141"/>
      <c r="H15" s="141"/>
      <c r="I15" s="141"/>
      <c r="J15" s="141"/>
    </row>
    <row r="16" spans="1:26" ht="17">
      <c r="A16" s="16"/>
      <c r="B16" s="94" t="s">
        <v>67</v>
      </c>
      <c r="C16" s="96" t="s">
        <v>281</v>
      </c>
      <c r="D16" s="17" t="s">
        <v>29</v>
      </c>
      <c r="E16" s="108">
        <v>0.04</v>
      </c>
      <c r="G16" s="141"/>
      <c r="H16" s="141"/>
      <c r="I16" s="141"/>
      <c r="J16" s="141"/>
    </row>
    <row r="17" spans="1:26" ht="17">
      <c r="A17" s="16"/>
      <c r="B17" s="94" t="s">
        <v>67</v>
      </c>
      <c r="C17" s="96" t="s">
        <v>282</v>
      </c>
      <c r="D17" s="17" t="s">
        <v>29</v>
      </c>
      <c r="E17" s="108">
        <v>0.02</v>
      </c>
      <c r="G17" s="141"/>
      <c r="H17" s="141"/>
      <c r="I17" s="141"/>
      <c r="J17" s="141"/>
    </row>
    <row r="18" spans="1:26" ht="17">
      <c r="A18" s="16"/>
      <c r="B18" s="94" t="s">
        <v>67</v>
      </c>
      <c r="C18" s="96" t="s">
        <v>283</v>
      </c>
      <c r="D18" s="17" t="s">
        <v>29</v>
      </c>
      <c r="E18" s="108">
        <v>0.01</v>
      </c>
      <c r="G18" s="141"/>
      <c r="H18" s="141"/>
      <c r="I18" s="141"/>
      <c r="J18" s="141"/>
    </row>
    <row r="19" spans="1:26" ht="34">
      <c r="A19" s="16"/>
      <c r="B19" s="94" t="s">
        <v>67</v>
      </c>
      <c r="C19" s="96" t="s">
        <v>284</v>
      </c>
      <c r="D19" s="17" t="s">
        <v>29</v>
      </c>
      <c r="E19" s="108">
        <v>0.01</v>
      </c>
      <c r="G19" s="141"/>
      <c r="H19" s="141"/>
      <c r="I19" s="141"/>
      <c r="J19" s="141"/>
    </row>
    <row r="20" spans="1:26" ht="17">
      <c r="B20" s="95" t="s">
        <v>67</v>
      </c>
      <c r="C20" s="96" t="s">
        <v>285</v>
      </c>
      <c r="D20" s="96" t="s">
        <v>29</v>
      </c>
      <c r="E20" s="109">
        <v>0.01</v>
      </c>
      <c r="G20" s="141"/>
      <c r="H20" s="141"/>
      <c r="I20" s="141"/>
      <c r="J20" s="141"/>
    </row>
    <row r="21" spans="1:26" ht="17">
      <c r="B21" s="97" t="s">
        <v>67</v>
      </c>
      <c r="C21" s="98" t="s">
        <v>67</v>
      </c>
      <c r="D21" s="98" t="s">
        <v>29</v>
      </c>
      <c r="E21" s="110">
        <v>0.03</v>
      </c>
      <c r="G21" s="141"/>
      <c r="H21" s="141"/>
      <c r="I21" s="141"/>
      <c r="J21" s="141"/>
    </row>
    <row r="22" spans="1:26">
      <c r="B22" s="111" t="s">
        <v>286</v>
      </c>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6" spans="1:26" ht="24">
      <c r="B26" s="3" t="s">
        <v>13</v>
      </c>
    </row>
    <row r="27" spans="1:26" ht="19">
      <c r="B27" s="18" t="s">
        <v>14</v>
      </c>
      <c r="C27" s="19" t="s">
        <v>138</v>
      </c>
    </row>
    <row r="28" spans="1:26" s="17" customFormat="1" ht="55" customHeight="1">
      <c r="B28" s="141" t="s">
        <v>287</v>
      </c>
      <c r="C28" s="141"/>
      <c r="D28" s="141"/>
      <c r="E28" s="141"/>
      <c r="F28" s="141"/>
      <c r="G28" s="141"/>
      <c r="H28" s="141"/>
    </row>
    <row r="29" spans="1:26" s="17" customFormat="1" ht="19">
      <c r="B29" s="112"/>
      <c r="C29" s="113"/>
    </row>
    <row r="30" spans="1:26">
      <c r="B30" s="36" t="s">
        <v>16</v>
      </c>
      <c r="C30" s="37" t="s">
        <v>18</v>
      </c>
      <c r="D30" s="37">
        <v>2021</v>
      </c>
      <c r="E30" s="37">
        <v>2022</v>
      </c>
      <c r="F30" s="37">
        <v>2023</v>
      </c>
      <c r="G30" s="37">
        <v>2024</v>
      </c>
      <c r="H30" s="38">
        <v>2025</v>
      </c>
    </row>
    <row r="31" spans="1:26" ht="20">
      <c r="B31" s="40" t="s">
        <v>288</v>
      </c>
      <c r="C31" s="39" t="s">
        <v>34</v>
      </c>
      <c r="D31" s="135">
        <v>2.64</v>
      </c>
      <c r="E31" s="135">
        <v>3.26</v>
      </c>
      <c r="F31" s="135">
        <v>3.39</v>
      </c>
      <c r="G31" s="135">
        <v>3.02</v>
      </c>
      <c r="H31" s="114">
        <v>3.8</v>
      </c>
    </row>
    <row r="32" spans="1:26" ht="20">
      <c r="B32" s="40" t="s">
        <v>289</v>
      </c>
      <c r="C32" s="39" t="s">
        <v>34</v>
      </c>
      <c r="D32" s="135">
        <v>1.87</v>
      </c>
      <c r="E32" s="135">
        <v>2.44</v>
      </c>
      <c r="F32" s="135">
        <v>1.96</v>
      </c>
      <c r="G32" s="135">
        <v>1.69</v>
      </c>
      <c r="H32" s="114">
        <v>2</v>
      </c>
    </row>
    <row r="33" spans="1:26" ht="20">
      <c r="B33" s="40" t="s">
        <v>290</v>
      </c>
      <c r="C33" s="39" t="s">
        <v>29</v>
      </c>
      <c r="D33" s="135">
        <v>0.25</v>
      </c>
      <c r="E33" s="135">
        <v>0.25</v>
      </c>
      <c r="F33" s="135">
        <v>0.5</v>
      </c>
      <c r="G33" s="135">
        <v>0.5</v>
      </c>
      <c r="H33" s="114">
        <v>0.5</v>
      </c>
    </row>
    <row r="34" spans="1:26" ht="19">
      <c r="B34" s="49" t="s">
        <v>293</v>
      </c>
      <c r="C34" s="44" t="s">
        <v>34</v>
      </c>
      <c r="D34" s="115">
        <f>(D31-D32)/D33</f>
        <v>3.08</v>
      </c>
      <c r="E34" s="115">
        <f t="shared" ref="E34:H34" si="0">(E31-E32)/E33</f>
        <v>3.2799999999999994</v>
      </c>
      <c r="F34" s="115">
        <f t="shared" si="0"/>
        <v>2.8600000000000003</v>
      </c>
      <c r="G34" s="115">
        <f t="shared" si="0"/>
        <v>2.66</v>
      </c>
      <c r="H34" s="136">
        <f t="shared" si="0"/>
        <v>3.5999999999999996</v>
      </c>
    </row>
    <row r="35" spans="1:26">
      <c r="B35" s="111" t="s">
        <v>286</v>
      </c>
      <c r="C35" s="39"/>
      <c r="D35" s="39"/>
      <c r="E35" s="39"/>
      <c r="F35" s="39"/>
      <c r="G35" s="39"/>
      <c r="H35" s="39"/>
    </row>
    <row r="36" spans="1:26">
      <c r="B36" s="39" t="s">
        <v>291</v>
      </c>
      <c r="C36" s="39"/>
      <c r="D36" s="39"/>
      <c r="E36" s="39"/>
      <c r="F36" s="39"/>
      <c r="G36" s="39"/>
      <c r="H36" s="39"/>
    </row>
    <row r="37" spans="1:26">
      <c r="B37" s="39" t="s">
        <v>294</v>
      </c>
      <c r="C37" s="16"/>
      <c r="D37" s="16"/>
      <c r="E37" s="16"/>
      <c r="F37" s="16"/>
      <c r="G37" s="16"/>
      <c r="H37" s="16"/>
    </row>
    <row r="38" spans="1:26">
      <c r="B38" s="39"/>
      <c r="C38" s="16"/>
      <c r="D38" s="16"/>
      <c r="E38" s="16"/>
      <c r="F38" s="16"/>
      <c r="G38" s="16"/>
      <c r="H38" s="16"/>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1" spans="1:26" ht="24">
      <c r="B41" s="3" t="s">
        <v>17</v>
      </c>
    </row>
    <row r="42" spans="1:26">
      <c r="B42" s="4" t="s">
        <v>16</v>
      </c>
      <c r="C42" s="11" t="s">
        <v>18</v>
      </c>
      <c r="D42" s="11">
        <v>2021</v>
      </c>
      <c r="E42" s="11">
        <v>2022</v>
      </c>
      <c r="F42" s="11">
        <v>2023</v>
      </c>
      <c r="G42" s="11">
        <v>2024</v>
      </c>
      <c r="H42" s="12">
        <v>2025</v>
      </c>
    </row>
    <row r="43" spans="1:26" ht="38">
      <c r="B43" s="31" t="s">
        <v>295</v>
      </c>
      <c r="C43" t="s">
        <v>296</v>
      </c>
      <c r="D43" s="28">
        <v>11700</v>
      </c>
      <c r="E43" s="28">
        <v>63700</v>
      </c>
      <c r="F43" s="28">
        <v>39000</v>
      </c>
      <c r="G43" s="28">
        <v>11800</v>
      </c>
      <c r="H43" s="32">
        <v>9000</v>
      </c>
    </row>
    <row r="44" spans="1:26" ht="37">
      <c r="B44" s="23" t="s">
        <v>579</v>
      </c>
      <c r="C44" s="15" t="s">
        <v>33</v>
      </c>
      <c r="D44" s="29">
        <f>D43/(2*6.94/73.888955)</f>
        <v>62283.917399135447</v>
      </c>
      <c r="E44" s="29">
        <f t="shared" ref="E44:H44" si="1">E43/(2*6.94/73.888955)</f>
        <v>339101.32806195965</v>
      </c>
      <c r="F44" s="29">
        <f t="shared" si="1"/>
        <v>207613.05799711816</v>
      </c>
      <c r="G44" s="29">
        <f t="shared" si="1"/>
        <v>62816.25857348703</v>
      </c>
      <c r="H44" s="30">
        <f t="shared" si="1"/>
        <v>47910.705691642652</v>
      </c>
    </row>
    <row r="45" spans="1:26">
      <c r="B45" s="111" t="s">
        <v>286</v>
      </c>
    </row>
    <row r="46" spans="1:26">
      <c r="B46" t="s">
        <v>580</v>
      </c>
    </row>
    <row r="54" spans="5:5">
      <c r="E54" s="116"/>
    </row>
  </sheetData>
  <mergeCells count="2">
    <mergeCell ref="B28:H28"/>
    <mergeCell ref="G14:J21"/>
  </mergeCells>
  <hyperlinks>
    <hyperlink ref="C7" r:id="rId1" xr:uid="{AB0A6916-F386-174E-925A-995BED37CC67}"/>
    <hyperlink ref="B22" r:id="rId2" xr:uid="{D0DB26FC-FCBE-2E42-A1EF-E592618D4C3B}"/>
    <hyperlink ref="B35" r:id="rId3" xr:uid="{E475E4F9-BF32-B242-9F36-D8F5B26567B4}"/>
    <hyperlink ref="B45" r:id="rId4" xr:uid="{F9BDBBE8-FCC2-C14D-8EA9-81F423560F0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7C089-CCD7-194C-B90B-7CF6B7C3652F}">
  <dimension ref="A1:AJ257"/>
  <sheetViews>
    <sheetView topLeftCell="A234" zoomScale="106" workbookViewId="0">
      <selection activeCell="A197" sqref="A197:XFD197"/>
    </sheetView>
  </sheetViews>
  <sheetFormatPr baseColWidth="10" defaultRowHeight="16"/>
  <cols>
    <col min="1" max="1" width="3.33203125" customWidth="1"/>
    <col min="2" max="2" width="35.83203125" customWidth="1"/>
    <col min="3" max="3" width="21.33203125" customWidth="1"/>
    <col min="4" max="14" width="13.6640625" customWidth="1"/>
    <col min="15" max="35" width="12.3320312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row>
    <row r="2" spans="1:36" ht="27">
      <c r="B2" s="2" t="s">
        <v>513</v>
      </c>
    </row>
    <row r="3" spans="1:36" ht="16" customHeight="1">
      <c r="B3" t="s">
        <v>145</v>
      </c>
    </row>
    <row r="5" spans="1:36" ht="24">
      <c r="B5" s="3" t="s">
        <v>0</v>
      </c>
    </row>
    <row r="6" spans="1:36" ht="18">
      <c r="B6" s="4" t="s">
        <v>1</v>
      </c>
      <c r="C6" s="86" t="s">
        <v>514</v>
      </c>
    </row>
    <row r="7" spans="1:36">
      <c r="B7" s="6" t="s">
        <v>2</v>
      </c>
      <c r="C7" s="7" t="s">
        <v>383</v>
      </c>
    </row>
    <row r="8" spans="1:36">
      <c r="B8" s="6" t="s">
        <v>3</v>
      </c>
      <c r="C8" s="8" t="s">
        <v>433</v>
      </c>
    </row>
    <row r="9" spans="1:36">
      <c r="B9" s="9" t="s">
        <v>5</v>
      </c>
      <c r="C9" s="10" t="s">
        <v>447</v>
      </c>
    </row>
    <row r="11" spans="1:36">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3" spans="1:36" ht="27">
      <c r="B13" s="3" t="s">
        <v>31</v>
      </c>
    </row>
    <row r="14" spans="1:36" ht="16" customHeight="1">
      <c r="B14" s="4" t="s">
        <v>7</v>
      </c>
      <c r="C14" s="11" t="s">
        <v>8</v>
      </c>
      <c r="D14" s="11" t="s">
        <v>9</v>
      </c>
      <c r="E14" s="12" t="s">
        <v>505</v>
      </c>
      <c r="G14" s="51"/>
      <c r="H14" s="51"/>
      <c r="I14" s="51"/>
      <c r="J14" s="51"/>
      <c r="K14" s="51"/>
    </row>
    <row r="15" spans="1:36">
      <c r="B15" s="77" t="s">
        <v>515</v>
      </c>
      <c r="C15" s="82" t="s">
        <v>516</v>
      </c>
      <c r="D15" s="69" t="s">
        <v>29</v>
      </c>
      <c r="E15" s="128">
        <v>1</v>
      </c>
      <c r="F15" s="51"/>
      <c r="G15" s="51"/>
      <c r="H15" s="51"/>
      <c r="I15" s="51"/>
      <c r="J15" s="51"/>
      <c r="K15" s="51"/>
    </row>
    <row r="16" spans="1:36">
      <c r="B16" s="111" t="s">
        <v>385</v>
      </c>
    </row>
    <row r="18" spans="1:36">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20" spans="1:36" ht="24">
      <c r="B20" s="3" t="s">
        <v>442</v>
      </c>
    </row>
    <row r="21" spans="1:36" ht="99" customHeight="1">
      <c r="B21" s="140" t="s">
        <v>518</v>
      </c>
      <c r="C21" s="140"/>
      <c r="D21" s="140"/>
      <c r="E21" s="140"/>
      <c r="F21" s="140"/>
      <c r="G21" s="140"/>
    </row>
    <row r="22" spans="1:36" s="24" customFormat="1" ht="74" customHeight="1">
      <c r="B22" s="140" t="s">
        <v>529</v>
      </c>
      <c r="C22" s="140"/>
      <c r="D22" s="140"/>
      <c r="E22" s="140"/>
      <c r="F22" s="140"/>
      <c r="G22" s="140"/>
    </row>
    <row r="23" spans="1:36">
      <c r="B23" s="21" t="s">
        <v>524</v>
      </c>
    </row>
    <row r="24" spans="1:36">
      <c r="B24" s="21" t="s">
        <v>525</v>
      </c>
    </row>
    <row r="25" spans="1:36">
      <c r="B25" s="131" t="s">
        <v>526</v>
      </c>
    </row>
    <row r="27" spans="1:36" ht="27">
      <c r="B27" s="3" t="s">
        <v>527</v>
      </c>
    </row>
    <row r="28" spans="1:36">
      <c r="B28" s="4" t="s">
        <v>447</v>
      </c>
      <c r="C28" s="11" t="s">
        <v>18</v>
      </c>
      <c r="D28" s="11">
        <v>2021</v>
      </c>
      <c r="E28" s="11">
        <v>2022</v>
      </c>
      <c r="F28" s="11">
        <v>2023</v>
      </c>
      <c r="G28" s="11">
        <v>2024</v>
      </c>
      <c r="H28" s="12">
        <v>2025</v>
      </c>
    </row>
    <row r="29" spans="1:36">
      <c r="B29" s="13" t="s">
        <v>448</v>
      </c>
      <c r="C29" t="s">
        <v>34</v>
      </c>
      <c r="D29" s="28" cm="1">
        <f t="array" ref="D29">IF(ISNUMBER(J196),J196,MAX(IF(ISNUMBER($D196:$N196),$D196:$N196,0)))</f>
        <v>0</v>
      </c>
      <c r="E29" s="28" cm="1">
        <f t="array" ref="E29">IF(ISNUMBER(K196),K196,MAX(IF(ISNUMBER($D196:$N196),$D196:$N196,0)))</f>
        <v>10.477986750000001</v>
      </c>
      <c r="F29" s="28" cm="1">
        <f t="array" ref="F29">IF(ISNUMBER(L196),L196,MAX(IF(ISNUMBER($D196:$N196),$D196:$N196,0)))</f>
        <v>10.477986750000001</v>
      </c>
      <c r="G29" s="28" cm="1">
        <f t="array" ref="G29">IF(ISNUMBER(M196),M196,MAX(IF(ISNUMBER($D196:$N196),$D196:$N196,0)))</f>
        <v>10.477986750000001</v>
      </c>
      <c r="H29" s="32" cm="1">
        <f t="array" ref="H29">IF(ISNUMBER(N196),N196,MAX(IF(ISNUMBER($D196:$N196),$D196:$N196,0)))</f>
        <v>10.477986750000001</v>
      </c>
      <c r="J29" s="28"/>
    </row>
    <row r="30" spans="1:36">
      <c r="B30" s="13" t="s">
        <v>449</v>
      </c>
      <c r="C30" t="s">
        <v>34</v>
      </c>
      <c r="D30" s="28" cm="1">
        <f t="array" ref="D30">IF(ISNUMBER(J197),J197,MAX(IF(ISNUMBER($D197:$N197),$D197:$N197,0)))</f>
        <v>13616.84685</v>
      </c>
      <c r="E30" s="28" cm="1">
        <f t="array" ref="E30">IF(ISNUMBER(K197),K197,MAX(IF(ISNUMBER($D197:$N197),$D197:$N197,0)))</f>
        <v>13616.84685</v>
      </c>
      <c r="F30" s="28" cm="1">
        <f t="array" ref="F30">IF(ISNUMBER(L197),L197,MAX(IF(ISNUMBER($D197:$N197),$D197:$N197,0)))</f>
        <v>13616.84685</v>
      </c>
      <c r="G30" s="28" cm="1">
        <f t="array" ref="G30">IF(ISNUMBER(M197),M197,MAX(IF(ISNUMBER($D197:$N197),$D197:$N197,0)))</f>
        <v>13616.84685</v>
      </c>
      <c r="H30" s="32" cm="1">
        <f t="array" ref="H30">IF(ISNUMBER(N197),N197,MAX(IF(ISNUMBER($D197:$N197),$D197:$N197,0)))</f>
        <v>27.941298</v>
      </c>
      <c r="J30" s="28"/>
    </row>
    <row r="31" spans="1:36">
      <c r="B31" s="13" t="s">
        <v>450</v>
      </c>
      <c r="C31" t="s">
        <v>34</v>
      </c>
      <c r="D31" s="28" cm="1">
        <f t="array" ref="D31">IF(ISNUMBER(J198),J198,MAX(IF(ISNUMBER($D198:$N198),$D198:$N198,0)))</f>
        <v>13.970649</v>
      </c>
      <c r="E31" s="28" cm="1">
        <f t="array" ref="E31">IF(ISNUMBER(K198),K198,MAX(IF(ISNUMBER($D198:$N198),$D198:$N198,0)))</f>
        <v>223.4794909215</v>
      </c>
      <c r="F31" s="28" cm="1">
        <f t="array" ref="F31">IF(ISNUMBER(L198),L198,MAX(IF(ISNUMBER($D198:$N198),$D198:$N198,0)))</f>
        <v>469.01464500000003</v>
      </c>
      <c r="G31" s="28" cm="1">
        <f t="array" ref="G31">IF(ISNUMBER(M198),M198,MAX(IF(ISNUMBER($D198:$N198),$D198:$N198,0)))</f>
        <v>295.28862678150006</v>
      </c>
      <c r="H31" s="32" cm="1">
        <f t="array" ref="H31">IF(ISNUMBER(N198),N198,MAX(IF(ISNUMBER($D198:$N198),$D198:$N198,0)))</f>
        <v>149.30341867800001</v>
      </c>
    </row>
    <row r="32" spans="1:36">
      <c r="B32" s="13" t="s">
        <v>452</v>
      </c>
      <c r="C32" t="s">
        <v>34</v>
      </c>
      <c r="D32" s="28" cm="1">
        <f t="array" ref="D32">IF(ISNUMBER(J199),J199,MAX(IF(ISNUMBER($D199:$N199),$D199:$N199,0)))</f>
        <v>14.669181450000002</v>
      </c>
      <c r="E32" s="28" cm="1">
        <f t="array" ref="E32">IF(ISNUMBER(K199),K199,MAX(IF(ISNUMBER($D199:$N199),$D199:$N199,0)))</f>
        <v>14.669181450000002</v>
      </c>
      <c r="F32" s="28" cm="1">
        <f t="array" ref="F32">IF(ISNUMBER(L199),L199,MAX(IF(ISNUMBER($D199:$N199),$D199:$N199,0)))</f>
        <v>14.669181450000002</v>
      </c>
      <c r="G32" s="28" cm="1">
        <f t="array" ref="G32">IF(ISNUMBER(M199),M199,MAX(IF(ISNUMBER($D199:$N199),$D199:$N199,0)))</f>
        <v>14.669181450000002</v>
      </c>
      <c r="H32" s="32" cm="1">
        <f t="array" ref="H32">IF(ISNUMBER(N199),N199,MAX(IF(ISNUMBER($D199:$N199),$D199:$N199,0)))</f>
        <v>14.669181450000002</v>
      </c>
    </row>
    <row r="33" spans="2:8">
      <c r="B33" s="13" t="s">
        <v>453</v>
      </c>
      <c r="C33" t="s">
        <v>34</v>
      </c>
      <c r="D33" s="28" cm="1">
        <f t="array" ref="D33">IF(ISNUMBER(J200),J200,MAX(IF(ISNUMBER($D200:$N200),$D200:$N200,0)))</f>
        <v>18235.325685</v>
      </c>
      <c r="E33" s="28" cm="1">
        <f t="array" ref="E33">IF(ISNUMBER(K200),K200,MAX(IF(ISNUMBER($D200:$N200),$D200:$N200,0)))</f>
        <v>18235.325685</v>
      </c>
      <c r="F33" s="28" cm="1">
        <f t="array" ref="F33">IF(ISNUMBER(L200),L200,MAX(IF(ISNUMBER($D200:$N200),$D200:$N200,0)))</f>
        <v>0</v>
      </c>
      <c r="G33" s="28" cm="1">
        <f t="array" ref="G33">IF(ISNUMBER(M200),M200,MAX(IF(ISNUMBER($D200:$N200),$D200:$N200,0)))</f>
        <v>0</v>
      </c>
      <c r="H33" s="32" cm="1">
        <f t="array" ref="H33">IF(ISNUMBER(N200),N200,MAX(IF(ISNUMBER($D200:$N200),$D200:$N200,0)))</f>
        <v>0</v>
      </c>
    </row>
    <row r="34" spans="2:8">
      <c r="B34" s="13" t="s">
        <v>454</v>
      </c>
      <c r="C34" t="s">
        <v>34</v>
      </c>
      <c r="D34" s="28" cm="1">
        <f t="array" ref="D34">IF(ISNUMBER(J201),J201,MAX(IF(ISNUMBER($D201:$N201),$D201:$N201,0)))</f>
        <v>12207.962055198001</v>
      </c>
      <c r="E34" s="28" cm="1">
        <f t="array" ref="E34">IF(ISNUMBER(K201),K201,MAX(IF(ISNUMBER($D201:$N201),$D201:$N201,0)))</f>
        <v>10165.645766773501</v>
      </c>
      <c r="F34" s="28" cm="1">
        <f t="array" ref="F34">IF(ISNUMBER(L201),L201,MAX(IF(ISNUMBER($D201:$N201),$D201:$N201,0)))</f>
        <v>11718.855802566002</v>
      </c>
      <c r="G34" s="28" cm="1">
        <f t="array" ref="G34">IF(ISNUMBER(M201),M201,MAX(IF(ISNUMBER($D201:$N201),$D201:$N201,0)))</f>
        <v>8605.3569664259994</v>
      </c>
      <c r="H34" s="32" cm="1">
        <f t="array" ref="H34">IF(ISNUMBER(N201),N201,MAX(IF(ISNUMBER($D201:$N201),$D201:$N201,0)))</f>
        <v>20641.305859404001</v>
      </c>
    </row>
    <row r="35" spans="2:8">
      <c r="B35" s="13" t="s">
        <v>455</v>
      </c>
      <c r="C35" t="s">
        <v>34</v>
      </c>
      <c r="D35" s="28" cm="1">
        <f t="array" ref="D35">IF(ISNUMBER(J202),J202,MAX(IF(ISNUMBER($D202:$N202),$D202:$N202,0)))</f>
        <v>945.2012224545</v>
      </c>
      <c r="E35" s="28" cm="1">
        <f t="array" ref="E35">IF(ISNUMBER(K202),K202,MAX(IF(ISNUMBER($D202:$N202),$D202:$N202,0)))</f>
        <v>603.33744561750007</v>
      </c>
      <c r="F35" s="28" cm="1">
        <f t="array" ref="F35">IF(ISNUMBER(L202),L202,MAX(IF(ISNUMBER($D202:$N202),$D202:$N202,0)))</f>
        <v>184813.40449644299</v>
      </c>
      <c r="G35" s="28" cm="1">
        <f t="array" ref="G35">IF(ISNUMBER(M202),M202,MAX(IF(ISNUMBER($D202:$N202),$D202:$N202,0)))</f>
        <v>695.8391084535001</v>
      </c>
      <c r="H35" s="32" cm="1">
        <f t="array" ref="H35">IF(ISNUMBER(N202),N202,MAX(IF(ISNUMBER($D202:$N202),$D202:$N202,0)))</f>
        <v>682.53705479850009</v>
      </c>
    </row>
    <row r="36" spans="2:8">
      <c r="B36" s="13" t="s">
        <v>456</v>
      </c>
      <c r="C36" t="s">
        <v>34</v>
      </c>
      <c r="D36" s="28" cm="1">
        <f t="array" ref="D36">IF(ISNUMBER(J203),J203,MAX(IF(ISNUMBER($D203:$N203),$D203:$N203,0)))</f>
        <v>0</v>
      </c>
      <c r="E36" s="28" cm="1">
        <f t="array" ref="E36">IF(ISNUMBER(K203),K203,MAX(IF(ISNUMBER($D203:$N203),$D203:$N203,0)))</f>
        <v>0</v>
      </c>
      <c r="F36" s="28" cm="1">
        <f t="array" ref="F36">IF(ISNUMBER(L203),L203,MAX(IF(ISNUMBER($D203:$N203),$D203:$N203,0)))</f>
        <v>0</v>
      </c>
      <c r="G36" s="28" cm="1">
        <f t="array" ref="G36">IF(ISNUMBER(M203),M203,MAX(IF(ISNUMBER($D203:$N203),$D203:$N203,0)))</f>
        <v>0</v>
      </c>
      <c r="H36" s="32" cm="1">
        <f t="array" ref="H36">IF(ISNUMBER(N203),N203,MAX(IF(ISNUMBER($D203:$N203),$D203:$N203,0)))</f>
        <v>0</v>
      </c>
    </row>
    <row r="37" spans="2:8">
      <c r="B37" s="13" t="s">
        <v>517</v>
      </c>
      <c r="C37" t="s">
        <v>34</v>
      </c>
      <c r="D37" s="28" cm="1">
        <f t="array" ref="D37">IF(ISNUMBER(J204),J204,MAX(IF(ISNUMBER($D204:$N204),$D204:$N204,0)))</f>
        <v>0</v>
      </c>
      <c r="E37" s="28" cm="1">
        <f t="array" ref="E37">IF(ISNUMBER(K204),K204,MAX(IF(ISNUMBER($D204:$N204),$D204:$N204,0)))</f>
        <v>0</v>
      </c>
      <c r="F37" s="28" cm="1">
        <f t="array" ref="F37">IF(ISNUMBER(L204),L204,MAX(IF(ISNUMBER($D204:$N204),$D204:$N204,0)))</f>
        <v>0</v>
      </c>
      <c r="G37" s="28" cm="1">
        <f t="array" ref="G37">IF(ISNUMBER(M204),M204,MAX(IF(ISNUMBER($D204:$N204),$D204:$N204,0)))</f>
        <v>0</v>
      </c>
      <c r="H37" s="32" cm="1">
        <f t="array" ref="H37">IF(ISNUMBER(N204),N204,MAX(IF(ISNUMBER($D204:$N204),$D204:$N204,0)))</f>
        <v>0</v>
      </c>
    </row>
    <row r="38" spans="2:8">
      <c r="B38" s="13" t="s">
        <v>457</v>
      </c>
      <c r="C38" t="s">
        <v>34</v>
      </c>
      <c r="D38" s="28" cm="1">
        <f t="array" ref="D38">IF(ISNUMBER(J205),J205,MAX(IF(ISNUMBER($D205:$N205),$D205:$N205,0)))</f>
        <v>0</v>
      </c>
      <c r="E38" s="28" cm="1">
        <f t="array" ref="E38">IF(ISNUMBER(K205),K205,MAX(IF(ISNUMBER($D205:$N205),$D205:$N205,0)))</f>
        <v>0</v>
      </c>
      <c r="F38" s="28" cm="1">
        <f t="array" ref="F38">IF(ISNUMBER(L205),L205,MAX(IF(ISNUMBER($D205:$N205),$D205:$N205,0)))</f>
        <v>0</v>
      </c>
      <c r="G38" s="28" cm="1">
        <f t="array" ref="G38">IF(ISNUMBER(M205),M205,MAX(IF(ISNUMBER($D205:$N205),$D205:$N205,0)))</f>
        <v>0</v>
      </c>
      <c r="H38" s="32" cm="1">
        <f t="array" ref="H38">IF(ISNUMBER(N205),N205,MAX(IF(ISNUMBER($D205:$N205),$D205:$N205,0)))</f>
        <v>0</v>
      </c>
    </row>
    <row r="39" spans="2:8">
      <c r="B39" s="13" t="s">
        <v>458</v>
      </c>
      <c r="C39" t="s">
        <v>34</v>
      </c>
      <c r="D39" s="28" cm="1">
        <f t="array" ref="D39">IF(ISNUMBER(J206),J206,MAX(IF(ISNUMBER($D206:$N206),$D206:$N206,0)))</f>
        <v>0</v>
      </c>
      <c r="E39" s="28" cm="1">
        <f t="array" ref="E39">IF(ISNUMBER(K206),K206,MAX(IF(ISNUMBER($D206:$N206),$D206:$N206,0)))</f>
        <v>0</v>
      </c>
      <c r="F39" s="28" cm="1">
        <f t="array" ref="F39">IF(ISNUMBER(L206),L206,MAX(IF(ISNUMBER($D206:$N206),$D206:$N206,0)))</f>
        <v>0</v>
      </c>
      <c r="G39" s="28" cm="1">
        <f t="array" ref="G39">IF(ISNUMBER(M206),M206,MAX(IF(ISNUMBER($D206:$N206),$D206:$N206,0)))</f>
        <v>0</v>
      </c>
      <c r="H39" s="32" cm="1">
        <f t="array" ref="H39">IF(ISNUMBER(N206),N206,MAX(IF(ISNUMBER($D206:$N206),$D206:$N206,0)))</f>
        <v>0</v>
      </c>
    </row>
    <row r="40" spans="2:8">
      <c r="B40" s="13" t="s">
        <v>459</v>
      </c>
      <c r="C40" t="s">
        <v>34</v>
      </c>
      <c r="D40" s="28" cm="1">
        <f t="array" ref="D40">IF(ISNUMBER(J207),J207,MAX(IF(ISNUMBER($D207:$N207),$D207:$N207,0)))</f>
        <v>0</v>
      </c>
      <c r="E40" s="28" cm="1">
        <f t="array" ref="E40">IF(ISNUMBER(K207),K207,MAX(IF(ISNUMBER($D207:$N207),$D207:$N207,0)))</f>
        <v>0</v>
      </c>
      <c r="F40" s="28" cm="1">
        <f t="array" ref="F40">IF(ISNUMBER(L207),L207,MAX(IF(ISNUMBER($D207:$N207),$D207:$N207,0)))</f>
        <v>0</v>
      </c>
      <c r="G40" s="28" cm="1">
        <f t="array" ref="G40">IF(ISNUMBER(M207),M207,MAX(IF(ISNUMBER($D207:$N207),$D207:$N207,0)))</f>
        <v>0</v>
      </c>
      <c r="H40" s="32" cm="1">
        <f t="array" ref="H40">IF(ISNUMBER(N207),N207,MAX(IF(ISNUMBER($D207:$N207),$D207:$N207,0)))</f>
        <v>0</v>
      </c>
    </row>
    <row r="41" spans="2:8">
      <c r="B41" s="13" t="s">
        <v>460</v>
      </c>
      <c r="C41" t="s">
        <v>34</v>
      </c>
      <c r="D41" s="28" cm="1">
        <f t="array" ref="D41">IF(ISNUMBER(J208),J208,MAX(IF(ISNUMBER($D208:$N208),$D208:$N208,0)))</f>
        <v>1186.876485795</v>
      </c>
      <c r="E41" s="28" cm="1">
        <f t="array" ref="E41">IF(ISNUMBER(K208),K208,MAX(IF(ISNUMBER($D208:$N208),$D208:$N208,0)))</f>
        <v>840.57403419000002</v>
      </c>
      <c r="F41" s="28" cm="1">
        <f t="array" ref="F41">IF(ISNUMBER(L208),L208,MAX(IF(ISNUMBER($D208:$N208),$D208:$N208,0)))</f>
        <v>1059.3394289774999</v>
      </c>
      <c r="G41" s="28" cm="1">
        <f t="array" ref="G41">IF(ISNUMBER(M208),M208,MAX(IF(ISNUMBER($D208:$N208),$D208:$N208,0)))</f>
        <v>753.28442133450005</v>
      </c>
      <c r="H41" s="32" cm="1">
        <f t="array" ref="H41">IF(ISNUMBER(N208),N208,MAX(IF(ISNUMBER($D208:$N208),$D208:$N208,0)))</f>
        <v>550.99341542850004</v>
      </c>
    </row>
    <row r="42" spans="2:8">
      <c r="B42" s="13" t="s">
        <v>461</v>
      </c>
      <c r="C42" t="s">
        <v>34</v>
      </c>
      <c r="D42" s="28" cm="1">
        <f t="array" ref="D42">IF(ISNUMBER(J209),J209,MAX(IF(ISNUMBER($D209:$N209),$D209:$N209,0)))</f>
        <v>0</v>
      </c>
      <c r="E42" s="28" cm="1">
        <f t="array" ref="E42">IF(ISNUMBER(K209),K209,MAX(IF(ISNUMBER($D209:$N209),$D209:$N209,0)))</f>
        <v>0</v>
      </c>
      <c r="F42" s="28" cm="1">
        <f t="array" ref="F42">IF(ISNUMBER(L209),L209,MAX(IF(ISNUMBER($D209:$N209),$D209:$N209,0)))</f>
        <v>0</v>
      </c>
      <c r="G42" s="28" cm="1">
        <f t="array" ref="G42">IF(ISNUMBER(M209),M209,MAX(IF(ISNUMBER($D209:$N209),$D209:$N209,0)))</f>
        <v>0</v>
      </c>
      <c r="H42" s="32" cm="1">
        <f t="array" ref="H42">IF(ISNUMBER(N209),N209,MAX(IF(ISNUMBER($D209:$N209),$D209:$N209,0)))</f>
        <v>0</v>
      </c>
    </row>
    <row r="43" spans="2:8">
      <c r="B43" s="13" t="s">
        <v>462</v>
      </c>
      <c r="C43" t="s">
        <v>34</v>
      </c>
      <c r="D43" s="28" cm="1">
        <f t="array" ref="D43">IF(ISNUMBER(J210),J210,MAX(IF(ISNUMBER($D210:$N210),$D210:$N210,0)))</f>
        <v>14.170229700000002</v>
      </c>
      <c r="E43" s="28" cm="1">
        <f t="array" ref="E43">IF(ISNUMBER(K210),K210,MAX(IF(ISNUMBER($D210:$N210),$D210:$N210,0)))</f>
        <v>17.6878395375</v>
      </c>
      <c r="F43" s="28" cm="1">
        <f t="array" ref="F43">IF(ISNUMBER(L210),L210,MAX(IF(ISNUMBER($D210:$N210),$D210:$N210,0)))</f>
        <v>9.9790349999999997</v>
      </c>
      <c r="G43" s="28" cm="1">
        <f t="array" ref="G43">IF(ISNUMBER(M210),M210,MAX(IF(ISNUMBER($D210:$N210),$D210:$N210,0)))</f>
        <v>14.587353362999998</v>
      </c>
      <c r="H43" s="32" cm="1">
        <f t="array" ref="H43">IF(ISNUMBER(N210),N210,MAX(IF(ISNUMBER($D210:$N210),$D210:$N210,0)))</f>
        <v>21.715378063500001</v>
      </c>
    </row>
    <row r="44" spans="2:8">
      <c r="B44" s="13" t="s">
        <v>463</v>
      </c>
      <c r="C44" t="s">
        <v>34</v>
      </c>
      <c r="D44" s="28" cm="1">
        <f t="array" ref="D44">IF(ISNUMBER(J211),J211,MAX(IF(ISNUMBER($D211:$N211),$D211:$N211,0)))</f>
        <v>0</v>
      </c>
      <c r="E44" s="28" cm="1">
        <f t="array" ref="E44">IF(ISNUMBER(K211),K211,MAX(IF(ISNUMBER($D211:$N211),$D211:$N211,0)))</f>
        <v>0</v>
      </c>
      <c r="F44" s="28" cm="1">
        <f t="array" ref="F44">IF(ISNUMBER(L211),L211,MAX(IF(ISNUMBER($D211:$N211),$D211:$N211,0)))</f>
        <v>0</v>
      </c>
      <c r="G44" s="28" cm="1">
        <f t="array" ref="G44">IF(ISNUMBER(M211),M211,MAX(IF(ISNUMBER($D211:$N211),$D211:$N211,0)))</f>
        <v>0</v>
      </c>
      <c r="H44" s="32" cm="1">
        <f t="array" ref="H44">IF(ISNUMBER(N211),N211,MAX(IF(ISNUMBER($D211:$N211),$D211:$N211,0)))</f>
        <v>0</v>
      </c>
    </row>
    <row r="45" spans="2:8">
      <c r="B45" s="13" t="s">
        <v>464</v>
      </c>
      <c r="C45" t="s">
        <v>34</v>
      </c>
      <c r="D45" s="28" cm="1">
        <f t="array" ref="D45">IF(ISNUMBER(J212),J212,MAX(IF(ISNUMBER($D212:$N212),$D212:$N212,0)))</f>
        <v>39.666664125000004</v>
      </c>
      <c r="E45" s="28" cm="1">
        <f t="array" ref="E45">IF(ISNUMBER(K212),K212,MAX(IF(ISNUMBER($D212:$N212),$D212:$N212,0)))</f>
        <v>42.909850500000005</v>
      </c>
      <c r="F45" s="28" cm="1">
        <f t="array" ref="F45">IF(ISNUMBER(L212),L212,MAX(IF(ISNUMBER($D212:$N212),$D212:$N212,0)))</f>
        <v>13.970649</v>
      </c>
      <c r="G45" s="28" cm="1">
        <f t="array" ref="G45">IF(ISNUMBER(M212),M212,MAX(IF(ISNUMBER($D212:$N212),$D212:$N212,0)))</f>
        <v>17.962263</v>
      </c>
      <c r="H45" s="32" cm="1">
        <f t="array" ref="H45">IF(ISNUMBER(N212),N212,MAX(IF(ISNUMBER($D212:$N212),$D212:$N212,0)))</f>
        <v>2.7941298000000003</v>
      </c>
    </row>
    <row r="46" spans="2:8">
      <c r="B46" s="13" t="s">
        <v>465</v>
      </c>
      <c r="C46" t="s">
        <v>34</v>
      </c>
      <c r="D46" s="28" cm="1">
        <f t="array" ref="D46">IF(ISNUMBER(J213),J213,MAX(IF(ISNUMBER($D213:$N213),$D213:$N213,0)))</f>
        <v>0.49895175000000003</v>
      </c>
      <c r="E46" s="28" cm="1">
        <f t="array" ref="E46">IF(ISNUMBER(K213),K213,MAX(IF(ISNUMBER($D213:$N213),$D213:$N213,0)))</f>
        <v>0.49895175000000003</v>
      </c>
      <c r="F46" s="28" cm="1">
        <f t="array" ref="F46">IF(ISNUMBER(L213),L213,MAX(IF(ISNUMBER($D213:$N213),$D213:$N213,0)))</f>
        <v>0</v>
      </c>
      <c r="G46" s="28" cm="1">
        <f t="array" ref="G46">IF(ISNUMBER(M213),M213,MAX(IF(ISNUMBER($D213:$N213),$D213:$N213,0)))</f>
        <v>0</v>
      </c>
      <c r="H46" s="32" cm="1">
        <f t="array" ref="H46">IF(ISNUMBER(N213),N213,MAX(IF(ISNUMBER($D213:$N213),$D213:$N213,0)))</f>
        <v>0</v>
      </c>
    </row>
    <row r="47" spans="2:8">
      <c r="B47" s="13" t="s">
        <v>466</v>
      </c>
      <c r="C47" t="s">
        <v>34</v>
      </c>
      <c r="D47" s="28" cm="1">
        <f t="array" ref="D47">IF(ISNUMBER(J214),J214,MAX(IF(ISNUMBER($D214:$N214),$D214:$N214,0)))</f>
        <v>0</v>
      </c>
      <c r="E47" s="28" cm="1">
        <f t="array" ref="E47">IF(ISNUMBER(K214),K214,MAX(IF(ISNUMBER($D214:$N214),$D214:$N214,0)))</f>
        <v>0</v>
      </c>
      <c r="F47" s="28" cm="1">
        <f t="array" ref="F47">IF(ISNUMBER(L214),L214,MAX(IF(ISNUMBER($D214:$N214),$D214:$N214,0)))</f>
        <v>0</v>
      </c>
      <c r="G47" s="28" cm="1">
        <f t="array" ref="G47">IF(ISNUMBER(M214),M214,MAX(IF(ISNUMBER($D214:$N214),$D214:$N214,0)))</f>
        <v>0</v>
      </c>
      <c r="H47" s="32" cm="1">
        <f t="array" ref="H47">IF(ISNUMBER(N214),N214,MAX(IF(ISNUMBER($D214:$N214),$D214:$N214,0)))</f>
        <v>0</v>
      </c>
    </row>
    <row r="48" spans="2:8">
      <c r="B48" s="13" t="s">
        <v>467</v>
      </c>
      <c r="C48" t="s">
        <v>34</v>
      </c>
      <c r="D48" s="28" cm="1">
        <f t="array" ref="D48">IF(ISNUMBER(J215),J215,MAX(IF(ISNUMBER($D215:$N215),$D215:$N215,0)))</f>
        <v>225.402450966</v>
      </c>
      <c r="E48" s="28" cm="1">
        <f t="array" ref="E48">IF(ISNUMBER(K215),K215,MAX(IF(ISNUMBER($D215:$N215),$D215:$N215,0)))</f>
        <v>264.66396627</v>
      </c>
      <c r="F48" s="28" cm="1">
        <f t="array" ref="F48">IF(ISNUMBER(L215),L215,MAX(IF(ISNUMBER($D215:$N215),$D215:$N215,0)))</f>
        <v>243.72695293650003</v>
      </c>
      <c r="G48" s="28" cm="1">
        <f t="array" ref="G48">IF(ISNUMBER(M215),M215,MAX(IF(ISNUMBER($D215:$N215),$D215:$N215,0)))</f>
        <v>195.01728729450002</v>
      </c>
      <c r="H48" s="32" cm="1">
        <f t="array" ref="H48">IF(ISNUMBER(N215),N215,MAX(IF(ISNUMBER($D215:$N215),$D215:$N215,0)))</f>
        <v>250.9278245925</v>
      </c>
    </row>
    <row r="49" spans="2:8">
      <c r="B49" s="13" t="s">
        <v>468</v>
      </c>
      <c r="C49" t="s">
        <v>34</v>
      </c>
      <c r="D49" s="28" cm="1">
        <f t="array" ref="D49">IF(ISNUMBER(J216),J216,MAX(IF(ISNUMBER($D216:$N216),$D216:$N216,0)))</f>
        <v>0</v>
      </c>
      <c r="E49" s="28" cm="1">
        <f t="array" ref="E49">IF(ISNUMBER(K216),K216,MAX(IF(ISNUMBER($D216:$N216),$D216:$N216,0)))</f>
        <v>4885.1912250000005</v>
      </c>
      <c r="F49" s="28" cm="1">
        <f t="array" ref="F49">IF(ISNUMBER(L216),L216,MAX(IF(ISNUMBER($D216:$N216),$D216:$N216,0)))</f>
        <v>0</v>
      </c>
      <c r="G49" s="28" cm="1">
        <f t="array" ref="G49">IF(ISNUMBER(M216),M216,MAX(IF(ISNUMBER($D216:$N216),$D216:$N216,0)))</f>
        <v>0</v>
      </c>
      <c r="H49" s="32" cm="1">
        <f t="array" ref="H49">IF(ISNUMBER(N216),N216,MAX(IF(ISNUMBER($D216:$N216),$D216:$N216,0)))</f>
        <v>7.4912615745000002</v>
      </c>
    </row>
    <row r="50" spans="2:8">
      <c r="B50" s="13" t="s">
        <v>469</v>
      </c>
      <c r="C50" t="s">
        <v>34</v>
      </c>
      <c r="D50" s="28" cm="1">
        <f t="array" ref="D50">IF(ISNUMBER(J217),J217,MAX(IF(ISNUMBER($D217:$N217),$D217:$N217,0)))</f>
        <v>1260.7373112509999</v>
      </c>
      <c r="E50" s="28" cm="1">
        <f t="array" ref="E50">IF(ISNUMBER(K217),K217,MAX(IF(ISNUMBER($D217:$N217),$D217:$N217,0)))</f>
        <v>1460.2591349445001</v>
      </c>
      <c r="F50" s="28" cm="1">
        <f t="array" ref="F50">IF(ISNUMBER(L217),L217,MAX(IF(ISNUMBER($D217:$N217),$D217:$N217,0)))</f>
        <v>1234.5064198499999</v>
      </c>
      <c r="G50" s="28" cm="1">
        <f t="array" ref="G50">IF(ISNUMBER(M217),M217,MAX(IF(ISNUMBER($D217:$N217),$D217:$N217,0)))</f>
        <v>1040.6906083695001</v>
      </c>
      <c r="H50" s="32" cm="1">
        <f t="array" ref="H50">IF(ISNUMBER(N217),N217,MAX(IF(ISNUMBER($D217:$N217),$D217:$N217,0)))</f>
        <v>1528.7881620000001</v>
      </c>
    </row>
    <row r="51" spans="2:8">
      <c r="B51" s="13" t="s">
        <v>470</v>
      </c>
      <c r="C51" t="s">
        <v>34</v>
      </c>
      <c r="D51" s="28" cm="1">
        <f t="array" ref="D51">IF(ISNUMBER(J218),J218,MAX(IF(ISNUMBER($D218:$N218),$D218:$N218,0)))</f>
        <v>0</v>
      </c>
      <c r="E51" s="28" cm="1">
        <f t="array" ref="E51">IF(ISNUMBER(K218),K218,MAX(IF(ISNUMBER($D218:$N218),$D218:$N218,0)))</f>
        <v>0</v>
      </c>
      <c r="F51" s="28" cm="1">
        <f t="array" ref="F51">IF(ISNUMBER(L218),L218,MAX(IF(ISNUMBER($D218:$N218),$D218:$N218,0)))</f>
        <v>0</v>
      </c>
      <c r="G51" s="28" cm="1">
        <f t="array" ref="G51">IF(ISNUMBER(M218),M218,MAX(IF(ISNUMBER($D218:$N218),$D218:$N218,0)))</f>
        <v>0</v>
      </c>
      <c r="H51" s="32" cm="1">
        <f t="array" ref="H51">IF(ISNUMBER(N218),N218,MAX(IF(ISNUMBER($D218:$N218),$D218:$N218,0)))</f>
        <v>0</v>
      </c>
    </row>
    <row r="52" spans="2:8">
      <c r="B52" s="13" t="s">
        <v>471</v>
      </c>
      <c r="C52" t="s">
        <v>34</v>
      </c>
      <c r="D52" s="28" cm="1">
        <f t="array" ref="D52">IF(ISNUMBER(J219),J219,MAX(IF(ISNUMBER($D219:$N219),$D219:$N219,0)))</f>
        <v>1.5856686615</v>
      </c>
      <c r="E52" s="28" cm="1">
        <f t="array" ref="E52">IF(ISNUMBER(K219),K219,MAX(IF(ISNUMBER($D219:$N219),$D219:$N219,0)))</f>
        <v>1.2623479275000002</v>
      </c>
      <c r="F52" s="28" cm="1">
        <f t="array" ref="F52">IF(ISNUMBER(L219),L219,MAX(IF(ISNUMBER($D219:$N219),$D219:$N219,0)))</f>
        <v>5.270926287</v>
      </c>
      <c r="G52" s="28" cm="1">
        <f t="array" ref="G52">IF(ISNUMBER(M219),M219,MAX(IF(ISNUMBER($D219:$N219),$D219:$N219,0)))</f>
        <v>14.305944576</v>
      </c>
      <c r="H52" s="32" cm="1">
        <f t="array" ref="H52">IF(ISNUMBER(N219),N219,MAX(IF(ISNUMBER($D219:$N219),$D219:$N219,0)))</f>
        <v>17.5102127145</v>
      </c>
    </row>
    <row r="53" spans="2:8">
      <c r="B53" s="13" t="s">
        <v>472</v>
      </c>
      <c r="C53" t="s">
        <v>34</v>
      </c>
      <c r="D53" s="28" cm="1">
        <f t="array" ref="D53">IF(ISNUMBER(J220),J220,MAX(IF(ISNUMBER($D220:$N220),$D220:$N220,0)))</f>
        <v>0</v>
      </c>
      <c r="E53" s="28" cm="1">
        <f t="array" ref="E53">IF(ISNUMBER(K220),K220,MAX(IF(ISNUMBER($D220:$N220),$D220:$N220,0)))</f>
        <v>0</v>
      </c>
      <c r="F53" s="28" cm="1">
        <f t="array" ref="F53">IF(ISNUMBER(L220),L220,MAX(IF(ISNUMBER($D220:$N220),$D220:$N220,0)))</f>
        <v>0</v>
      </c>
      <c r="G53" s="28" cm="1">
        <f t="array" ref="G53">IF(ISNUMBER(M220),M220,MAX(IF(ISNUMBER($D220:$N220),$D220:$N220,0)))</f>
        <v>0</v>
      </c>
      <c r="H53" s="32" cm="1">
        <f t="array" ref="H53">IF(ISNUMBER(N220),N220,MAX(IF(ISNUMBER($D220:$N220),$D220:$N220,0)))</f>
        <v>0</v>
      </c>
    </row>
    <row r="54" spans="2:8">
      <c r="B54" s="13" t="s">
        <v>473</v>
      </c>
      <c r="C54" t="s">
        <v>34</v>
      </c>
      <c r="D54" s="28" cm="1">
        <f t="array" ref="D54">IF(ISNUMBER(J221),J221,MAX(IF(ISNUMBER($D221:$N221),$D221:$N221,0)))</f>
        <v>97.508144695500008</v>
      </c>
      <c r="E54" s="28" cm="1">
        <f t="array" ref="E54">IF(ISNUMBER(K221),K221,MAX(IF(ISNUMBER($D221:$N221),$D221:$N221,0)))</f>
        <v>0</v>
      </c>
      <c r="F54" s="28" cm="1">
        <f t="array" ref="F54">IF(ISNUMBER(L221),L221,MAX(IF(ISNUMBER($D221:$N221),$D221:$N221,0)))</f>
        <v>180.62053349999999</v>
      </c>
      <c r="G54" s="28" cm="1">
        <f t="array" ref="G54">IF(ISNUMBER(M221),M221,MAX(IF(ISNUMBER($D221:$N221),$D221:$N221,0)))</f>
        <v>0</v>
      </c>
      <c r="H54" s="32" cm="1">
        <f t="array" ref="H54">IF(ISNUMBER(N221),N221,MAX(IF(ISNUMBER($D221:$N221),$D221:$N221,0)))</f>
        <v>180.62053349999999</v>
      </c>
    </row>
    <row r="55" spans="2:8">
      <c r="B55" s="13" t="s">
        <v>474</v>
      </c>
      <c r="C55" t="s">
        <v>34</v>
      </c>
      <c r="D55" s="28" cm="1">
        <f t="array" ref="D55">IF(ISNUMBER(J222),J222,MAX(IF(ISNUMBER($D222:$N222),$D222:$N222,0)))</f>
        <v>2306.5950639435005</v>
      </c>
      <c r="E55" s="28" cm="1">
        <f t="array" ref="E55">IF(ISNUMBER(K222),K222,MAX(IF(ISNUMBER($D222:$N222),$D222:$N222,0)))</f>
        <v>1951.9241935875</v>
      </c>
      <c r="F55" s="28" cm="1">
        <f t="array" ref="F55">IF(ISNUMBER(L222),L222,MAX(IF(ISNUMBER($D222:$N222),$D222:$N222,0)))</f>
        <v>2151.6735392790001</v>
      </c>
      <c r="G55" s="28" cm="1">
        <f t="array" ref="G55">IF(ISNUMBER(M222),M222,MAX(IF(ISNUMBER($D222:$N222),$D222:$N222,0)))</f>
        <v>1930.0731006479998</v>
      </c>
      <c r="H55" s="32" cm="1">
        <f t="array" ref="H55">IF(ISNUMBER(N222),N222,MAX(IF(ISNUMBER($D222:$N222),$D222:$N222,0)))</f>
        <v>2367.3673870934999</v>
      </c>
    </row>
    <row r="56" spans="2:8">
      <c r="B56" s="13" t="s">
        <v>475</v>
      </c>
      <c r="C56" t="s">
        <v>34</v>
      </c>
      <c r="D56" s="28" cm="1">
        <f t="array" ref="D56">IF(ISNUMBER(J223),J223,MAX(IF(ISNUMBER($D223:$N223),$D223:$N223,0)))</f>
        <v>10060.68165</v>
      </c>
      <c r="E56" s="28" cm="1">
        <f t="array" ref="E56">IF(ISNUMBER(K223),K223,MAX(IF(ISNUMBER($D223:$N223),$D223:$N223,0)))</f>
        <v>10060.68165</v>
      </c>
      <c r="F56" s="28" cm="1">
        <f t="array" ref="F56">IF(ISNUMBER(L223),L223,MAX(IF(ISNUMBER($D223:$N223),$D223:$N223,0)))</f>
        <v>1988.8216755000003</v>
      </c>
      <c r="G56" s="28" cm="1">
        <f t="array" ref="G56">IF(ISNUMBER(M223),M223,MAX(IF(ISNUMBER($D223:$N223),$D223:$N223,0)))</f>
        <v>2794.1298000000002</v>
      </c>
      <c r="H56" s="32" cm="1">
        <f t="array" ref="H56">IF(ISNUMBER(N223),N223,MAX(IF(ISNUMBER($D223:$N223),$D223:$N223,0)))</f>
        <v>1482.8846010000002</v>
      </c>
    </row>
    <row r="57" spans="2:8">
      <c r="B57" s="13" t="s">
        <v>476</v>
      </c>
      <c r="C57" t="s">
        <v>34</v>
      </c>
      <c r="D57" s="28" cm="1">
        <f t="array" ref="D57">IF(ISNUMBER(J224),J224,MAX(IF(ISNUMBER($D224:$N224),$D224:$N224,0)))</f>
        <v>5.5433539425000005</v>
      </c>
      <c r="E57" s="28" cm="1">
        <f t="array" ref="E57">IF(ISNUMBER(K224),K224,MAX(IF(ISNUMBER($D224:$N224),$D224:$N224,0)))</f>
        <v>1.5966456</v>
      </c>
      <c r="F57" s="28" cm="1">
        <f t="array" ref="F57">IF(ISNUMBER(L224),L224,MAX(IF(ISNUMBER($D224:$N224),$D224:$N224,0)))</f>
        <v>1.9538950529999999</v>
      </c>
      <c r="G57" s="28" cm="1">
        <f t="array" ref="G57">IF(ISNUMBER(M224),M224,MAX(IF(ISNUMBER($D224:$N224),$D224:$N224,0)))</f>
        <v>5.5433539425000005</v>
      </c>
      <c r="H57" s="32" cm="1">
        <f t="array" ref="H57">IF(ISNUMBER(N224),N224,MAX(IF(ISNUMBER($D224:$N224),$D224:$N224,0)))</f>
        <v>0</v>
      </c>
    </row>
    <row r="58" spans="2:8">
      <c r="B58" s="13" t="s">
        <v>477</v>
      </c>
      <c r="C58" t="s">
        <v>34</v>
      </c>
      <c r="D58" s="28" cm="1">
        <f t="array" ref="D58">IF(ISNUMBER(J225),J225,MAX(IF(ISNUMBER($D225:$N225),$D225:$N225,0)))</f>
        <v>23.087495376</v>
      </c>
      <c r="E58" s="28" cm="1">
        <f t="array" ref="E58">IF(ISNUMBER(K225),K225,MAX(IF(ISNUMBER($D225:$N225),$D225:$N225,0)))</f>
        <v>23.495637907500001</v>
      </c>
      <c r="F58" s="28" cm="1">
        <f t="array" ref="F58">IF(ISNUMBER(L225),L225,MAX(IF(ISNUMBER($D225:$N225),$D225:$N225,0)))</f>
        <v>33.4607022585</v>
      </c>
      <c r="G58" s="28" cm="1">
        <f t="array" ref="G58">IF(ISNUMBER(M225),M225,MAX(IF(ISNUMBER($D225:$N225),$D225:$N225,0)))</f>
        <v>28.502119767000003</v>
      </c>
      <c r="H58" s="32" cm="1">
        <f t="array" ref="H58">IF(ISNUMBER(N225),N225,MAX(IF(ISNUMBER($D225:$N225),$D225:$N225,0)))</f>
        <v>34.216115207999998</v>
      </c>
    </row>
    <row r="59" spans="2:8">
      <c r="B59" s="13" t="s">
        <v>478</v>
      </c>
      <c r="C59" t="s">
        <v>34</v>
      </c>
      <c r="D59" s="28" cm="1">
        <f t="array" ref="D59">IF(ISNUMBER(J226),J226,MAX(IF(ISNUMBER($D226:$N226),$D226:$N226,0)))</f>
        <v>0</v>
      </c>
      <c r="E59" s="28" cm="1">
        <f t="array" ref="E59">IF(ISNUMBER(K226),K226,MAX(IF(ISNUMBER($D226:$N226),$D226:$N226,0)))</f>
        <v>0</v>
      </c>
      <c r="F59" s="28" cm="1">
        <f t="array" ref="F59">IF(ISNUMBER(L226),L226,MAX(IF(ISNUMBER($D226:$N226),$D226:$N226,0)))</f>
        <v>0</v>
      </c>
      <c r="G59" s="28" cm="1">
        <f t="array" ref="G59">IF(ISNUMBER(M226),M226,MAX(IF(ISNUMBER($D226:$N226),$D226:$N226,0)))</f>
        <v>0</v>
      </c>
      <c r="H59" s="32" cm="1">
        <f t="array" ref="H59">IF(ISNUMBER(N226),N226,MAX(IF(ISNUMBER($D226:$N226),$D226:$N226,0)))</f>
        <v>0</v>
      </c>
    </row>
    <row r="60" spans="2:8">
      <c r="B60" s="13" t="s">
        <v>479</v>
      </c>
      <c r="C60" t="s">
        <v>34</v>
      </c>
      <c r="D60" s="28" cm="1">
        <f t="array" ref="D60">IF(ISNUMBER(J227),J227,MAX(IF(ISNUMBER($D227:$N227),$D227:$N227,0)))</f>
        <v>2429.9403817500001</v>
      </c>
      <c r="E60" s="28" cm="1">
        <f t="array" ref="E60">IF(ISNUMBER(K227),K227,MAX(IF(ISNUMBER($D227:$N227),$D227:$N227,0)))</f>
        <v>2429.9403817500001</v>
      </c>
      <c r="F60" s="28" cm="1">
        <f t="array" ref="F60">IF(ISNUMBER(L227),L227,MAX(IF(ISNUMBER($D227:$N227),$D227:$N227,0)))</f>
        <v>2429.9403817500001</v>
      </c>
      <c r="G60" s="28" cm="1">
        <f t="array" ref="G60">IF(ISNUMBER(M227),M227,MAX(IF(ISNUMBER($D227:$N227),$D227:$N227,0)))</f>
        <v>2429.9403817500001</v>
      </c>
      <c r="H60" s="32" cm="1">
        <f t="array" ref="H60">IF(ISNUMBER(N227),N227,MAX(IF(ISNUMBER($D227:$N227),$D227:$N227,0)))</f>
        <v>2429.9403817500001</v>
      </c>
    </row>
    <row r="61" spans="2:8">
      <c r="B61" s="13" t="s">
        <v>480</v>
      </c>
      <c r="C61" t="s">
        <v>34</v>
      </c>
      <c r="D61" s="28" cm="1">
        <f t="array" ref="D61">IF(ISNUMBER(J228),J228,MAX(IF(ISNUMBER($D228:$N228),$D228:$N228,0)))</f>
        <v>109.08182948850001</v>
      </c>
      <c r="E61" s="28" cm="1">
        <f t="array" ref="E61">IF(ISNUMBER(K228),K228,MAX(IF(ISNUMBER($D228:$N228),$D228:$N228,0)))</f>
        <v>110.64055475550001</v>
      </c>
      <c r="F61" s="28" cm="1">
        <f t="array" ref="F61">IF(ISNUMBER(L228),L228,MAX(IF(ISNUMBER($D228:$N228),$D228:$N228,0)))</f>
        <v>116.01526300650001</v>
      </c>
      <c r="G61" s="28" cm="1">
        <f t="array" ref="G61">IF(ISNUMBER(M228),M228,MAX(IF(ISNUMBER($D228:$N228),$D228:$N228,0)))</f>
        <v>101.05469373450001</v>
      </c>
      <c r="H61" s="32" cm="1">
        <f t="array" ref="H61">IF(ISNUMBER(N228),N228,MAX(IF(ISNUMBER($D228:$N228),$D228:$N228,0)))</f>
        <v>109.769385</v>
      </c>
    </row>
    <row r="62" spans="2:8">
      <c r="B62" s="13" t="s">
        <v>481</v>
      </c>
      <c r="C62" t="s">
        <v>34</v>
      </c>
      <c r="D62" s="28" cm="1">
        <f t="array" ref="D62">IF(ISNUMBER(J229),J229,MAX(IF(ISNUMBER($D229:$N229),$D229:$N229,0)))</f>
        <v>0</v>
      </c>
      <c r="E62" s="28" cm="1">
        <f t="array" ref="E62">IF(ISNUMBER(K229),K229,MAX(IF(ISNUMBER($D229:$N229),$D229:$N229,0)))</f>
        <v>0</v>
      </c>
      <c r="F62" s="28" cm="1">
        <f t="array" ref="F62">IF(ISNUMBER(L229),L229,MAX(IF(ISNUMBER($D229:$N229),$D229:$N229,0)))</f>
        <v>0</v>
      </c>
      <c r="G62" s="28" cm="1">
        <f t="array" ref="G62">IF(ISNUMBER(M229),M229,MAX(IF(ISNUMBER($D229:$N229),$D229:$N229,0)))</f>
        <v>0</v>
      </c>
      <c r="H62" s="32" cm="1">
        <f t="array" ref="H62">IF(ISNUMBER(N229),N229,MAX(IF(ISNUMBER($D229:$N229),$D229:$N229,0)))</f>
        <v>0</v>
      </c>
    </row>
    <row r="63" spans="2:8">
      <c r="B63" s="13" t="s">
        <v>482</v>
      </c>
      <c r="C63" t="s">
        <v>34</v>
      </c>
      <c r="D63" s="28" cm="1">
        <f t="array" ref="D63">IF(ISNUMBER(J230),J230,MAX(IF(ISNUMBER($D230:$N230),$D230:$N230,0)))</f>
        <v>0</v>
      </c>
      <c r="E63" s="28" cm="1">
        <f t="array" ref="E63">IF(ISNUMBER(K230),K230,MAX(IF(ISNUMBER($D230:$N230),$D230:$N230,0)))</f>
        <v>0</v>
      </c>
      <c r="F63" s="28" cm="1">
        <f t="array" ref="F63">IF(ISNUMBER(L230),L230,MAX(IF(ISNUMBER($D230:$N230),$D230:$N230,0)))</f>
        <v>0</v>
      </c>
      <c r="G63" s="28" cm="1">
        <f t="array" ref="G63">IF(ISNUMBER(M230),M230,MAX(IF(ISNUMBER($D230:$N230),$D230:$N230,0)))</f>
        <v>0</v>
      </c>
      <c r="H63" s="32" cm="1">
        <f t="array" ref="H63">IF(ISNUMBER(N230),N230,MAX(IF(ISNUMBER($D230:$N230),$D230:$N230,0)))</f>
        <v>0</v>
      </c>
    </row>
    <row r="64" spans="2:8">
      <c r="B64" s="13" t="s">
        <v>483</v>
      </c>
      <c r="C64" t="s">
        <v>34</v>
      </c>
      <c r="D64" s="28" cm="1">
        <f t="array" ref="D64">IF(ISNUMBER(J231),J231,MAX(IF(ISNUMBER($D231:$N231),$D231:$N231,0)))</f>
        <v>0</v>
      </c>
      <c r="E64" s="28" cm="1">
        <f t="array" ref="E64">IF(ISNUMBER(K231),K231,MAX(IF(ISNUMBER($D231:$N231),$D231:$N231,0)))</f>
        <v>0</v>
      </c>
      <c r="F64" s="28" cm="1">
        <f t="array" ref="F64">IF(ISNUMBER(L231),L231,MAX(IF(ISNUMBER($D231:$N231),$D231:$N231,0)))</f>
        <v>0</v>
      </c>
      <c r="G64" s="28" cm="1">
        <f t="array" ref="G64">IF(ISNUMBER(M231),M231,MAX(IF(ISNUMBER($D231:$N231),$D231:$N231,0)))</f>
        <v>0</v>
      </c>
      <c r="H64" s="32" cm="1">
        <f t="array" ref="H64">IF(ISNUMBER(N231),N231,MAX(IF(ISNUMBER($D231:$N231),$D231:$N231,0)))</f>
        <v>0</v>
      </c>
    </row>
    <row r="65" spans="2:8">
      <c r="B65" s="13" t="s">
        <v>484</v>
      </c>
      <c r="C65" t="s">
        <v>34</v>
      </c>
      <c r="D65" s="28" cm="1">
        <f t="array" ref="D65">IF(ISNUMBER(J232),J232,MAX(IF(ISNUMBER($D232:$N232),$D232:$N232,0)))</f>
        <v>0</v>
      </c>
      <c r="E65" s="28" cm="1">
        <f t="array" ref="E65">IF(ISNUMBER(K232),K232,MAX(IF(ISNUMBER($D232:$N232),$D232:$N232,0)))</f>
        <v>0</v>
      </c>
      <c r="F65" s="28" cm="1">
        <f t="array" ref="F65">IF(ISNUMBER(L232),L232,MAX(IF(ISNUMBER($D232:$N232),$D232:$N232,0)))</f>
        <v>0</v>
      </c>
      <c r="G65" s="28" cm="1">
        <f t="array" ref="G65">IF(ISNUMBER(M232),M232,MAX(IF(ISNUMBER($D232:$N232),$D232:$N232,0)))</f>
        <v>0</v>
      </c>
      <c r="H65" s="32" cm="1">
        <f t="array" ref="H65">IF(ISNUMBER(N232),N232,MAX(IF(ISNUMBER($D232:$N232),$D232:$N232,0)))</f>
        <v>0</v>
      </c>
    </row>
    <row r="66" spans="2:8">
      <c r="B66" s="13" t="s">
        <v>485</v>
      </c>
      <c r="C66" t="s">
        <v>34</v>
      </c>
      <c r="D66" s="28" cm="1">
        <f t="array" ref="D66">IF(ISNUMBER(J233),J233,MAX(IF(ISNUMBER($D233:$N233),$D233:$N233,0)))</f>
        <v>3928.8478656570005</v>
      </c>
      <c r="E66" s="28" cm="1">
        <f t="array" ref="E66">IF(ISNUMBER(K233),K233,MAX(IF(ISNUMBER($D233:$N233),$D233:$N233,0)))</f>
        <v>3928.8478656570005</v>
      </c>
      <c r="F66" s="28" cm="1">
        <f t="array" ref="F66">IF(ISNUMBER(L233),L233,MAX(IF(ISNUMBER($D233:$N233),$D233:$N233,0)))</f>
        <v>5376.4775339055004</v>
      </c>
      <c r="G66" s="28" cm="1">
        <f t="array" ref="G66">IF(ISNUMBER(M233),M233,MAX(IF(ISNUMBER($D233:$N233),$D233:$N233,0)))</f>
        <v>19.195671726</v>
      </c>
      <c r="H66" s="32" cm="1">
        <f t="array" ref="H66">IF(ISNUMBER(N233),N233,MAX(IF(ISNUMBER($D233:$N233),$D233:$N233,0)))</f>
        <v>3892.1659309005004</v>
      </c>
    </row>
    <row r="67" spans="2:8">
      <c r="B67" s="13" t="s">
        <v>486</v>
      </c>
      <c r="C67" t="s">
        <v>34</v>
      </c>
      <c r="D67" s="28" cm="1">
        <f t="array" ref="D67">IF(ISNUMBER(J234),J234,MAX(IF(ISNUMBER($D234:$N234),$D234:$N234,0)))</f>
        <v>0</v>
      </c>
      <c r="E67" s="28" cm="1">
        <f t="array" ref="E67">IF(ISNUMBER(K234),K234,MAX(IF(ISNUMBER($D234:$N234),$D234:$N234,0)))</f>
        <v>0</v>
      </c>
      <c r="F67" s="28" cm="1">
        <f t="array" ref="F67">IF(ISNUMBER(L234),L234,MAX(IF(ISNUMBER($D234:$N234),$D234:$N234,0)))</f>
        <v>0</v>
      </c>
      <c r="G67" s="28" cm="1">
        <f t="array" ref="G67">IF(ISNUMBER(M234),M234,MAX(IF(ISNUMBER($D234:$N234),$D234:$N234,0)))</f>
        <v>0</v>
      </c>
      <c r="H67" s="32" cm="1">
        <f t="array" ref="H67">IF(ISNUMBER(N234),N234,MAX(IF(ISNUMBER($D234:$N234),$D234:$N234,0)))</f>
        <v>0</v>
      </c>
    </row>
    <row r="68" spans="2:8">
      <c r="B68" s="13" t="s">
        <v>487</v>
      </c>
      <c r="C68" t="s">
        <v>34</v>
      </c>
      <c r="D68" s="28" cm="1">
        <f t="array" ref="D68">IF(ISNUMBER(J235),J235,MAX(IF(ISNUMBER($D235:$N235),$D235:$N235,0)))</f>
        <v>4.9895174999999998</v>
      </c>
      <c r="E68" s="28" cm="1">
        <f t="array" ref="E68">IF(ISNUMBER(K235),K235,MAX(IF(ISNUMBER($D235:$N235),$D235:$N235,0)))</f>
        <v>0</v>
      </c>
      <c r="F68" s="28" cm="1">
        <f t="array" ref="F68">IF(ISNUMBER(L235),L235,MAX(IF(ISNUMBER($D235:$N235),$D235:$N235,0)))</f>
        <v>1.4968552500000001</v>
      </c>
      <c r="G68" s="28" cm="1">
        <f t="array" ref="G68">IF(ISNUMBER(M235),M235,MAX(IF(ISNUMBER($D235:$N235),$D235:$N235,0)))</f>
        <v>0.43907753999999999</v>
      </c>
      <c r="H68" s="32" cm="1">
        <f t="array" ref="H68">IF(ISNUMBER(N235),N235,MAX(IF(ISNUMBER($D235:$N235),$D235:$N235,0)))</f>
        <v>4.1712366300000001</v>
      </c>
    </row>
    <row r="69" spans="2:8">
      <c r="B69" s="13" t="s">
        <v>488</v>
      </c>
      <c r="C69" t="s">
        <v>34</v>
      </c>
      <c r="D69" s="28" cm="1">
        <f t="array" ref="D69">IF(ISNUMBER(J236),J236,MAX(IF(ISNUMBER($D236:$N236),$D236:$N236,0)))</f>
        <v>0</v>
      </c>
      <c r="E69" s="28" cm="1">
        <f t="array" ref="E69">IF(ISNUMBER(K236),K236,MAX(IF(ISNUMBER($D236:$N236),$D236:$N236,0)))</f>
        <v>0</v>
      </c>
      <c r="F69" s="28" cm="1">
        <f t="array" ref="F69">IF(ISNUMBER(L236),L236,MAX(IF(ISNUMBER($D236:$N236),$D236:$N236,0)))</f>
        <v>0</v>
      </c>
      <c r="G69" s="28" cm="1">
        <f t="array" ref="G69">IF(ISNUMBER(M236),M236,MAX(IF(ISNUMBER($D236:$N236),$D236:$N236,0)))</f>
        <v>0</v>
      </c>
      <c r="H69" s="32" cm="1">
        <f t="array" ref="H69">IF(ISNUMBER(N236),N236,MAX(IF(ISNUMBER($D236:$N236),$D236:$N236,0)))</f>
        <v>0</v>
      </c>
    </row>
    <row r="70" spans="2:8">
      <c r="B70" s="13" t="s">
        <v>489</v>
      </c>
      <c r="C70" t="s">
        <v>34</v>
      </c>
      <c r="D70" s="28" cm="1">
        <f t="array" ref="D70">IF(ISNUMBER(J237),J237,MAX(IF(ISNUMBER($D237:$N237),$D237:$N237,0)))</f>
        <v>148.555898238</v>
      </c>
      <c r="E70" s="28" cm="1">
        <f t="array" ref="E70">IF(ISNUMBER(K237),K237,MAX(IF(ISNUMBER($D237:$N237),$D237:$N237,0)))</f>
        <v>106.41742714350001</v>
      </c>
      <c r="F70" s="28" cm="1">
        <f t="array" ref="F70">IF(ISNUMBER(L237),L237,MAX(IF(ISNUMBER($D237:$N237),$D237:$N237,0)))</f>
        <v>304.0562069325</v>
      </c>
      <c r="G70" s="28" cm="1">
        <f t="array" ref="G70">IF(ISNUMBER(M237),M237,MAX(IF(ISNUMBER($D237:$N237),$D237:$N237,0)))</f>
        <v>142.17630116250001</v>
      </c>
      <c r="H70" s="32" cm="1">
        <f t="array" ref="H70">IF(ISNUMBER(N237),N237,MAX(IF(ISNUMBER($D237:$N237),$D237:$N237,0)))</f>
        <v>193.84075906800001</v>
      </c>
    </row>
    <row r="71" spans="2:8">
      <c r="B71" s="13" t="s">
        <v>490</v>
      </c>
      <c r="C71" t="s">
        <v>34</v>
      </c>
      <c r="D71" s="28" cm="1">
        <f t="array" ref="D71">IF(ISNUMBER(J238),J238,MAX(IF(ISNUMBER($D238:$N238),$D238:$N238,0)))</f>
        <v>7235.7075599999998</v>
      </c>
      <c r="E71" s="28" cm="1">
        <f t="array" ref="E71">IF(ISNUMBER(K238),K238,MAX(IF(ISNUMBER($D238:$N238),$D238:$N238,0)))</f>
        <v>7235.7075599999998</v>
      </c>
      <c r="F71" s="28" cm="1">
        <f t="array" ref="F71">IF(ISNUMBER(L238),L238,MAX(IF(ISNUMBER($D238:$N238),$D238:$N238,0)))</f>
        <v>7235.7075599999998</v>
      </c>
      <c r="G71" s="28" cm="1">
        <f t="array" ref="G71">IF(ISNUMBER(M238),M238,MAX(IF(ISNUMBER($D238:$N238),$D238:$N238,0)))</f>
        <v>7235.7075599999998</v>
      </c>
      <c r="H71" s="32" cm="1">
        <f t="array" ref="H71">IF(ISNUMBER(N238),N238,MAX(IF(ISNUMBER($D238:$N238),$D238:$N238,0)))</f>
        <v>7235.7075599999998</v>
      </c>
    </row>
    <row r="72" spans="2:8">
      <c r="B72" s="13" t="s">
        <v>491</v>
      </c>
      <c r="C72" t="s">
        <v>34</v>
      </c>
      <c r="D72" s="28" cm="1">
        <f t="array" ref="D72">IF(ISNUMBER(J239),J239,MAX(IF(ISNUMBER($D239:$N239),$D239:$N239,0)))</f>
        <v>4216.2375419249993</v>
      </c>
      <c r="E72" s="28" cm="1">
        <f t="array" ref="E72">IF(ISNUMBER(K239),K239,MAX(IF(ISNUMBER($D239:$N239),$D239:$N239,0)))</f>
        <v>3004.7963006999998</v>
      </c>
      <c r="F72" s="28" cm="1">
        <f t="array" ref="F72">IF(ISNUMBER(L239),L239,MAX(IF(ISNUMBER($D239:$N239),$D239:$N239,0)))</f>
        <v>1041.44838</v>
      </c>
      <c r="G72" s="28" cm="1">
        <f t="array" ref="G72">IF(ISNUMBER(M239),M239,MAX(IF(ISNUMBER($D239:$N239),$D239:$N239,0)))</f>
        <v>796.50842999999998</v>
      </c>
      <c r="H72" s="32" cm="1">
        <f t="array" ref="H72">IF(ISNUMBER(N239),N239,MAX(IF(ISNUMBER($D239:$N239),$D239:$N239,0)))</f>
        <v>7783.6473000000005</v>
      </c>
    </row>
    <row r="73" spans="2:8">
      <c r="B73" s="13" t="s">
        <v>492</v>
      </c>
      <c r="C73" t="s">
        <v>34</v>
      </c>
      <c r="D73" s="28" cm="1">
        <f t="array" ref="D73">IF(ISNUMBER(J240),J240,MAX(IF(ISNUMBER($D240:$N240),$D240:$N240,0)))</f>
        <v>46534.550895913504</v>
      </c>
      <c r="E73" s="28" cm="1">
        <f t="array" ref="E73">IF(ISNUMBER(K240),K240,MAX(IF(ISNUMBER($D240:$N240),$D240:$N240,0)))</f>
        <v>44216.384324421</v>
      </c>
      <c r="F73" s="28" cm="1">
        <f t="array" ref="F73">IF(ISNUMBER(L240),L240,MAX(IF(ISNUMBER($D240:$N240),$D240:$N240,0)))</f>
        <v>399.43083394499996</v>
      </c>
      <c r="G73" s="28" cm="1">
        <f t="array" ref="G73">IF(ISNUMBER(M240),M240,MAX(IF(ISNUMBER($D240:$N240),$D240:$N240,0)))</f>
        <v>226.52409450000002</v>
      </c>
      <c r="H73" s="32" cm="1">
        <f t="array" ref="H73">IF(ISNUMBER(N240),N240,MAX(IF(ISNUMBER($D240:$N240),$D240:$N240,0)))</f>
        <v>223.84372569900003</v>
      </c>
    </row>
    <row r="74" spans="2:8">
      <c r="B74" s="13" t="s">
        <v>493</v>
      </c>
      <c r="C74" t="s">
        <v>34</v>
      </c>
      <c r="D74" s="28" cm="1">
        <f t="array" ref="D74">IF(ISNUMBER(J241),J241,MAX(IF(ISNUMBER($D241:$N241),$D241:$N241,0)))</f>
        <v>34.922630886</v>
      </c>
      <c r="E74" s="28" cm="1">
        <f t="array" ref="E74">IF(ISNUMBER(K241),K241,MAX(IF(ISNUMBER($D241:$N241),$D241:$N241,0)))</f>
        <v>50.140659261000003</v>
      </c>
      <c r="F74" s="28" cm="1">
        <f t="array" ref="F74">IF(ISNUMBER(L241),L241,MAX(IF(ISNUMBER($D241:$N241),$D241:$N241,0)))</f>
        <v>74.451584327999996</v>
      </c>
      <c r="G74" s="28" cm="1">
        <f t="array" ref="G74">IF(ISNUMBER(M241),M241,MAX(IF(ISNUMBER($D241:$N241),$D241:$N241,0)))</f>
        <v>57.382444960500003</v>
      </c>
      <c r="H74" s="32" cm="1">
        <f t="array" ref="H74">IF(ISNUMBER(N241),N241,MAX(IF(ISNUMBER($D241:$N241),$D241:$N241,0)))</f>
        <v>60.812239289999994</v>
      </c>
    </row>
    <row r="75" spans="2:8">
      <c r="B75" s="13" t="s">
        <v>494</v>
      </c>
      <c r="C75" t="s">
        <v>34</v>
      </c>
      <c r="D75" s="28" cm="1">
        <f t="array" ref="D75">IF(ISNUMBER(J242),J242,MAX(IF(ISNUMBER($D242:$N242),$D242:$N242,0)))</f>
        <v>53016.275139255005</v>
      </c>
      <c r="E75" s="28" cm="1">
        <f t="array" ref="E75">IF(ISNUMBER(K242),K242,MAX(IF(ISNUMBER($D242:$N242),$D242:$N242,0)))</f>
        <v>53016.275139255005</v>
      </c>
      <c r="F75" s="28" cm="1">
        <f t="array" ref="F75">IF(ISNUMBER(L242),L242,MAX(IF(ISNUMBER($D242:$N242),$D242:$N242,0)))</f>
        <v>53016.275139255005</v>
      </c>
      <c r="G75" s="28" cm="1">
        <f t="array" ref="G75">IF(ISNUMBER(M242),M242,MAX(IF(ISNUMBER($D242:$N242),$D242:$N242,0)))</f>
        <v>53016.275139255005</v>
      </c>
      <c r="H75" s="32" cm="1">
        <f t="array" ref="H75">IF(ISNUMBER(N242),N242,MAX(IF(ISNUMBER($D242:$N242),$D242:$N242,0)))</f>
        <v>53016.275139255005</v>
      </c>
    </row>
    <row r="76" spans="2:8">
      <c r="B76" s="13" t="s">
        <v>495</v>
      </c>
      <c r="C76" t="s">
        <v>34</v>
      </c>
      <c r="D76" s="28" cm="1">
        <f t="array" ref="D76">IF(ISNUMBER(J243),J243,MAX(IF(ISNUMBER($D243:$N243),$D243:$N243,0)))</f>
        <v>698.53245000000004</v>
      </c>
      <c r="E76" s="28" cm="1">
        <f t="array" ref="E76">IF(ISNUMBER(K243),K243,MAX(IF(ISNUMBER($D243:$N243),$D243:$N243,0)))</f>
        <v>664.60373100000004</v>
      </c>
      <c r="F76" s="28" cm="1">
        <f t="array" ref="F76">IF(ISNUMBER(L243),L243,MAX(IF(ISNUMBER($D243:$N243),$D243:$N243,0)))</f>
        <v>896.9456029050001</v>
      </c>
      <c r="G76" s="28" cm="1">
        <f t="array" ref="G76">IF(ISNUMBER(M243),M243,MAX(IF(ISNUMBER($D243:$N243),$D243:$N243,0)))</f>
        <v>663.60582750000003</v>
      </c>
      <c r="H76" s="32" cm="1">
        <f t="array" ref="H76">IF(ISNUMBER(N243),N243,MAX(IF(ISNUMBER($D243:$N243),$D243:$N243,0)))</f>
        <v>808.30183499999998</v>
      </c>
    </row>
    <row r="77" spans="2:8">
      <c r="B77" s="13" t="s">
        <v>496</v>
      </c>
      <c r="C77" t="s">
        <v>34</v>
      </c>
      <c r="D77" s="28" cm="1">
        <f t="array" ref="D77">IF(ISNUMBER(J244),J244,MAX(IF(ISNUMBER($D244:$N244),$D244:$N244,0)))</f>
        <v>0</v>
      </c>
      <c r="E77" s="28" cm="1">
        <f t="array" ref="E77">IF(ISNUMBER(K244),K244,MAX(IF(ISNUMBER($D244:$N244),$D244:$N244,0)))</f>
        <v>0</v>
      </c>
      <c r="F77" s="28" cm="1">
        <f t="array" ref="F77">IF(ISNUMBER(L244),L244,MAX(IF(ISNUMBER($D244:$N244),$D244:$N244,0)))</f>
        <v>0</v>
      </c>
      <c r="G77" s="28" cm="1">
        <f t="array" ref="G77">IF(ISNUMBER(M244),M244,MAX(IF(ISNUMBER($D244:$N244),$D244:$N244,0)))</f>
        <v>0</v>
      </c>
      <c r="H77" s="32" cm="1">
        <f t="array" ref="H77">IF(ISNUMBER(N244),N244,MAX(IF(ISNUMBER($D244:$N244),$D244:$N244,0)))</f>
        <v>0</v>
      </c>
    </row>
    <row r="78" spans="2:8">
      <c r="B78" s="13" t="s">
        <v>497</v>
      </c>
      <c r="C78" t="s">
        <v>34</v>
      </c>
      <c r="D78" s="28" cm="1">
        <f t="array" ref="D78">IF(ISNUMBER(J245),J245,MAX(IF(ISNUMBER($D245:$N245),$D245:$N245,0)))</f>
        <v>9.190691235000001</v>
      </c>
      <c r="E78" s="28" cm="1">
        <f t="array" ref="E78">IF(ISNUMBER(K245),K245,MAX(IF(ISNUMBER($D245:$N245),$D245:$N245,0)))</f>
        <v>12.911873386500002</v>
      </c>
      <c r="F78" s="28" cm="1">
        <f t="array" ref="F78">IF(ISNUMBER(L245),L245,MAX(IF(ISNUMBER($D245:$N245),$D245:$N245,0)))</f>
        <v>21.235386480000003</v>
      </c>
      <c r="G78" s="28" cm="1">
        <f t="array" ref="G78">IF(ISNUMBER(M245),M245,MAX(IF(ISNUMBER($D245:$N245),$D245:$N245,0)))</f>
        <v>16.324703356500002</v>
      </c>
      <c r="H78" s="32" cm="1">
        <f t="array" ref="H78">IF(ISNUMBER(N245),N245,MAX(IF(ISNUMBER($D245:$N245),$D245:$N245,0)))</f>
        <v>17.515202232000004</v>
      </c>
    </row>
    <row r="79" spans="2:8">
      <c r="B79" s="13" t="s">
        <v>498</v>
      </c>
      <c r="C79" t="s">
        <v>34</v>
      </c>
      <c r="D79" s="28" cm="1">
        <f t="array" ref="D79">IF(ISNUMBER(J246),J246,MAX(IF(ISNUMBER($D246:$N246),$D246:$N246,0)))</f>
        <v>3847.0097996220002</v>
      </c>
      <c r="E79" s="28" cm="1">
        <f t="array" ref="E79">IF(ISNUMBER(K246),K246,MAX(IF(ISNUMBER($D246:$N246),$D246:$N246,0)))</f>
        <v>54.862738622999998</v>
      </c>
      <c r="F79" s="28" cm="1">
        <f t="array" ref="F79">IF(ISNUMBER(L246),L246,MAX(IF(ISNUMBER($D246:$N246),$D246:$N246,0)))</f>
        <v>45.271888084499999</v>
      </c>
      <c r="G79" s="28" cm="1">
        <f t="array" ref="G79">IF(ISNUMBER(M246),M246,MAX(IF(ISNUMBER($D246:$N246),$D246:$N246,0)))</f>
        <v>45.830714044499999</v>
      </c>
      <c r="H79" s="32" cm="1">
        <f t="array" ref="H79">IF(ISNUMBER(N246),N246,MAX(IF(ISNUMBER($D246:$N246),$D246:$N246,0)))</f>
        <v>150.72134883300001</v>
      </c>
    </row>
    <row r="80" spans="2:8">
      <c r="B80" s="14" t="s">
        <v>500</v>
      </c>
      <c r="C80" s="15" t="s">
        <v>34</v>
      </c>
      <c r="D80" s="29">
        <v>0</v>
      </c>
      <c r="E80" s="29">
        <v>0</v>
      </c>
      <c r="F80" s="29">
        <v>0</v>
      </c>
      <c r="G80" s="29">
        <v>0</v>
      </c>
      <c r="H80" s="30">
        <v>0</v>
      </c>
    </row>
    <row r="81" spans="2:14">
      <c r="B81" s="13" t="s">
        <v>528</v>
      </c>
      <c r="D81" s="28"/>
      <c r="E81" s="28"/>
      <c r="F81" s="28"/>
      <c r="G81" s="28"/>
      <c r="H81" s="28"/>
    </row>
    <row r="83" spans="2:14" ht="24">
      <c r="B83" s="3" t="s">
        <v>156</v>
      </c>
    </row>
    <row r="84" spans="2:14">
      <c r="B84" s="16" t="s">
        <v>519</v>
      </c>
    </row>
    <row r="85" spans="2:14">
      <c r="B85" s="4" t="s">
        <v>447</v>
      </c>
      <c r="C85" s="11" t="s">
        <v>18</v>
      </c>
      <c r="D85" s="11">
        <v>2015</v>
      </c>
      <c r="E85" s="11">
        <v>2016</v>
      </c>
      <c r="F85" s="11">
        <v>2017</v>
      </c>
      <c r="G85" s="11">
        <v>2018</v>
      </c>
      <c r="H85" s="11">
        <v>2019</v>
      </c>
      <c r="I85" s="11">
        <v>2020</v>
      </c>
      <c r="J85" s="11">
        <v>2021</v>
      </c>
      <c r="K85" s="11">
        <v>2022</v>
      </c>
      <c r="L85" s="11">
        <v>2023</v>
      </c>
      <c r="M85" s="11">
        <v>2024</v>
      </c>
      <c r="N85" s="12">
        <v>2025</v>
      </c>
    </row>
    <row r="86" spans="2:14">
      <c r="B86" s="13" t="s">
        <v>448</v>
      </c>
      <c r="C86" t="s">
        <v>520</v>
      </c>
      <c r="D86" s="28"/>
      <c r="E86" s="28">
        <v>0</v>
      </c>
      <c r="F86" s="28">
        <v>0</v>
      </c>
      <c r="G86" s="28">
        <v>0</v>
      </c>
      <c r="H86" s="28">
        <v>11</v>
      </c>
      <c r="I86" s="28">
        <v>5</v>
      </c>
      <c r="J86" s="28">
        <v>0</v>
      </c>
      <c r="K86" s="28"/>
      <c r="L86" s="28"/>
      <c r="M86" s="28"/>
      <c r="N86" s="32"/>
    </row>
    <row r="87" spans="2:14">
      <c r="B87" s="13" t="s">
        <v>449</v>
      </c>
      <c r="C87" t="s">
        <v>520</v>
      </c>
      <c r="D87" s="28"/>
      <c r="E87" s="28">
        <v>0</v>
      </c>
      <c r="F87" s="28"/>
      <c r="G87" s="28">
        <v>0</v>
      </c>
      <c r="H87" s="28"/>
      <c r="I87" s="28"/>
      <c r="J87" s="28"/>
      <c r="K87" s="28"/>
      <c r="L87" s="28"/>
      <c r="M87" s="28">
        <v>15010</v>
      </c>
      <c r="N87" s="32">
        <v>0</v>
      </c>
    </row>
    <row r="88" spans="2:14">
      <c r="B88" s="13" t="s">
        <v>450</v>
      </c>
      <c r="C88" t="s">
        <v>520</v>
      </c>
      <c r="D88" s="28">
        <v>0</v>
      </c>
      <c r="E88" s="28">
        <v>0</v>
      </c>
      <c r="F88" s="28"/>
      <c r="G88" s="28"/>
      <c r="H88" s="28">
        <v>0</v>
      </c>
      <c r="I88" s="28"/>
      <c r="J88" s="28">
        <v>0</v>
      </c>
      <c r="K88" s="28"/>
      <c r="L88" s="28">
        <v>0</v>
      </c>
      <c r="M88" s="28">
        <v>0</v>
      </c>
      <c r="N88" s="32">
        <v>1</v>
      </c>
    </row>
    <row r="89" spans="2:14">
      <c r="B89" s="13" t="s">
        <v>452</v>
      </c>
      <c r="C89" t="s">
        <v>520</v>
      </c>
      <c r="D89" s="28">
        <v>0</v>
      </c>
      <c r="E89" s="28"/>
      <c r="F89" s="28"/>
      <c r="G89" s="28"/>
      <c r="H89" s="28"/>
      <c r="I89" s="28"/>
      <c r="J89" s="28"/>
      <c r="K89" s="28"/>
      <c r="L89" s="28"/>
      <c r="M89" s="28"/>
      <c r="N89" s="32"/>
    </row>
    <row r="90" spans="2:14">
      <c r="B90" s="13" t="s">
        <v>453</v>
      </c>
      <c r="C90" t="s">
        <v>520</v>
      </c>
      <c r="D90" s="28">
        <v>0</v>
      </c>
      <c r="E90" s="28">
        <v>19518</v>
      </c>
      <c r="F90" s="28">
        <v>20101</v>
      </c>
      <c r="G90" s="28">
        <v>10000</v>
      </c>
      <c r="H90" s="28"/>
      <c r="I90" s="28">
        <v>4000</v>
      </c>
      <c r="J90" s="28"/>
      <c r="K90" s="28"/>
      <c r="L90" s="28">
        <v>0</v>
      </c>
      <c r="M90" s="28">
        <v>0</v>
      </c>
      <c r="N90" s="32">
        <v>0</v>
      </c>
    </row>
    <row r="91" spans="2:14">
      <c r="B91" s="13" t="s">
        <v>454</v>
      </c>
      <c r="C91" t="s">
        <v>520</v>
      </c>
      <c r="D91" s="28">
        <v>214009</v>
      </c>
      <c r="E91" s="28">
        <v>4414</v>
      </c>
      <c r="F91" s="28">
        <v>1423</v>
      </c>
      <c r="G91" s="28">
        <v>910</v>
      </c>
      <c r="H91" s="28">
        <v>270</v>
      </c>
      <c r="I91" s="28">
        <v>106</v>
      </c>
      <c r="J91" s="28">
        <v>75</v>
      </c>
      <c r="K91" s="28">
        <v>262</v>
      </c>
      <c r="L91" s="28">
        <v>0</v>
      </c>
      <c r="M91" s="28"/>
      <c r="N91" s="32">
        <v>14600</v>
      </c>
    </row>
    <row r="92" spans="2:14">
      <c r="B92" s="13" t="s">
        <v>455</v>
      </c>
      <c r="C92" t="s">
        <v>520</v>
      </c>
      <c r="D92" s="28">
        <v>0</v>
      </c>
      <c r="E92" s="28">
        <v>0</v>
      </c>
      <c r="F92" s="28">
        <v>0</v>
      </c>
      <c r="G92" s="28">
        <v>0</v>
      </c>
      <c r="H92" s="28">
        <v>0</v>
      </c>
      <c r="I92" s="28">
        <v>0</v>
      </c>
      <c r="J92" s="28">
        <v>0</v>
      </c>
      <c r="K92" s="28">
        <v>0</v>
      </c>
      <c r="L92" s="28">
        <v>203498</v>
      </c>
      <c r="M92" s="28"/>
      <c r="N92" s="32"/>
    </row>
    <row r="93" spans="2:14">
      <c r="B93" s="13" t="s">
        <v>456</v>
      </c>
      <c r="C93" t="s">
        <v>520</v>
      </c>
      <c r="D93" s="28">
        <v>0</v>
      </c>
      <c r="E93" s="28"/>
      <c r="F93" s="28"/>
      <c r="G93" s="28"/>
      <c r="H93" s="28"/>
      <c r="I93" s="28"/>
      <c r="J93" s="28"/>
      <c r="K93" s="28"/>
      <c r="L93" s="28"/>
      <c r="M93" s="28"/>
      <c r="N93" s="32"/>
    </row>
    <row r="94" spans="2:14">
      <c r="B94" s="13" t="s">
        <v>517</v>
      </c>
      <c r="C94" t="s">
        <v>520</v>
      </c>
      <c r="D94" s="28"/>
      <c r="E94" s="28"/>
      <c r="F94" s="28"/>
      <c r="G94" s="28"/>
      <c r="H94" s="28"/>
      <c r="I94" s="28"/>
      <c r="J94" s="28"/>
      <c r="K94" s="28"/>
      <c r="L94" s="28"/>
      <c r="M94" s="28"/>
      <c r="N94" s="32"/>
    </row>
    <row r="95" spans="2:14">
      <c r="B95" s="13" t="s">
        <v>457</v>
      </c>
      <c r="C95" t="s">
        <v>520</v>
      </c>
      <c r="D95" s="28"/>
      <c r="E95" s="28"/>
      <c r="F95" s="28"/>
      <c r="G95" s="28"/>
      <c r="H95" s="28"/>
      <c r="I95" s="28"/>
      <c r="J95" s="28"/>
      <c r="K95" s="28"/>
      <c r="L95" s="28"/>
      <c r="M95" s="28"/>
      <c r="N95" s="32"/>
    </row>
    <row r="96" spans="2:14">
      <c r="B96" s="13" t="s">
        <v>458</v>
      </c>
      <c r="C96" t="s">
        <v>520</v>
      </c>
      <c r="D96" s="28"/>
      <c r="E96" s="28"/>
      <c r="F96" s="28"/>
      <c r="G96" s="28">
        <v>0</v>
      </c>
      <c r="H96" s="28">
        <v>0</v>
      </c>
      <c r="I96" s="28">
        <v>0</v>
      </c>
      <c r="J96" s="28"/>
      <c r="K96" s="28">
        <v>0</v>
      </c>
      <c r="L96" s="28">
        <v>0</v>
      </c>
      <c r="M96" s="28">
        <v>0</v>
      </c>
      <c r="N96" s="32"/>
    </row>
    <row r="97" spans="2:14">
      <c r="B97" s="13" t="s">
        <v>459</v>
      </c>
      <c r="C97" t="s">
        <v>520</v>
      </c>
      <c r="D97" s="28"/>
      <c r="E97" s="28"/>
      <c r="F97" s="28"/>
      <c r="G97" s="28"/>
      <c r="H97" s="28"/>
      <c r="I97" s="28"/>
      <c r="J97" s="28"/>
      <c r="K97" s="28"/>
      <c r="L97" s="28"/>
      <c r="M97" s="28"/>
      <c r="N97" s="32"/>
    </row>
    <row r="98" spans="2:14">
      <c r="B98" s="13" t="s">
        <v>460</v>
      </c>
      <c r="C98" t="s">
        <v>520</v>
      </c>
      <c r="D98" s="28"/>
      <c r="E98" s="28"/>
      <c r="F98" s="28">
        <v>0</v>
      </c>
      <c r="G98" s="28">
        <v>0</v>
      </c>
      <c r="H98" s="28">
        <v>0</v>
      </c>
      <c r="I98" s="28">
        <v>0</v>
      </c>
      <c r="J98" s="28">
        <v>0</v>
      </c>
      <c r="K98" s="28">
        <v>0</v>
      </c>
      <c r="L98" s="28">
        <v>0</v>
      </c>
      <c r="M98" s="28">
        <v>0</v>
      </c>
      <c r="N98" s="32">
        <v>0</v>
      </c>
    </row>
    <row r="99" spans="2:14">
      <c r="B99" s="13" t="s">
        <v>461</v>
      </c>
      <c r="C99" t="s">
        <v>520</v>
      </c>
      <c r="D99" s="28">
        <v>0</v>
      </c>
      <c r="E99" s="28">
        <v>0</v>
      </c>
      <c r="F99" s="28">
        <v>0</v>
      </c>
      <c r="G99" s="28"/>
      <c r="H99" s="28">
        <v>0</v>
      </c>
      <c r="I99" s="28">
        <v>0</v>
      </c>
      <c r="J99" s="28">
        <v>0</v>
      </c>
      <c r="K99" s="28">
        <v>0</v>
      </c>
      <c r="L99" s="28">
        <v>0</v>
      </c>
      <c r="M99" s="28">
        <v>0</v>
      </c>
      <c r="N99" s="32">
        <v>0</v>
      </c>
    </row>
    <row r="100" spans="2:14">
      <c r="B100" s="13" t="s">
        <v>462</v>
      </c>
      <c r="C100" t="s">
        <v>520</v>
      </c>
      <c r="D100" s="28"/>
      <c r="E100" s="28"/>
      <c r="F100" s="28"/>
      <c r="G100" s="28"/>
      <c r="H100" s="28">
        <v>0</v>
      </c>
      <c r="I100" s="28">
        <v>0</v>
      </c>
      <c r="J100" s="28">
        <v>0</v>
      </c>
      <c r="K100" s="28"/>
      <c r="L100" s="28">
        <v>0</v>
      </c>
      <c r="M100" s="28">
        <v>0</v>
      </c>
      <c r="N100" s="32">
        <v>0</v>
      </c>
    </row>
    <row r="101" spans="2:14">
      <c r="B101" s="13" t="s">
        <v>463</v>
      </c>
      <c r="C101" t="s">
        <v>520</v>
      </c>
      <c r="D101" s="28">
        <v>0</v>
      </c>
      <c r="E101" s="28">
        <v>0</v>
      </c>
      <c r="F101" s="28">
        <v>0</v>
      </c>
      <c r="G101" s="28">
        <v>0</v>
      </c>
      <c r="H101" s="28">
        <v>0</v>
      </c>
      <c r="I101" s="28">
        <v>0</v>
      </c>
      <c r="J101" s="28">
        <v>0</v>
      </c>
      <c r="K101" s="28">
        <v>0</v>
      </c>
      <c r="L101" s="28">
        <v>0</v>
      </c>
      <c r="M101" s="28">
        <v>0</v>
      </c>
      <c r="N101" s="32">
        <v>0</v>
      </c>
    </row>
    <row r="102" spans="2:14">
      <c r="B102" s="13" t="s">
        <v>464</v>
      </c>
      <c r="C102" t="s">
        <v>520</v>
      </c>
      <c r="D102" s="28">
        <v>0</v>
      </c>
      <c r="E102" s="28">
        <v>0</v>
      </c>
      <c r="F102" s="28">
        <v>0</v>
      </c>
      <c r="G102" s="28">
        <v>0</v>
      </c>
      <c r="H102" s="28"/>
      <c r="I102" s="28">
        <v>0</v>
      </c>
      <c r="J102" s="28">
        <v>0</v>
      </c>
      <c r="K102" s="28">
        <v>0</v>
      </c>
      <c r="L102" s="28"/>
      <c r="M102" s="28">
        <v>0</v>
      </c>
      <c r="N102" s="32"/>
    </row>
    <row r="103" spans="2:14">
      <c r="B103" s="13" t="s">
        <v>465</v>
      </c>
      <c r="C103" t="s">
        <v>520</v>
      </c>
      <c r="D103" s="28"/>
      <c r="E103" s="28">
        <v>0</v>
      </c>
      <c r="F103" s="28">
        <v>0</v>
      </c>
      <c r="G103" s="28">
        <v>0</v>
      </c>
      <c r="H103" s="28"/>
      <c r="I103" s="28"/>
      <c r="J103" s="28"/>
      <c r="K103" s="28"/>
      <c r="L103" s="28">
        <v>0</v>
      </c>
      <c r="M103" s="28">
        <v>0</v>
      </c>
      <c r="N103" s="32">
        <v>0</v>
      </c>
    </row>
    <row r="104" spans="2:14">
      <c r="B104" s="13" t="s">
        <v>466</v>
      </c>
      <c r="C104" t="s">
        <v>520</v>
      </c>
      <c r="D104" s="28">
        <v>0</v>
      </c>
      <c r="E104" s="28"/>
      <c r="F104" s="28"/>
      <c r="G104" s="28"/>
      <c r="H104" s="28"/>
      <c r="I104" s="28"/>
      <c r="J104" s="28"/>
      <c r="K104" s="28"/>
      <c r="L104" s="28"/>
      <c r="M104" s="28"/>
      <c r="N104" s="32"/>
    </row>
    <row r="105" spans="2:14">
      <c r="B105" s="13" t="s">
        <v>467</v>
      </c>
      <c r="C105" t="s">
        <v>520</v>
      </c>
      <c r="D105" s="28">
        <v>0</v>
      </c>
      <c r="E105" s="28"/>
      <c r="F105" s="28">
        <v>0</v>
      </c>
      <c r="G105" s="28"/>
      <c r="H105" s="28"/>
      <c r="I105" s="28">
        <v>0</v>
      </c>
      <c r="J105" s="28">
        <v>0</v>
      </c>
      <c r="K105" s="28">
        <v>0</v>
      </c>
      <c r="L105" s="28">
        <v>0</v>
      </c>
      <c r="M105" s="28"/>
      <c r="N105" s="32">
        <v>0</v>
      </c>
    </row>
    <row r="106" spans="2:14">
      <c r="B106" s="13" t="s">
        <v>468</v>
      </c>
      <c r="C106" t="s">
        <v>520</v>
      </c>
      <c r="D106" s="28"/>
      <c r="E106" s="28"/>
      <c r="F106" s="28">
        <v>0</v>
      </c>
      <c r="G106" s="28"/>
      <c r="H106" s="28">
        <v>9570</v>
      </c>
      <c r="I106" s="28">
        <v>0</v>
      </c>
      <c r="J106" s="28">
        <v>0</v>
      </c>
      <c r="K106" s="28">
        <v>5385</v>
      </c>
      <c r="L106" s="28">
        <v>0</v>
      </c>
      <c r="M106" s="28">
        <v>0</v>
      </c>
      <c r="N106" s="32">
        <v>0</v>
      </c>
    </row>
    <row r="107" spans="2:14">
      <c r="B107" s="13" t="s">
        <v>469</v>
      </c>
      <c r="C107" t="s">
        <v>520</v>
      </c>
      <c r="D107" s="28"/>
      <c r="E107" s="28">
        <v>0</v>
      </c>
      <c r="F107" s="28">
        <v>703</v>
      </c>
      <c r="G107" s="28"/>
      <c r="H107" s="28"/>
      <c r="I107" s="28">
        <v>0</v>
      </c>
      <c r="J107" s="28"/>
      <c r="K107" s="28">
        <v>0</v>
      </c>
      <c r="L107" s="28"/>
      <c r="M107" s="28"/>
      <c r="N107" s="32"/>
    </row>
    <row r="108" spans="2:14">
      <c r="B108" s="13" t="s">
        <v>470</v>
      </c>
      <c r="C108" t="s">
        <v>520</v>
      </c>
      <c r="D108" s="28"/>
      <c r="E108" s="28"/>
      <c r="F108" s="28"/>
      <c r="G108" s="28"/>
      <c r="H108" s="28"/>
      <c r="I108" s="28"/>
      <c r="J108" s="28">
        <v>0</v>
      </c>
      <c r="K108" s="28"/>
      <c r="L108" s="28">
        <v>0</v>
      </c>
      <c r="M108" s="28"/>
      <c r="N108" s="32"/>
    </row>
    <row r="109" spans="2:14">
      <c r="B109" s="13" t="s">
        <v>471</v>
      </c>
      <c r="C109" t="s">
        <v>520</v>
      </c>
      <c r="D109" s="28"/>
      <c r="E109" s="28"/>
      <c r="F109" s="28">
        <v>43400</v>
      </c>
      <c r="G109" s="28">
        <v>41727</v>
      </c>
      <c r="H109" s="28">
        <v>0</v>
      </c>
      <c r="I109" s="28">
        <v>0</v>
      </c>
      <c r="J109" s="28">
        <v>0</v>
      </c>
      <c r="K109" s="28">
        <v>0</v>
      </c>
      <c r="L109" s="28">
        <v>0</v>
      </c>
      <c r="M109" s="28">
        <v>0</v>
      </c>
      <c r="N109" s="32">
        <v>0</v>
      </c>
    </row>
    <row r="110" spans="2:14">
      <c r="B110" s="13" t="s">
        <v>472</v>
      </c>
      <c r="C110" t="s">
        <v>520</v>
      </c>
      <c r="D110" s="28"/>
      <c r="E110" s="28"/>
      <c r="F110" s="28"/>
      <c r="G110" s="28"/>
      <c r="H110" s="28"/>
      <c r="I110" s="28"/>
      <c r="J110" s="28"/>
      <c r="K110" s="28"/>
      <c r="L110" s="28"/>
      <c r="M110" s="28"/>
      <c r="N110" s="32"/>
    </row>
    <row r="111" spans="2:14">
      <c r="B111" s="13" t="s">
        <v>473</v>
      </c>
      <c r="C111" t="s">
        <v>520</v>
      </c>
      <c r="D111" s="28">
        <v>0</v>
      </c>
      <c r="E111" s="28">
        <v>0</v>
      </c>
      <c r="F111" s="28">
        <v>0</v>
      </c>
      <c r="G111" s="28">
        <v>0</v>
      </c>
      <c r="H111" s="28">
        <v>0</v>
      </c>
      <c r="I111" s="28">
        <v>0</v>
      </c>
      <c r="J111" s="28">
        <v>0</v>
      </c>
      <c r="K111" s="28">
        <v>0</v>
      </c>
      <c r="L111" s="28"/>
      <c r="M111" s="28">
        <v>0</v>
      </c>
      <c r="N111" s="32"/>
    </row>
    <row r="112" spans="2:14">
      <c r="B112" s="13" t="s">
        <v>474</v>
      </c>
      <c r="C112" t="s">
        <v>520</v>
      </c>
      <c r="D112" s="28">
        <v>0</v>
      </c>
      <c r="E112" s="28">
        <v>0</v>
      </c>
      <c r="F112" s="28"/>
      <c r="G112" s="28">
        <v>0</v>
      </c>
      <c r="H112" s="28">
        <v>0</v>
      </c>
      <c r="I112" s="28">
        <v>0</v>
      </c>
      <c r="J112" s="28">
        <v>0</v>
      </c>
      <c r="K112" s="28">
        <v>0</v>
      </c>
      <c r="L112" s="28">
        <v>0</v>
      </c>
      <c r="M112" s="28">
        <v>0</v>
      </c>
      <c r="N112" s="32">
        <v>0</v>
      </c>
    </row>
    <row r="113" spans="2:14">
      <c r="B113" s="13" t="s">
        <v>475</v>
      </c>
      <c r="C113" t="s">
        <v>520</v>
      </c>
      <c r="D113" s="28">
        <v>9000</v>
      </c>
      <c r="E113" s="28"/>
      <c r="F113" s="28"/>
      <c r="G113" s="28">
        <v>0</v>
      </c>
      <c r="H113" s="28"/>
      <c r="I113" s="28">
        <v>0</v>
      </c>
      <c r="J113" s="28"/>
      <c r="K113" s="28"/>
      <c r="L113" s="28">
        <v>0</v>
      </c>
      <c r="M113" s="28">
        <v>0</v>
      </c>
      <c r="N113" s="32">
        <v>0</v>
      </c>
    </row>
    <row r="114" spans="2:14">
      <c r="B114" s="13" t="s">
        <v>476</v>
      </c>
      <c r="C114" t="s">
        <v>520</v>
      </c>
      <c r="D114" s="28">
        <v>0</v>
      </c>
      <c r="E114" s="28"/>
      <c r="F114" s="28"/>
      <c r="G114" s="28"/>
      <c r="H114" s="28"/>
      <c r="I114" s="28"/>
      <c r="J114" s="28">
        <v>0</v>
      </c>
      <c r="K114" s="28"/>
      <c r="L114" s="28"/>
      <c r="M114" s="28"/>
      <c r="N114" s="32">
        <v>0</v>
      </c>
    </row>
    <row r="115" spans="2:14">
      <c r="B115" s="13" t="s">
        <v>477</v>
      </c>
      <c r="C115" t="s">
        <v>520</v>
      </c>
      <c r="D115" s="28"/>
      <c r="E115" s="28">
        <v>0</v>
      </c>
      <c r="F115" s="28">
        <v>0</v>
      </c>
      <c r="G115" s="28">
        <v>0</v>
      </c>
      <c r="H115" s="28">
        <v>0</v>
      </c>
      <c r="I115" s="28">
        <v>0</v>
      </c>
      <c r="J115" s="28">
        <v>0</v>
      </c>
      <c r="K115" s="28">
        <v>0</v>
      </c>
      <c r="L115" s="28">
        <v>0</v>
      </c>
      <c r="M115" s="28">
        <v>0</v>
      </c>
      <c r="N115" s="32">
        <v>0</v>
      </c>
    </row>
    <row r="116" spans="2:14">
      <c r="B116" s="13" t="s">
        <v>478</v>
      </c>
      <c r="C116" t="s">
        <v>520</v>
      </c>
      <c r="D116" s="28">
        <v>0</v>
      </c>
      <c r="E116" s="28"/>
      <c r="F116" s="28"/>
      <c r="G116" s="28"/>
      <c r="H116" s="28"/>
      <c r="I116" s="28"/>
      <c r="J116" s="28"/>
      <c r="K116" s="28">
        <v>0</v>
      </c>
      <c r="L116" s="28">
        <v>0</v>
      </c>
      <c r="M116" s="28">
        <v>0</v>
      </c>
      <c r="N116" s="32">
        <v>0</v>
      </c>
    </row>
    <row r="117" spans="2:14">
      <c r="B117" s="13" t="s">
        <v>479</v>
      </c>
      <c r="C117" t="s">
        <v>520</v>
      </c>
      <c r="D117" s="28"/>
      <c r="E117" s="28"/>
      <c r="F117" s="28"/>
      <c r="G117" s="28"/>
      <c r="H117" s="28"/>
      <c r="I117" s="28"/>
      <c r="J117" s="28"/>
      <c r="K117" s="28">
        <v>2678</v>
      </c>
      <c r="L117" s="28"/>
      <c r="M117" s="28"/>
      <c r="N117" s="32"/>
    </row>
    <row r="118" spans="2:14">
      <c r="B118" s="13" t="s">
        <v>480</v>
      </c>
      <c r="C118" t="s">
        <v>520</v>
      </c>
      <c r="D118" s="28"/>
      <c r="E118" s="28">
        <v>0</v>
      </c>
      <c r="F118" s="28"/>
      <c r="G118" s="28"/>
      <c r="H118" s="28"/>
      <c r="I118" s="28"/>
      <c r="J118" s="28"/>
      <c r="K118" s="28"/>
      <c r="L118" s="28"/>
      <c r="M118" s="28">
        <v>0</v>
      </c>
      <c r="N118" s="32">
        <v>0</v>
      </c>
    </row>
    <row r="119" spans="2:14">
      <c r="B119" s="13" t="s">
        <v>481</v>
      </c>
      <c r="C119" t="s">
        <v>520</v>
      </c>
      <c r="D119" s="28"/>
      <c r="E119" s="28"/>
      <c r="F119" s="28"/>
      <c r="G119" s="28"/>
      <c r="H119" s="28"/>
      <c r="I119" s="28"/>
      <c r="J119" s="28"/>
      <c r="K119" s="28"/>
      <c r="L119" s="28"/>
      <c r="M119" s="28"/>
      <c r="N119" s="32"/>
    </row>
    <row r="120" spans="2:14">
      <c r="B120" s="13" t="s">
        <v>482</v>
      </c>
      <c r="C120" t="s">
        <v>520</v>
      </c>
      <c r="D120" s="28">
        <v>0</v>
      </c>
      <c r="E120" s="28">
        <v>0</v>
      </c>
      <c r="F120" s="28">
        <v>0</v>
      </c>
      <c r="G120" s="28">
        <v>0</v>
      </c>
      <c r="H120" s="28">
        <v>0</v>
      </c>
      <c r="I120" s="28">
        <v>0</v>
      </c>
      <c r="J120" s="28">
        <v>0</v>
      </c>
      <c r="K120" s="28">
        <v>0</v>
      </c>
      <c r="L120" s="28"/>
      <c r="M120" s="28">
        <v>0</v>
      </c>
      <c r="N120" s="32"/>
    </row>
    <row r="121" spans="2:14">
      <c r="B121" s="13" t="s">
        <v>483</v>
      </c>
      <c r="C121" t="s">
        <v>520</v>
      </c>
      <c r="D121" s="28">
        <v>0</v>
      </c>
      <c r="E121" s="28">
        <v>0</v>
      </c>
      <c r="F121" s="28">
        <v>0</v>
      </c>
      <c r="G121" s="28">
        <v>0</v>
      </c>
      <c r="H121" s="28">
        <v>0</v>
      </c>
      <c r="I121" s="28">
        <v>0</v>
      </c>
      <c r="J121" s="28">
        <v>0</v>
      </c>
      <c r="K121" s="28">
        <v>0</v>
      </c>
      <c r="L121" s="28">
        <v>0</v>
      </c>
      <c r="M121" s="28">
        <v>0</v>
      </c>
      <c r="N121" s="32">
        <v>0</v>
      </c>
    </row>
    <row r="122" spans="2:14">
      <c r="B122" s="13" t="s">
        <v>484</v>
      </c>
      <c r="C122" t="s">
        <v>520</v>
      </c>
      <c r="D122" s="28"/>
      <c r="E122" s="28"/>
      <c r="F122" s="28"/>
      <c r="G122" s="28"/>
      <c r="H122" s="28"/>
      <c r="I122" s="28"/>
      <c r="J122" s="28"/>
      <c r="K122" s="28"/>
      <c r="L122" s="28">
        <v>0</v>
      </c>
      <c r="M122" s="28"/>
      <c r="N122" s="32"/>
    </row>
    <row r="123" spans="2:14">
      <c r="B123" s="13" t="s">
        <v>485</v>
      </c>
      <c r="C123" t="s">
        <v>520</v>
      </c>
      <c r="D123" s="28">
        <v>0</v>
      </c>
      <c r="E123" s="28">
        <v>0</v>
      </c>
      <c r="F123" s="28">
        <v>0</v>
      </c>
      <c r="G123" s="28">
        <v>0</v>
      </c>
      <c r="H123" s="28">
        <v>0</v>
      </c>
      <c r="I123" s="28">
        <v>0</v>
      </c>
      <c r="J123" s="28">
        <v>0</v>
      </c>
      <c r="K123" s="28">
        <v>0</v>
      </c>
      <c r="L123" s="28">
        <v>0</v>
      </c>
      <c r="M123" s="28">
        <v>0</v>
      </c>
      <c r="N123" s="32">
        <v>0</v>
      </c>
    </row>
    <row r="124" spans="2:14">
      <c r="B124" s="13" t="s">
        <v>486</v>
      </c>
      <c r="C124" t="s">
        <v>520</v>
      </c>
      <c r="D124" s="28">
        <v>0</v>
      </c>
      <c r="E124" s="28">
        <v>0</v>
      </c>
      <c r="F124" s="28">
        <v>0</v>
      </c>
      <c r="G124" s="28">
        <v>0</v>
      </c>
      <c r="H124" s="28">
        <v>0</v>
      </c>
      <c r="I124" s="28">
        <v>0</v>
      </c>
      <c r="J124" s="28">
        <v>0</v>
      </c>
      <c r="K124" s="28"/>
      <c r="L124" s="28"/>
      <c r="M124" s="28"/>
      <c r="N124" s="32"/>
    </row>
    <row r="125" spans="2:14">
      <c r="B125" s="13" t="s">
        <v>487</v>
      </c>
      <c r="C125" t="s">
        <v>520</v>
      </c>
      <c r="D125" s="28">
        <v>0</v>
      </c>
      <c r="E125" s="28"/>
      <c r="F125" s="28"/>
      <c r="G125" s="28">
        <v>0</v>
      </c>
      <c r="H125" s="28">
        <v>0</v>
      </c>
      <c r="I125" s="28">
        <v>0</v>
      </c>
      <c r="J125" s="28">
        <v>0</v>
      </c>
      <c r="K125" s="28">
        <v>0</v>
      </c>
      <c r="L125" s="28">
        <v>0</v>
      </c>
      <c r="M125" s="28">
        <v>0</v>
      </c>
      <c r="N125" s="32">
        <v>0</v>
      </c>
    </row>
    <row r="126" spans="2:14">
      <c r="B126" s="13" t="s">
        <v>488</v>
      </c>
      <c r="C126" t="s">
        <v>520</v>
      </c>
      <c r="D126" s="28">
        <v>0</v>
      </c>
      <c r="E126" s="28">
        <v>0</v>
      </c>
      <c r="F126" s="28"/>
      <c r="G126" s="28"/>
      <c r="H126" s="28"/>
      <c r="I126" s="28"/>
      <c r="J126" s="28"/>
      <c r="K126" s="28"/>
      <c r="L126" s="28">
        <v>0</v>
      </c>
      <c r="M126" s="28"/>
      <c r="N126" s="32"/>
    </row>
    <row r="127" spans="2:14">
      <c r="B127" s="13" t="s">
        <v>489</v>
      </c>
      <c r="C127" t="s">
        <v>520</v>
      </c>
      <c r="D127" s="28">
        <v>0</v>
      </c>
      <c r="E127" s="28">
        <v>0</v>
      </c>
      <c r="F127" s="28"/>
      <c r="G127" s="28"/>
      <c r="H127" s="28">
        <v>0</v>
      </c>
      <c r="I127" s="28">
        <v>0</v>
      </c>
      <c r="J127" s="28">
        <v>0</v>
      </c>
      <c r="K127" s="28"/>
      <c r="L127" s="28"/>
      <c r="M127" s="28"/>
      <c r="N127" s="32"/>
    </row>
    <row r="128" spans="2:14">
      <c r="B128" s="13" t="s">
        <v>490</v>
      </c>
      <c r="C128" t="s">
        <v>520</v>
      </c>
      <c r="D128" s="28"/>
      <c r="E128" s="28">
        <v>7976</v>
      </c>
      <c r="F128" s="28"/>
      <c r="G128" s="28"/>
      <c r="H128" s="28"/>
      <c r="I128" s="28"/>
      <c r="J128" s="28"/>
      <c r="K128" s="28"/>
      <c r="L128" s="28"/>
      <c r="M128" s="28"/>
      <c r="N128" s="32"/>
    </row>
    <row r="129" spans="2:14">
      <c r="B129" s="13" t="s">
        <v>491</v>
      </c>
      <c r="C129" t="s">
        <v>520</v>
      </c>
      <c r="D129" s="28"/>
      <c r="E129" s="28">
        <v>169</v>
      </c>
      <c r="F129" s="28"/>
      <c r="G129" s="28">
        <v>1256</v>
      </c>
      <c r="H129" s="28">
        <v>1386</v>
      </c>
      <c r="I129" s="28">
        <v>984</v>
      </c>
      <c r="J129" s="28">
        <v>4592</v>
      </c>
      <c r="K129" s="28">
        <v>3312</v>
      </c>
      <c r="L129" s="28">
        <v>1148</v>
      </c>
      <c r="M129" s="28">
        <v>878</v>
      </c>
      <c r="N129" s="32">
        <v>8580</v>
      </c>
    </row>
    <row r="130" spans="2:14">
      <c r="B130" s="13" t="s">
        <v>492</v>
      </c>
      <c r="C130" t="s">
        <v>520</v>
      </c>
      <c r="D130" s="28"/>
      <c r="E130" s="28">
        <v>0</v>
      </c>
      <c r="F130" s="28">
        <v>0</v>
      </c>
      <c r="G130" s="28">
        <v>0</v>
      </c>
      <c r="H130" s="28">
        <v>0</v>
      </c>
      <c r="I130" s="28">
        <v>0</v>
      </c>
      <c r="J130" s="28">
        <v>51068</v>
      </c>
      <c r="K130" s="28">
        <v>48496</v>
      </c>
      <c r="L130" s="28">
        <v>0</v>
      </c>
      <c r="M130" s="28">
        <v>0</v>
      </c>
      <c r="N130" s="32"/>
    </row>
    <row r="131" spans="2:14">
      <c r="B131" s="13" t="s">
        <v>493</v>
      </c>
      <c r="C131" t="s">
        <v>520</v>
      </c>
      <c r="D131" s="28">
        <v>0</v>
      </c>
      <c r="E131" s="28">
        <v>0</v>
      </c>
      <c r="F131" s="28">
        <v>0</v>
      </c>
      <c r="G131" s="28">
        <v>0</v>
      </c>
      <c r="H131" s="28">
        <v>0</v>
      </c>
      <c r="I131" s="28">
        <v>0</v>
      </c>
      <c r="J131" s="28">
        <v>0</v>
      </c>
      <c r="K131" s="28"/>
      <c r="L131" s="28">
        <v>0</v>
      </c>
      <c r="M131" s="28">
        <v>0</v>
      </c>
      <c r="N131" s="32"/>
    </row>
    <row r="132" spans="2:14">
      <c r="B132" s="13" t="s">
        <v>494</v>
      </c>
      <c r="C132" t="s">
        <v>520</v>
      </c>
      <c r="D132" s="28"/>
      <c r="E132" s="28">
        <v>1109</v>
      </c>
      <c r="F132" s="28">
        <v>193</v>
      </c>
      <c r="G132" s="28"/>
      <c r="H132" s="28"/>
      <c r="I132" s="28"/>
      <c r="J132" s="28"/>
      <c r="K132" s="28"/>
      <c r="L132" s="28"/>
      <c r="M132" s="28"/>
      <c r="N132" s="32">
        <v>58413</v>
      </c>
    </row>
    <row r="133" spans="2:14">
      <c r="B133" s="13" t="s">
        <v>495</v>
      </c>
      <c r="C133" t="s">
        <v>520</v>
      </c>
      <c r="D133" s="28">
        <v>0</v>
      </c>
      <c r="E133" s="28">
        <v>0</v>
      </c>
      <c r="F133" s="28"/>
      <c r="G133" s="28"/>
      <c r="H133" s="28">
        <v>0</v>
      </c>
      <c r="I133" s="28">
        <v>0</v>
      </c>
      <c r="J133" s="28">
        <v>0</v>
      </c>
      <c r="K133" s="28"/>
      <c r="L133" s="28">
        <v>0</v>
      </c>
      <c r="M133" s="28"/>
      <c r="N133" s="32">
        <v>0</v>
      </c>
    </row>
    <row r="134" spans="2:14">
      <c r="B134" s="13" t="s">
        <v>496</v>
      </c>
      <c r="C134" t="s">
        <v>520</v>
      </c>
      <c r="D134" s="28"/>
      <c r="E134" s="28">
        <v>0</v>
      </c>
      <c r="F134" s="28">
        <v>0</v>
      </c>
      <c r="G134" s="28">
        <v>55</v>
      </c>
      <c r="H134" s="28">
        <v>0</v>
      </c>
      <c r="I134" s="28"/>
      <c r="J134" s="28">
        <v>0</v>
      </c>
      <c r="K134" s="28">
        <v>0</v>
      </c>
      <c r="L134" s="28">
        <v>0</v>
      </c>
      <c r="M134" s="28">
        <v>0</v>
      </c>
      <c r="N134" s="32">
        <v>0</v>
      </c>
    </row>
    <row r="135" spans="2:14">
      <c r="B135" s="13" t="s">
        <v>497</v>
      </c>
      <c r="C135" t="s">
        <v>520</v>
      </c>
      <c r="D135" s="28">
        <v>0</v>
      </c>
      <c r="E135" s="28">
        <v>0</v>
      </c>
      <c r="F135" s="28">
        <v>0</v>
      </c>
      <c r="G135" s="28">
        <v>0</v>
      </c>
      <c r="H135" s="28">
        <v>0</v>
      </c>
      <c r="I135" s="28">
        <v>0</v>
      </c>
      <c r="J135" s="28">
        <v>0</v>
      </c>
      <c r="K135" s="28">
        <v>0</v>
      </c>
      <c r="L135" s="28">
        <v>0</v>
      </c>
      <c r="M135" s="28">
        <v>0</v>
      </c>
      <c r="N135" s="32">
        <v>0</v>
      </c>
    </row>
    <row r="136" spans="2:14">
      <c r="B136" s="14" t="s">
        <v>498</v>
      </c>
      <c r="C136" s="15" t="s">
        <v>520</v>
      </c>
      <c r="D136" s="29"/>
      <c r="E136" s="29"/>
      <c r="F136" s="29"/>
      <c r="G136" s="29"/>
      <c r="H136" s="29">
        <v>0</v>
      </c>
      <c r="I136" s="29">
        <v>0</v>
      </c>
      <c r="J136" s="29">
        <v>4191</v>
      </c>
      <c r="K136" s="29"/>
      <c r="L136" s="29"/>
      <c r="M136" s="29"/>
      <c r="N136" s="30"/>
    </row>
    <row r="137" spans="2:14">
      <c r="B137" s="21" t="s">
        <v>524</v>
      </c>
      <c r="D137" s="28"/>
      <c r="E137" s="28"/>
      <c r="F137" s="28"/>
      <c r="G137" s="28"/>
      <c r="H137" s="28"/>
      <c r="I137" s="28"/>
      <c r="J137" s="28"/>
      <c r="K137" s="28"/>
      <c r="L137" s="28"/>
      <c r="M137" s="28"/>
      <c r="N137" s="28"/>
    </row>
    <row r="139" spans="2:14" ht="19">
      <c r="B139" s="16" t="s">
        <v>523</v>
      </c>
    </row>
    <row r="140" spans="2:14">
      <c r="B140" s="4" t="s">
        <v>447</v>
      </c>
      <c r="C140" s="11" t="s">
        <v>18</v>
      </c>
      <c r="D140" s="11">
        <v>2015</v>
      </c>
      <c r="E140" s="11">
        <v>2016</v>
      </c>
      <c r="F140" s="11">
        <v>2017</v>
      </c>
      <c r="G140" s="11">
        <v>2018</v>
      </c>
      <c r="H140" s="11">
        <v>2019</v>
      </c>
      <c r="I140" s="11">
        <v>2020</v>
      </c>
      <c r="J140" s="11">
        <v>2021</v>
      </c>
      <c r="K140" s="11">
        <v>2022</v>
      </c>
      <c r="L140" s="11">
        <v>2023</v>
      </c>
      <c r="M140" s="11">
        <v>2024</v>
      </c>
      <c r="N140" s="12">
        <v>2025</v>
      </c>
    </row>
    <row r="141" spans="2:14">
      <c r="B141" s="13" t="s">
        <v>448</v>
      </c>
      <c r="C141" t="s">
        <v>520</v>
      </c>
      <c r="D141" s="28"/>
      <c r="E141" s="28">
        <v>0</v>
      </c>
      <c r="F141" s="28">
        <v>0</v>
      </c>
      <c r="G141" s="28">
        <v>0</v>
      </c>
      <c r="H141" s="28">
        <v>500</v>
      </c>
      <c r="I141" s="28">
        <v>225</v>
      </c>
      <c r="J141" s="28">
        <v>0</v>
      </c>
      <c r="K141" s="28"/>
      <c r="L141" s="28"/>
      <c r="M141" s="28"/>
      <c r="N141" s="32"/>
    </row>
    <row r="142" spans="2:14">
      <c r="B142" s="13" t="s">
        <v>449</v>
      </c>
      <c r="C142" t="s">
        <v>520</v>
      </c>
      <c r="D142" s="28"/>
      <c r="E142" s="28">
        <v>0</v>
      </c>
      <c r="F142" s="28"/>
      <c r="G142" s="28">
        <v>50000</v>
      </c>
      <c r="H142" s="28"/>
      <c r="I142" s="28"/>
      <c r="J142" s="28"/>
      <c r="K142" s="28"/>
      <c r="L142" s="28"/>
      <c r="M142" s="28"/>
      <c r="N142" s="32">
        <v>28000</v>
      </c>
    </row>
    <row r="143" spans="2:14">
      <c r="B143" s="13" t="s">
        <v>450</v>
      </c>
      <c r="C143" t="s">
        <v>520</v>
      </c>
      <c r="D143" s="28">
        <v>80000</v>
      </c>
      <c r="E143" s="28">
        <v>112000</v>
      </c>
      <c r="F143" s="28">
        <v>192000</v>
      </c>
      <c r="G143" s="28">
        <v>38463</v>
      </c>
      <c r="H143" s="28">
        <v>289057</v>
      </c>
      <c r="I143" s="28">
        <v>37000</v>
      </c>
      <c r="J143" s="28">
        <v>14000</v>
      </c>
      <c r="K143" s="28">
        <v>223949</v>
      </c>
      <c r="L143" s="28">
        <v>470000</v>
      </c>
      <c r="M143" s="28">
        <v>295909</v>
      </c>
      <c r="N143" s="32">
        <v>148708</v>
      </c>
    </row>
    <row r="144" spans="2:14">
      <c r="B144" s="13" t="s">
        <v>452</v>
      </c>
      <c r="C144" t="s">
        <v>520</v>
      </c>
      <c r="D144" s="28">
        <v>14700</v>
      </c>
      <c r="E144" s="28"/>
      <c r="F144" s="28"/>
      <c r="G144" s="28"/>
      <c r="H144" s="28"/>
      <c r="I144" s="28"/>
      <c r="J144" s="28"/>
      <c r="K144" s="28"/>
      <c r="L144" s="28"/>
      <c r="M144" s="28"/>
      <c r="N144" s="32"/>
    </row>
    <row r="145" spans="2:14">
      <c r="B145" s="13" t="s">
        <v>453</v>
      </c>
      <c r="C145" t="s">
        <v>520</v>
      </c>
      <c r="D145" s="28">
        <v>38027</v>
      </c>
      <c r="E145" s="28"/>
      <c r="F145" s="28">
        <v>0</v>
      </c>
      <c r="G145" s="28">
        <v>450000</v>
      </c>
      <c r="H145" s="28">
        <v>15670</v>
      </c>
      <c r="I145" s="28">
        <v>0</v>
      </c>
      <c r="J145" s="28"/>
      <c r="K145" s="28"/>
      <c r="L145" s="28">
        <v>0</v>
      </c>
      <c r="M145" s="28">
        <v>0</v>
      </c>
      <c r="N145" s="32">
        <v>0</v>
      </c>
    </row>
    <row r="146" spans="2:14">
      <c r="B146" s="13" t="s">
        <v>454</v>
      </c>
      <c r="C146" t="s">
        <v>520</v>
      </c>
      <c r="D146" s="28">
        <v>12965037</v>
      </c>
      <c r="E146" s="28">
        <v>12603829</v>
      </c>
      <c r="F146" s="28">
        <v>0</v>
      </c>
      <c r="G146" s="28">
        <v>10266402</v>
      </c>
      <c r="H146" s="28">
        <v>15581361</v>
      </c>
      <c r="I146" s="28">
        <v>15586700</v>
      </c>
      <c r="J146" s="28">
        <v>12165428</v>
      </c>
      <c r="K146" s="28">
        <v>9948821</v>
      </c>
      <c r="L146" s="28">
        <v>11743476</v>
      </c>
      <c r="M146" s="28">
        <v>8623436</v>
      </c>
      <c r="N146" s="32">
        <v>7411944</v>
      </c>
    </row>
    <row r="147" spans="2:14">
      <c r="B147" s="13" t="s">
        <v>455</v>
      </c>
      <c r="C147" t="s">
        <v>520</v>
      </c>
      <c r="D147" s="28">
        <v>1384400</v>
      </c>
      <c r="E147" s="28">
        <v>649000</v>
      </c>
      <c r="F147" s="28">
        <v>1163270</v>
      </c>
      <c r="G147" s="28">
        <v>1231650</v>
      </c>
      <c r="H147" s="28">
        <v>926801</v>
      </c>
      <c r="I147" s="28">
        <v>359149</v>
      </c>
      <c r="J147" s="28">
        <v>947187</v>
      </c>
      <c r="K147" s="28">
        <v>604605</v>
      </c>
      <c r="L147" s="28">
        <v>203498</v>
      </c>
      <c r="M147" s="28">
        <v>697301</v>
      </c>
      <c r="N147" s="32">
        <v>683971</v>
      </c>
    </row>
    <row r="148" spans="2:14">
      <c r="B148" s="13" t="s">
        <v>456</v>
      </c>
      <c r="C148" t="s">
        <v>520</v>
      </c>
      <c r="D148" s="28">
        <v>0</v>
      </c>
      <c r="E148" s="28"/>
      <c r="F148" s="28"/>
      <c r="G148" s="28"/>
      <c r="H148" s="28"/>
      <c r="I148" s="28"/>
      <c r="J148" s="28"/>
      <c r="K148" s="28"/>
      <c r="L148" s="28"/>
      <c r="M148" s="28"/>
      <c r="N148" s="32"/>
    </row>
    <row r="149" spans="2:14">
      <c r="B149" s="13" t="s">
        <v>517</v>
      </c>
      <c r="C149" t="s">
        <v>520</v>
      </c>
      <c r="D149" s="28"/>
      <c r="E149" s="28"/>
      <c r="F149" s="28"/>
      <c r="G149" s="28"/>
      <c r="H149" s="28"/>
      <c r="I149" s="28"/>
      <c r="J149" s="28"/>
      <c r="K149" s="28"/>
      <c r="L149" s="28"/>
      <c r="M149" s="28"/>
      <c r="N149" s="32"/>
    </row>
    <row r="150" spans="2:14">
      <c r="B150" s="13" t="s">
        <v>457</v>
      </c>
      <c r="C150" t="s">
        <v>520</v>
      </c>
      <c r="D150" s="28"/>
      <c r="E150" s="28"/>
      <c r="F150" s="28"/>
      <c r="G150" s="28"/>
      <c r="H150" s="28"/>
      <c r="I150" s="28"/>
      <c r="J150" s="28"/>
      <c r="K150" s="28"/>
      <c r="L150" s="28"/>
      <c r="M150" s="28"/>
      <c r="N150" s="32"/>
    </row>
    <row r="151" spans="2:14">
      <c r="B151" s="13" t="s">
        <v>458</v>
      </c>
      <c r="C151" t="s">
        <v>520</v>
      </c>
      <c r="D151" s="28"/>
      <c r="E151" s="28"/>
      <c r="F151" s="28"/>
      <c r="G151" s="28">
        <v>0</v>
      </c>
      <c r="H151" s="28">
        <v>0</v>
      </c>
      <c r="I151" s="28">
        <v>0</v>
      </c>
      <c r="J151" s="28"/>
      <c r="K151" s="28">
        <v>0</v>
      </c>
      <c r="L151" s="28">
        <v>0</v>
      </c>
      <c r="M151" s="28">
        <v>0</v>
      </c>
      <c r="N151" s="32"/>
    </row>
    <row r="152" spans="2:14">
      <c r="B152" s="13" t="s">
        <v>459</v>
      </c>
      <c r="C152" t="s">
        <v>520</v>
      </c>
      <c r="D152" s="28"/>
      <c r="E152" s="28"/>
      <c r="F152" s="28"/>
      <c r="G152" s="28"/>
      <c r="H152" s="28"/>
      <c r="I152" s="28"/>
      <c r="J152" s="28"/>
      <c r="K152" s="28"/>
      <c r="L152" s="28"/>
      <c r="M152" s="28"/>
      <c r="N152" s="32"/>
    </row>
    <row r="153" spans="2:14">
      <c r="B153" s="13" t="s">
        <v>460</v>
      </c>
      <c r="C153" t="s">
        <v>520</v>
      </c>
      <c r="D153" s="28">
        <v>5881</v>
      </c>
      <c r="E153" s="28"/>
      <c r="F153" s="28">
        <v>2277407</v>
      </c>
      <c r="G153" s="28">
        <v>1939630</v>
      </c>
      <c r="H153" s="28">
        <v>1475185</v>
      </c>
      <c r="I153" s="28">
        <v>655926</v>
      </c>
      <c r="J153" s="28">
        <v>1189370</v>
      </c>
      <c r="K153" s="28">
        <v>842340</v>
      </c>
      <c r="L153" s="28">
        <v>1061565</v>
      </c>
      <c r="M153" s="28">
        <v>754867</v>
      </c>
      <c r="N153" s="32">
        <v>552151</v>
      </c>
    </row>
    <row r="154" spans="2:14">
      <c r="B154" s="13" t="s">
        <v>461</v>
      </c>
      <c r="C154" t="s">
        <v>520</v>
      </c>
      <c r="D154" s="28">
        <v>0</v>
      </c>
      <c r="E154" s="28">
        <v>0</v>
      </c>
      <c r="F154" s="28">
        <v>0</v>
      </c>
      <c r="G154" s="28"/>
      <c r="H154" s="28">
        <v>0</v>
      </c>
      <c r="I154" s="28">
        <v>0</v>
      </c>
      <c r="J154" s="28">
        <v>0</v>
      </c>
      <c r="K154" s="28">
        <v>0</v>
      </c>
      <c r="L154" s="28">
        <v>0</v>
      </c>
      <c r="M154" s="28">
        <v>0</v>
      </c>
      <c r="N154" s="32">
        <v>0</v>
      </c>
    </row>
    <row r="155" spans="2:14">
      <c r="B155" s="13" t="s">
        <v>462</v>
      </c>
      <c r="C155" t="s">
        <v>520</v>
      </c>
      <c r="D155" s="28">
        <v>28547</v>
      </c>
      <c r="E155" s="28"/>
      <c r="F155" s="28"/>
      <c r="G155" s="28"/>
      <c r="H155" s="28">
        <v>0</v>
      </c>
      <c r="I155" s="28"/>
      <c r="J155" s="28">
        <v>14200</v>
      </c>
      <c r="K155" s="28">
        <v>17725</v>
      </c>
      <c r="L155" s="28">
        <v>10000</v>
      </c>
      <c r="M155" s="28">
        <v>14618</v>
      </c>
      <c r="N155" s="32">
        <v>21761</v>
      </c>
    </row>
    <row r="156" spans="2:14">
      <c r="B156" s="13" t="s">
        <v>463</v>
      </c>
      <c r="C156" t="s">
        <v>520</v>
      </c>
      <c r="D156" s="28">
        <v>0</v>
      </c>
      <c r="E156" s="28">
        <v>0</v>
      </c>
      <c r="F156" s="28">
        <v>0</v>
      </c>
      <c r="G156" s="28">
        <v>0</v>
      </c>
      <c r="H156" s="28">
        <v>0</v>
      </c>
      <c r="I156" s="28">
        <v>0</v>
      </c>
      <c r="J156" s="28">
        <v>0</v>
      </c>
      <c r="K156" s="28">
        <v>0</v>
      </c>
      <c r="L156" s="28">
        <v>0</v>
      </c>
      <c r="M156" s="28">
        <v>0</v>
      </c>
      <c r="N156" s="32">
        <v>0</v>
      </c>
    </row>
    <row r="157" spans="2:14">
      <c r="B157" s="13" t="s">
        <v>464</v>
      </c>
      <c r="C157" t="s">
        <v>520</v>
      </c>
      <c r="D157" s="28">
        <v>30000</v>
      </c>
      <c r="E157" s="28">
        <v>19000</v>
      </c>
      <c r="F157" s="28">
        <v>18000</v>
      </c>
      <c r="G157" s="28">
        <v>18000</v>
      </c>
      <c r="H157" s="28">
        <v>28000</v>
      </c>
      <c r="I157" s="28">
        <v>40000</v>
      </c>
      <c r="J157" s="28">
        <v>39750</v>
      </c>
      <c r="K157" s="28">
        <v>43000</v>
      </c>
      <c r="L157" s="28">
        <v>14000</v>
      </c>
      <c r="M157" s="28">
        <v>18000</v>
      </c>
      <c r="N157" s="32">
        <v>2800</v>
      </c>
    </row>
    <row r="158" spans="2:14">
      <c r="B158" s="13" t="s">
        <v>465</v>
      </c>
      <c r="C158" t="s">
        <v>520</v>
      </c>
      <c r="D158" s="28"/>
      <c r="E158" s="28">
        <v>500</v>
      </c>
      <c r="F158" s="28">
        <v>0</v>
      </c>
      <c r="G158" s="28">
        <v>0</v>
      </c>
      <c r="H158" s="28"/>
      <c r="I158" s="28"/>
      <c r="J158" s="28"/>
      <c r="K158" s="28"/>
      <c r="L158" s="28">
        <v>0</v>
      </c>
      <c r="M158" s="28">
        <v>0</v>
      </c>
      <c r="N158" s="32">
        <v>0</v>
      </c>
    </row>
    <row r="159" spans="2:14">
      <c r="B159" s="13" t="s">
        <v>466</v>
      </c>
      <c r="C159" t="s">
        <v>520</v>
      </c>
      <c r="D159" s="28">
        <v>0</v>
      </c>
      <c r="E159" s="28"/>
      <c r="F159" s="28"/>
      <c r="G159" s="28"/>
      <c r="H159" s="28"/>
      <c r="I159" s="28"/>
      <c r="J159" s="28"/>
      <c r="K159" s="28"/>
      <c r="L159" s="28"/>
      <c r="M159" s="28"/>
      <c r="N159" s="32"/>
    </row>
    <row r="160" spans="2:14">
      <c r="B160" s="13" t="s">
        <v>467</v>
      </c>
      <c r="C160" t="s">
        <v>520</v>
      </c>
      <c r="D160" s="28">
        <v>640000</v>
      </c>
      <c r="E160" s="28">
        <v>402593</v>
      </c>
      <c r="F160" s="28">
        <v>587449</v>
      </c>
      <c r="G160" s="28">
        <v>724675</v>
      </c>
      <c r="H160" s="28">
        <v>605753</v>
      </c>
      <c r="I160" s="28">
        <v>283687</v>
      </c>
      <c r="J160" s="28">
        <v>225876</v>
      </c>
      <c r="K160" s="28">
        <v>265220</v>
      </c>
      <c r="L160" s="28">
        <v>244239</v>
      </c>
      <c r="M160" s="28">
        <v>195427</v>
      </c>
      <c r="N160" s="32">
        <v>251455</v>
      </c>
    </row>
    <row r="161" spans="2:14">
      <c r="B161" s="13" t="s">
        <v>468</v>
      </c>
      <c r="C161" t="s">
        <v>520</v>
      </c>
      <c r="D161" s="28"/>
      <c r="E161" s="28"/>
      <c r="F161" s="28">
        <v>0</v>
      </c>
      <c r="G161" s="28">
        <v>9870</v>
      </c>
      <c r="H161" s="28">
        <v>0</v>
      </c>
      <c r="I161" s="28">
        <v>350</v>
      </c>
      <c r="J161" s="28">
        <v>0</v>
      </c>
      <c r="K161" s="28">
        <v>0</v>
      </c>
      <c r="L161" s="28">
        <v>0</v>
      </c>
      <c r="M161" s="28">
        <v>0</v>
      </c>
      <c r="N161" s="32">
        <v>7507</v>
      </c>
    </row>
    <row r="162" spans="2:14">
      <c r="B162" s="13" t="s">
        <v>469</v>
      </c>
      <c r="C162" t="s">
        <v>520</v>
      </c>
      <c r="D162" s="28">
        <v>1532413</v>
      </c>
      <c r="E162" s="28">
        <v>500000</v>
      </c>
      <c r="F162" s="28">
        <v>2040000</v>
      </c>
      <c r="G162" s="28">
        <v>1672200</v>
      </c>
      <c r="H162" s="28">
        <v>1782597</v>
      </c>
      <c r="I162" s="28">
        <v>1275711</v>
      </c>
      <c r="J162" s="28">
        <v>1263386</v>
      </c>
      <c r="K162" s="28">
        <v>1463327</v>
      </c>
      <c r="L162" s="28">
        <v>1237100</v>
      </c>
      <c r="M162" s="28">
        <v>1042877</v>
      </c>
      <c r="N162" s="32">
        <v>1532000</v>
      </c>
    </row>
    <row r="163" spans="2:14">
      <c r="B163" s="13" t="s">
        <v>470</v>
      </c>
      <c r="C163" t="s">
        <v>520</v>
      </c>
      <c r="D163" s="28"/>
      <c r="E163" s="28">
        <v>0</v>
      </c>
      <c r="F163" s="28">
        <v>0</v>
      </c>
      <c r="G163" s="28"/>
      <c r="H163" s="28"/>
      <c r="I163" s="28"/>
      <c r="J163" s="28"/>
      <c r="K163" s="28"/>
      <c r="L163" s="28"/>
      <c r="M163" s="28"/>
      <c r="N163" s="32"/>
    </row>
    <row r="164" spans="2:14">
      <c r="B164" s="13" t="s">
        <v>471</v>
      </c>
      <c r="C164" t="s">
        <v>520</v>
      </c>
      <c r="D164" s="28">
        <v>100629</v>
      </c>
      <c r="E164" s="28">
        <v>40024</v>
      </c>
      <c r="F164" s="28"/>
      <c r="G164" s="28">
        <v>41727</v>
      </c>
      <c r="H164" s="28">
        <v>31885</v>
      </c>
      <c r="I164" s="28">
        <v>3800</v>
      </c>
      <c r="J164" s="28">
        <v>1589</v>
      </c>
      <c r="K164" s="28">
        <v>1265</v>
      </c>
      <c r="L164" s="28">
        <v>5282</v>
      </c>
      <c r="M164" s="28">
        <v>14336</v>
      </c>
      <c r="N164" s="32">
        <v>17547</v>
      </c>
    </row>
    <row r="165" spans="2:14">
      <c r="B165" s="13" t="s">
        <v>472</v>
      </c>
      <c r="C165" t="s">
        <v>520</v>
      </c>
      <c r="D165" s="28"/>
      <c r="E165" s="28"/>
      <c r="F165" s="28"/>
      <c r="G165" s="28"/>
      <c r="H165" s="28"/>
      <c r="I165" s="28"/>
      <c r="J165" s="28"/>
      <c r="K165" s="28"/>
      <c r="L165" s="28"/>
      <c r="M165" s="28"/>
      <c r="N165" s="32"/>
    </row>
    <row r="166" spans="2:14">
      <c r="B166" s="13" t="s">
        <v>473</v>
      </c>
      <c r="C166" t="s">
        <v>520</v>
      </c>
      <c r="D166" s="28">
        <v>0</v>
      </c>
      <c r="E166" s="28">
        <v>0</v>
      </c>
      <c r="F166" s="28"/>
      <c r="G166" s="28">
        <v>0</v>
      </c>
      <c r="H166" s="28">
        <v>181000</v>
      </c>
      <c r="I166" s="28">
        <v>0</v>
      </c>
      <c r="J166" s="28">
        <v>97713</v>
      </c>
      <c r="K166" s="28">
        <v>0</v>
      </c>
      <c r="L166" s="28"/>
      <c r="M166" s="28">
        <v>0</v>
      </c>
      <c r="N166" s="32"/>
    </row>
    <row r="167" spans="2:14">
      <c r="B167" s="13" t="s">
        <v>474</v>
      </c>
      <c r="C167" t="s">
        <v>520</v>
      </c>
      <c r="D167" s="28">
        <v>2177288</v>
      </c>
      <c r="E167" s="28">
        <v>2600000</v>
      </c>
      <c r="F167" s="28">
        <v>2047605</v>
      </c>
      <c r="G167" s="28">
        <v>3079795</v>
      </c>
      <c r="H167" s="28">
        <v>2410675</v>
      </c>
      <c r="I167" s="28">
        <v>2970915</v>
      </c>
      <c r="J167" s="28">
        <v>2311441</v>
      </c>
      <c r="K167" s="28">
        <v>1956025</v>
      </c>
      <c r="L167" s="28">
        <v>2156194</v>
      </c>
      <c r="M167" s="28">
        <v>1934128</v>
      </c>
      <c r="N167" s="32">
        <v>2372341</v>
      </c>
    </row>
    <row r="168" spans="2:14">
      <c r="B168" s="13" t="s">
        <v>475</v>
      </c>
      <c r="C168" t="s">
        <v>520</v>
      </c>
      <c r="D168" s="28">
        <v>1900000</v>
      </c>
      <c r="E168" s="28"/>
      <c r="F168" s="28"/>
      <c r="G168" s="28">
        <v>1040104</v>
      </c>
      <c r="H168" s="28">
        <v>1454183</v>
      </c>
      <c r="I168" s="28">
        <v>2344748</v>
      </c>
      <c r="J168" s="28"/>
      <c r="K168" s="28"/>
      <c r="L168" s="28">
        <v>1993000</v>
      </c>
      <c r="M168" s="28">
        <v>2800000</v>
      </c>
      <c r="N168" s="32">
        <v>1486000</v>
      </c>
    </row>
    <row r="169" spans="2:14">
      <c r="B169" s="13" t="s">
        <v>476</v>
      </c>
      <c r="C169" t="s">
        <v>520</v>
      </c>
      <c r="D169" s="28">
        <v>5329</v>
      </c>
      <c r="E169" s="28"/>
      <c r="F169" s="28"/>
      <c r="G169" s="28"/>
      <c r="H169" s="28"/>
      <c r="I169" s="28"/>
      <c r="J169" s="28">
        <v>5555</v>
      </c>
      <c r="K169" s="28">
        <v>1600</v>
      </c>
      <c r="L169" s="28">
        <v>1958</v>
      </c>
      <c r="M169" s="28"/>
      <c r="N169" s="32"/>
    </row>
    <row r="170" spans="2:14">
      <c r="B170" s="13" t="s">
        <v>477</v>
      </c>
      <c r="C170" t="s">
        <v>520</v>
      </c>
      <c r="D170" s="28">
        <v>40930</v>
      </c>
      <c r="E170" s="28">
        <v>205779</v>
      </c>
      <c r="F170" s="28">
        <v>75949</v>
      </c>
      <c r="G170" s="28">
        <v>63152</v>
      </c>
      <c r="H170" s="28">
        <v>33895</v>
      </c>
      <c r="I170" s="28">
        <v>39752</v>
      </c>
      <c r="J170" s="28">
        <v>23136</v>
      </c>
      <c r="K170" s="28">
        <v>23545</v>
      </c>
      <c r="L170" s="28">
        <v>33531</v>
      </c>
      <c r="M170" s="28">
        <v>28562</v>
      </c>
      <c r="N170" s="32">
        <v>34288</v>
      </c>
    </row>
    <row r="171" spans="2:14">
      <c r="B171" s="13" t="s">
        <v>478</v>
      </c>
      <c r="C171" t="s">
        <v>520</v>
      </c>
      <c r="D171" s="28">
        <v>0</v>
      </c>
      <c r="E171" s="28"/>
      <c r="F171" s="28"/>
      <c r="G171" s="28"/>
      <c r="H171" s="28"/>
      <c r="I171" s="28"/>
      <c r="J171" s="28"/>
      <c r="K171" s="28">
        <v>0</v>
      </c>
      <c r="L171" s="28">
        <v>0</v>
      </c>
      <c r="M171" s="28">
        <v>0</v>
      </c>
      <c r="N171" s="32">
        <v>0</v>
      </c>
    </row>
    <row r="172" spans="2:14">
      <c r="B172" s="13" t="s">
        <v>479</v>
      </c>
      <c r="C172" t="s">
        <v>520</v>
      </c>
      <c r="D172" s="28"/>
      <c r="E172" s="28"/>
      <c r="F172" s="28"/>
      <c r="G172" s="28"/>
      <c r="H172" s="28"/>
      <c r="I172" s="28"/>
      <c r="J172" s="28"/>
      <c r="K172" s="28">
        <v>500</v>
      </c>
      <c r="L172" s="28"/>
      <c r="M172" s="28"/>
      <c r="N172" s="32"/>
    </row>
    <row r="173" spans="2:14">
      <c r="B173" s="13" t="s">
        <v>480</v>
      </c>
      <c r="C173" t="s">
        <v>520</v>
      </c>
      <c r="D173" s="28">
        <v>201525</v>
      </c>
      <c r="E173" s="28">
        <v>120000</v>
      </c>
      <c r="F173" s="28">
        <v>110025</v>
      </c>
      <c r="G173" s="28">
        <v>138580</v>
      </c>
      <c r="H173" s="28">
        <v>151287</v>
      </c>
      <c r="I173" s="28">
        <v>93044</v>
      </c>
      <c r="J173" s="28">
        <v>109311</v>
      </c>
      <c r="K173" s="28">
        <v>110873</v>
      </c>
      <c r="L173" s="28">
        <v>116259</v>
      </c>
      <c r="M173" s="28">
        <v>101267</v>
      </c>
      <c r="N173" s="32">
        <v>110000</v>
      </c>
    </row>
    <row r="174" spans="2:14">
      <c r="B174" s="13" t="s">
        <v>481</v>
      </c>
      <c r="C174" t="s">
        <v>520</v>
      </c>
      <c r="D174" s="28"/>
      <c r="E174" s="28"/>
      <c r="F174" s="28"/>
      <c r="G174" s="28"/>
      <c r="H174" s="28"/>
      <c r="I174" s="28"/>
      <c r="J174" s="28"/>
      <c r="K174" s="28"/>
      <c r="L174" s="28"/>
      <c r="M174" s="28"/>
      <c r="N174" s="32"/>
    </row>
    <row r="175" spans="2:14">
      <c r="B175" s="13" t="s">
        <v>482</v>
      </c>
      <c r="C175" t="s">
        <v>520</v>
      </c>
      <c r="D175" s="28">
        <v>0</v>
      </c>
      <c r="E175" s="28">
        <v>0</v>
      </c>
      <c r="F175" s="28">
        <v>0</v>
      </c>
      <c r="G175" s="28">
        <v>0</v>
      </c>
      <c r="H175" s="28">
        <v>0</v>
      </c>
      <c r="I175" s="28">
        <v>0</v>
      </c>
      <c r="J175" s="28">
        <v>0</v>
      </c>
      <c r="K175" s="28">
        <v>0</v>
      </c>
      <c r="L175" s="28"/>
      <c r="M175" s="28">
        <v>0</v>
      </c>
      <c r="N175" s="32"/>
    </row>
    <row r="176" spans="2:14">
      <c r="B176" s="13" t="s">
        <v>483</v>
      </c>
      <c r="C176" t="s">
        <v>520</v>
      </c>
      <c r="D176" s="28">
        <v>0</v>
      </c>
      <c r="E176" s="28">
        <v>0</v>
      </c>
      <c r="F176" s="28">
        <v>0</v>
      </c>
      <c r="G176" s="28">
        <v>0</v>
      </c>
      <c r="H176" s="28">
        <v>0</v>
      </c>
      <c r="I176" s="28">
        <v>0</v>
      </c>
      <c r="J176" s="28">
        <v>0</v>
      </c>
      <c r="K176" s="28">
        <v>0</v>
      </c>
      <c r="L176" s="28">
        <v>0</v>
      </c>
      <c r="M176" s="28">
        <v>0</v>
      </c>
      <c r="N176" s="32">
        <v>0</v>
      </c>
    </row>
    <row r="177" spans="2:14">
      <c r="B177" s="13" t="s">
        <v>484</v>
      </c>
      <c r="C177" t="s">
        <v>520</v>
      </c>
      <c r="D177" s="28"/>
      <c r="E177" s="28"/>
      <c r="F177" s="28"/>
      <c r="G177" s="28"/>
      <c r="H177" s="28"/>
      <c r="I177" s="28"/>
      <c r="J177" s="28"/>
      <c r="K177" s="28"/>
      <c r="L177" s="28">
        <v>0</v>
      </c>
      <c r="M177" s="28">
        <v>0</v>
      </c>
      <c r="N177" s="32"/>
    </row>
    <row r="178" spans="2:14">
      <c r="B178" s="13" t="s">
        <v>485</v>
      </c>
      <c r="C178" t="s">
        <v>520</v>
      </c>
      <c r="D178" s="28">
        <v>2884705</v>
      </c>
      <c r="E178" s="28">
        <v>4788170</v>
      </c>
      <c r="F178" s="28">
        <v>5400000</v>
      </c>
      <c r="G178" s="28">
        <v>7600000</v>
      </c>
      <c r="H178" s="28">
        <v>4500000</v>
      </c>
      <c r="I178" s="28">
        <v>3641911</v>
      </c>
      <c r="J178" s="28">
        <v>3937102</v>
      </c>
      <c r="K178" s="28">
        <v>3937102</v>
      </c>
      <c r="L178" s="28">
        <v>5387773</v>
      </c>
      <c r="M178" s="28">
        <v>19236</v>
      </c>
      <c r="N178" s="32">
        <v>3900343</v>
      </c>
    </row>
    <row r="179" spans="2:14">
      <c r="B179" s="13" t="s">
        <v>486</v>
      </c>
      <c r="C179" t="s">
        <v>520</v>
      </c>
      <c r="D179" s="28">
        <v>0</v>
      </c>
      <c r="E179" s="28">
        <v>0</v>
      </c>
      <c r="F179" s="28">
        <v>0</v>
      </c>
      <c r="G179" s="28">
        <v>0</v>
      </c>
      <c r="H179" s="28">
        <v>0</v>
      </c>
      <c r="I179" s="28">
        <v>0</v>
      </c>
      <c r="J179" s="28">
        <v>0</v>
      </c>
      <c r="K179" s="28"/>
      <c r="L179" s="28"/>
      <c r="M179" s="28"/>
      <c r="N179" s="32"/>
    </row>
    <row r="180" spans="2:14">
      <c r="B180" s="13" t="s">
        <v>487</v>
      </c>
      <c r="C180" t="s">
        <v>520</v>
      </c>
      <c r="D180" s="28">
        <v>5000</v>
      </c>
      <c r="E180" s="28"/>
      <c r="F180" s="28"/>
      <c r="G180" s="28">
        <v>800</v>
      </c>
      <c r="H180" s="28">
        <v>6500</v>
      </c>
      <c r="I180" s="28">
        <v>4500</v>
      </c>
      <c r="J180" s="28">
        <v>5000</v>
      </c>
      <c r="K180" s="28">
        <v>0</v>
      </c>
      <c r="L180" s="28">
        <v>1500</v>
      </c>
      <c r="M180" s="28">
        <v>440</v>
      </c>
      <c r="N180" s="32">
        <v>4180</v>
      </c>
    </row>
    <row r="181" spans="2:14">
      <c r="B181" s="13" t="s">
        <v>488</v>
      </c>
      <c r="C181" t="s">
        <v>520</v>
      </c>
      <c r="D181" s="28">
        <v>0</v>
      </c>
      <c r="E181" s="28">
        <v>0</v>
      </c>
      <c r="F181" s="28"/>
      <c r="G181" s="28"/>
      <c r="H181" s="28"/>
      <c r="I181" s="28"/>
      <c r="J181" s="28"/>
      <c r="K181" s="28"/>
      <c r="L181" s="28">
        <v>0</v>
      </c>
      <c r="M181" s="28"/>
      <c r="N181" s="32"/>
    </row>
    <row r="182" spans="2:14">
      <c r="B182" s="13" t="s">
        <v>489</v>
      </c>
      <c r="C182" t="s">
        <v>520</v>
      </c>
      <c r="D182" s="28">
        <v>444391</v>
      </c>
      <c r="E182" s="28">
        <v>307026</v>
      </c>
      <c r="F182" s="28">
        <v>340163</v>
      </c>
      <c r="G182" s="28">
        <v>416894</v>
      </c>
      <c r="H182" s="28">
        <v>395454</v>
      </c>
      <c r="I182" s="28">
        <v>280886</v>
      </c>
      <c r="J182" s="28">
        <v>148868</v>
      </c>
      <c r="K182" s="28">
        <v>106641</v>
      </c>
      <c r="L182" s="28">
        <v>304695</v>
      </c>
      <c r="M182" s="28">
        <v>142475</v>
      </c>
      <c r="N182" s="32">
        <v>194248</v>
      </c>
    </row>
    <row r="183" spans="2:14">
      <c r="B183" s="13" t="s">
        <v>490</v>
      </c>
      <c r="C183" t="s">
        <v>520</v>
      </c>
      <c r="D183" s="28"/>
      <c r="E183" s="28">
        <v>0</v>
      </c>
      <c r="F183" s="28"/>
      <c r="G183" s="28"/>
      <c r="H183" s="28"/>
      <c r="I183" s="28"/>
      <c r="J183" s="28"/>
      <c r="K183" s="28"/>
      <c r="L183" s="28"/>
      <c r="M183" s="28"/>
      <c r="N183" s="32"/>
    </row>
    <row r="184" spans="2:14">
      <c r="B184" s="13" t="s">
        <v>491</v>
      </c>
      <c r="C184" t="s">
        <v>520</v>
      </c>
      <c r="D184" s="28"/>
      <c r="E184" s="28">
        <v>32000</v>
      </c>
      <c r="F184" s="28"/>
      <c r="G184" s="28">
        <v>0</v>
      </c>
      <c r="H184" s="28">
        <v>0</v>
      </c>
      <c r="I184" s="28">
        <v>0</v>
      </c>
      <c r="J184" s="28">
        <v>50550</v>
      </c>
      <c r="K184" s="28">
        <v>200</v>
      </c>
      <c r="L184" s="28"/>
      <c r="M184" s="28">
        <v>0</v>
      </c>
      <c r="N184" s="32"/>
    </row>
    <row r="185" spans="2:14">
      <c r="B185" s="13" t="s">
        <v>492</v>
      </c>
      <c r="C185" t="s">
        <v>520</v>
      </c>
      <c r="D185" s="28"/>
      <c r="E185" s="28">
        <v>216839</v>
      </c>
      <c r="F185" s="28">
        <v>275854</v>
      </c>
      <c r="G185" s="28">
        <v>268451</v>
      </c>
      <c r="H185" s="28">
        <v>272854</v>
      </c>
      <c r="I185" s="28">
        <v>0</v>
      </c>
      <c r="J185" s="28">
        <v>206861</v>
      </c>
      <c r="K185" s="28">
        <v>222006</v>
      </c>
      <c r="L185" s="28">
        <v>400270</v>
      </c>
      <c r="M185" s="28">
        <v>227000</v>
      </c>
      <c r="N185" s="32">
        <v>224314</v>
      </c>
    </row>
    <row r="186" spans="2:14">
      <c r="B186" s="13" t="s">
        <v>493</v>
      </c>
      <c r="C186" t="s">
        <v>520</v>
      </c>
      <c r="D186" s="28"/>
      <c r="E186" s="28">
        <v>0</v>
      </c>
      <c r="F186" s="28">
        <v>0</v>
      </c>
      <c r="G186" s="28">
        <v>214034</v>
      </c>
      <c r="H186" s="28">
        <v>191527</v>
      </c>
      <c r="I186" s="28">
        <v>128092</v>
      </c>
      <c r="J186" s="28">
        <v>34996</v>
      </c>
      <c r="K186" s="28">
        <v>50246</v>
      </c>
      <c r="L186" s="28">
        <v>74608</v>
      </c>
      <c r="M186" s="28">
        <v>57503</v>
      </c>
      <c r="N186" s="32">
        <v>60940</v>
      </c>
    </row>
    <row r="187" spans="2:14">
      <c r="B187" s="13" t="s">
        <v>494</v>
      </c>
      <c r="C187" t="s">
        <v>520</v>
      </c>
      <c r="D187" s="28"/>
      <c r="E187" s="28">
        <v>258929</v>
      </c>
      <c r="F187" s="28">
        <v>8362</v>
      </c>
      <c r="G187" s="28"/>
      <c r="H187" s="28"/>
      <c r="I187" s="28"/>
      <c r="J187" s="28"/>
      <c r="K187" s="28"/>
      <c r="L187" s="28"/>
      <c r="M187" s="28"/>
      <c r="N187" s="32">
        <v>24930</v>
      </c>
    </row>
    <row r="188" spans="2:14">
      <c r="B188" s="13" t="s">
        <v>495</v>
      </c>
      <c r="C188" t="s">
        <v>520</v>
      </c>
      <c r="D188" s="28">
        <v>332053</v>
      </c>
      <c r="E188" s="28">
        <v>515647</v>
      </c>
      <c r="F188" s="28">
        <v>752350</v>
      </c>
      <c r="G188" s="28">
        <v>529300</v>
      </c>
      <c r="H188" s="28">
        <v>952200</v>
      </c>
      <c r="I188" s="28">
        <v>545442</v>
      </c>
      <c r="J188" s="28">
        <v>700000</v>
      </c>
      <c r="K188" s="28">
        <v>666000</v>
      </c>
      <c r="L188" s="28">
        <v>898830</v>
      </c>
      <c r="M188" s="28">
        <v>665000</v>
      </c>
      <c r="N188" s="32">
        <v>810000</v>
      </c>
    </row>
    <row r="189" spans="2:14">
      <c r="B189" s="13" t="s">
        <v>496</v>
      </c>
      <c r="C189" t="s">
        <v>520</v>
      </c>
      <c r="D189" s="28"/>
      <c r="E189" s="28">
        <v>0</v>
      </c>
      <c r="F189" s="28">
        <v>0</v>
      </c>
      <c r="G189" s="28">
        <v>0</v>
      </c>
      <c r="H189" s="28">
        <v>0</v>
      </c>
      <c r="I189" s="28"/>
      <c r="J189" s="28">
        <v>0</v>
      </c>
      <c r="K189" s="28">
        <v>0</v>
      </c>
      <c r="L189" s="28">
        <v>0</v>
      </c>
      <c r="M189" s="28">
        <v>0</v>
      </c>
      <c r="N189" s="32">
        <v>0</v>
      </c>
    </row>
    <row r="190" spans="2:14">
      <c r="B190" s="13" t="s">
        <v>497</v>
      </c>
      <c r="C190" t="s">
        <v>520</v>
      </c>
      <c r="D190" s="28">
        <v>56715</v>
      </c>
      <c r="E190" s="28">
        <v>89555</v>
      </c>
      <c r="F190" s="28">
        <v>58834</v>
      </c>
      <c r="G190" s="28">
        <v>146059</v>
      </c>
      <c r="H190" s="28">
        <v>58958</v>
      </c>
      <c r="I190" s="28">
        <v>11485</v>
      </c>
      <c r="J190" s="28">
        <v>9210</v>
      </c>
      <c r="K190" s="28">
        <v>12939</v>
      </c>
      <c r="L190" s="28">
        <v>21280</v>
      </c>
      <c r="M190" s="28">
        <v>16359</v>
      </c>
      <c r="N190" s="32">
        <v>17552</v>
      </c>
    </row>
    <row r="191" spans="2:14">
      <c r="B191" s="14" t="s">
        <v>498</v>
      </c>
      <c r="C191" s="15" t="s">
        <v>520</v>
      </c>
      <c r="D191" s="29"/>
      <c r="E191" s="29"/>
      <c r="F191" s="29"/>
      <c r="G191" s="29"/>
      <c r="H191" s="29">
        <v>97459</v>
      </c>
      <c r="I191" s="29">
        <v>66754</v>
      </c>
      <c r="J191" s="29">
        <v>45092</v>
      </c>
      <c r="K191" s="29">
        <v>54978</v>
      </c>
      <c r="L191" s="29">
        <v>45367</v>
      </c>
      <c r="M191" s="29">
        <v>45927</v>
      </c>
      <c r="N191" s="30">
        <v>151038</v>
      </c>
    </row>
    <row r="192" spans="2:14">
      <c r="B192" s="21" t="s">
        <v>524</v>
      </c>
      <c r="D192" s="28"/>
      <c r="E192" s="28"/>
      <c r="F192" s="28"/>
      <c r="G192" s="28"/>
      <c r="H192" s="28"/>
      <c r="I192" s="28"/>
      <c r="J192" s="28"/>
      <c r="K192" s="28"/>
      <c r="L192" s="28"/>
      <c r="M192" s="28"/>
      <c r="N192" s="28"/>
    </row>
    <row r="194" spans="2:15" ht="19">
      <c r="B194" s="16" t="s">
        <v>521</v>
      </c>
    </row>
    <row r="195" spans="2:15">
      <c r="B195" s="4" t="s">
        <v>447</v>
      </c>
      <c r="C195" s="11" t="s">
        <v>18</v>
      </c>
      <c r="D195" s="11">
        <v>2015</v>
      </c>
      <c r="E195" s="11">
        <v>2016</v>
      </c>
      <c r="F195" s="11">
        <v>2017</v>
      </c>
      <c r="G195" s="11">
        <v>2018</v>
      </c>
      <c r="H195" s="11">
        <v>2019</v>
      </c>
      <c r="I195" s="11">
        <v>2020</v>
      </c>
      <c r="J195" s="11">
        <v>2021</v>
      </c>
      <c r="K195" s="11">
        <v>2022</v>
      </c>
      <c r="L195" s="11">
        <v>2023</v>
      </c>
      <c r="M195" s="11">
        <v>2024</v>
      </c>
      <c r="N195" s="12">
        <v>2025</v>
      </c>
    </row>
    <row r="196" spans="2:15">
      <c r="B196" s="13" t="s">
        <v>448</v>
      </c>
      <c r="C196" t="s">
        <v>326</v>
      </c>
      <c r="D196" s="28" t="str">
        <f t="shared" ref="D196:N196" si="0">IF(AND(ISBLANK(D86),ISBLANK(D141)),"",(D86+(D141*0.22*0.005))*0.907185)</f>
        <v/>
      </c>
      <c r="E196" s="28">
        <f t="shared" si="0"/>
        <v>0</v>
      </c>
      <c r="F196" s="28">
        <f t="shared" si="0"/>
        <v>0</v>
      </c>
      <c r="G196" s="28">
        <f t="shared" si="0"/>
        <v>0</v>
      </c>
      <c r="H196" s="28">
        <f t="shared" si="0"/>
        <v>10.477986750000001</v>
      </c>
      <c r="I196" s="28">
        <f t="shared" si="0"/>
        <v>4.7604532874999999</v>
      </c>
      <c r="J196" s="28">
        <f t="shared" si="0"/>
        <v>0</v>
      </c>
      <c r="K196" s="28" t="str">
        <f t="shared" si="0"/>
        <v/>
      </c>
      <c r="L196" s="28" t="str">
        <f t="shared" si="0"/>
        <v/>
      </c>
      <c r="M196" s="28" t="str">
        <f t="shared" si="0"/>
        <v/>
      </c>
      <c r="N196" s="32" t="str">
        <f t="shared" si="0"/>
        <v/>
      </c>
      <c r="O196" s="28"/>
    </row>
    <row r="197" spans="2:15">
      <c r="B197" s="13" t="s">
        <v>449</v>
      </c>
      <c r="C197" t="s">
        <v>326</v>
      </c>
      <c r="D197" s="28" t="str">
        <f t="shared" ref="D197:N197" si="1">IF(AND(ISBLANK(D87),ISBLANK(D142)),"",(D87+(D142*0.22*0.005))*0.907185)</f>
        <v/>
      </c>
      <c r="E197" s="28">
        <f t="shared" si="1"/>
        <v>0</v>
      </c>
      <c r="F197" s="28" t="str">
        <f t="shared" si="1"/>
        <v/>
      </c>
      <c r="G197" s="28">
        <f t="shared" si="1"/>
        <v>49.895175000000002</v>
      </c>
      <c r="H197" s="28" t="str">
        <f t="shared" si="1"/>
        <v/>
      </c>
      <c r="I197" s="28" t="str">
        <f t="shared" si="1"/>
        <v/>
      </c>
      <c r="J197" s="28" t="str">
        <f t="shared" si="1"/>
        <v/>
      </c>
      <c r="K197" s="28" t="str">
        <f t="shared" si="1"/>
        <v/>
      </c>
      <c r="L197" s="28" t="str">
        <f t="shared" si="1"/>
        <v/>
      </c>
      <c r="M197" s="28">
        <f t="shared" si="1"/>
        <v>13616.84685</v>
      </c>
      <c r="N197" s="32">
        <f t="shared" si="1"/>
        <v>27.941298</v>
      </c>
    </row>
    <row r="198" spans="2:15">
      <c r="B198" s="13" t="s">
        <v>450</v>
      </c>
      <c r="C198" t="s">
        <v>326</v>
      </c>
      <c r="D198" s="28">
        <f t="shared" ref="D198:N198" si="2">IF(AND(ISBLANK(D88),ISBLANK(D143)),"",(D88+(D143*0.22*0.005))*0.907185)</f>
        <v>79.832279999999997</v>
      </c>
      <c r="E198" s="28">
        <f t="shared" si="2"/>
        <v>111.765192</v>
      </c>
      <c r="F198" s="28">
        <f t="shared" si="2"/>
        <v>191.59747200000001</v>
      </c>
      <c r="G198" s="28">
        <f t="shared" si="2"/>
        <v>38.3823623205</v>
      </c>
      <c r="H198" s="28">
        <f t="shared" si="2"/>
        <v>288.45099199949999</v>
      </c>
      <c r="I198" s="28">
        <f t="shared" si="2"/>
        <v>36.922429500000007</v>
      </c>
      <c r="J198" s="28">
        <f t="shared" si="2"/>
        <v>13.970649</v>
      </c>
      <c r="K198" s="28">
        <f t="shared" si="2"/>
        <v>223.4794909215</v>
      </c>
      <c r="L198" s="28">
        <f t="shared" si="2"/>
        <v>469.01464500000003</v>
      </c>
      <c r="M198" s="28">
        <f t="shared" si="2"/>
        <v>295.28862678150006</v>
      </c>
      <c r="N198" s="32">
        <f t="shared" si="2"/>
        <v>149.30341867800001</v>
      </c>
    </row>
    <row r="199" spans="2:15">
      <c r="B199" s="13" t="s">
        <v>452</v>
      </c>
      <c r="C199" t="s">
        <v>326</v>
      </c>
      <c r="D199" s="28">
        <f t="shared" ref="D199:N199" si="3">IF(AND(ISBLANK(D89),ISBLANK(D144)),"",(D89+(D144*0.22*0.005))*0.907185)</f>
        <v>14.669181450000002</v>
      </c>
      <c r="E199" s="28" t="str">
        <f t="shared" si="3"/>
        <v/>
      </c>
      <c r="F199" s="28" t="str">
        <f t="shared" si="3"/>
        <v/>
      </c>
      <c r="G199" s="28" t="str">
        <f t="shared" si="3"/>
        <v/>
      </c>
      <c r="H199" s="28" t="str">
        <f t="shared" si="3"/>
        <v/>
      </c>
      <c r="I199" s="28" t="str">
        <f t="shared" si="3"/>
        <v/>
      </c>
      <c r="J199" s="28" t="str">
        <f t="shared" si="3"/>
        <v/>
      </c>
      <c r="K199" s="28" t="str">
        <f t="shared" si="3"/>
        <v/>
      </c>
      <c r="L199" s="28" t="str">
        <f t="shared" si="3"/>
        <v/>
      </c>
      <c r="M199" s="28" t="str">
        <f t="shared" si="3"/>
        <v/>
      </c>
      <c r="N199" s="32" t="str">
        <f t="shared" si="3"/>
        <v/>
      </c>
    </row>
    <row r="200" spans="2:15">
      <c r="B200" s="13" t="s">
        <v>453</v>
      </c>
      <c r="C200" t="s">
        <v>326</v>
      </c>
      <c r="D200" s="28">
        <f t="shared" ref="D200:N200" si="4">IF(AND(ISBLANK(D90),ISBLANK(D145)),"",(D90+(D145*0.22*0.005))*0.907185)</f>
        <v>37.947276394500001</v>
      </c>
      <c r="E200" s="28">
        <f t="shared" si="4"/>
        <v>17706.436829999999</v>
      </c>
      <c r="F200" s="28">
        <f t="shared" si="4"/>
        <v>18235.325685</v>
      </c>
      <c r="G200" s="28">
        <f t="shared" si="4"/>
        <v>9520.9065750000009</v>
      </c>
      <c r="H200" s="28">
        <f t="shared" si="4"/>
        <v>15.637147845000001</v>
      </c>
      <c r="I200" s="28">
        <f t="shared" si="4"/>
        <v>3628.7400000000002</v>
      </c>
      <c r="J200" s="28" t="str">
        <f t="shared" si="4"/>
        <v/>
      </c>
      <c r="K200" s="28" t="str">
        <f t="shared" si="4"/>
        <v/>
      </c>
      <c r="L200" s="28">
        <f t="shared" si="4"/>
        <v>0</v>
      </c>
      <c r="M200" s="28">
        <f t="shared" si="4"/>
        <v>0</v>
      </c>
      <c r="N200" s="32">
        <f t="shared" si="4"/>
        <v>0</v>
      </c>
    </row>
    <row r="201" spans="2:15">
      <c r="B201" s="13" t="s">
        <v>454</v>
      </c>
      <c r="C201" t="s">
        <v>326</v>
      </c>
      <c r="D201" s="28">
        <f t="shared" ref="D201:N201" si="5">IF(AND(ISBLANK(D91),ISBLANK(D146)),"",(D91+(D146*0.22*0.005))*0.907185)</f>
        <v>207083.61046492952</v>
      </c>
      <c r="E201" s="28">
        <f t="shared" si="5"/>
        <v>16581.719662501502</v>
      </c>
      <c r="F201" s="28">
        <f t="shared" si="5"/>
        <v>1290.9242550000001</v>
      </c>
      <c r="G201" s="28">
        <f t="shared" si="5"/>
        <v>11070.416838207</v>
      </c>
      <c r="H201" s="28">
        <f t="shared" si="5"/>
        <v>15793.634626663501</v>
      </c>
      <c r="I201" s="28">
        <f t="shared" si="5"/>
        <v>15650.18409345</v>
      </c>
      <c r="J201" s="28">
        <f t="shared" si="5"/>
        <v>12207.962055198001</v>
      </c>
      <c r="K201" s="28">
        <f t="shared" si="5"/>
        <v>10165.645766773501</v>
      </c>
      <c r="L201" s="28">
        <f t="shared" si="5"/>
        <v>11718.855802566002</v>
      </c>
      <c r="M201" s="28">
        <f t="shared" si="5"/>
        <v>8605.3569664259994</v>
      </c>
      <c r="N201" s="32">
        <f t="shared" si="5"/>
        <v>20641.305859404001</v>
      </c>
    </row>
    <row r="202" spans="2:15">
      <c r="B202" s="13" t="s">
        <v>455</v>
      </c>
      <c r="C202" t="s">
        <v>326</v>
      </c>
      <c r="D202" s="28">
        <f t="shared" ref="D202:N202" si="6">IF(AND(ISBLANK(D92),ISBLANK(D147)),"",(D92+(D147*0.22*0.005))*0.907185)</f>
        <v>1381.4976053999999</v>
      </c>
      <c r="E202" s="28">
        <f t="shared" si="6"/>
        <v>647.63937150000004</v>
      </c>
      <c r="F202" s="28">
        <f t="shared" si="6"/>
        <v>1160.8312044449999</v>
      </c>
      <c r="G202" s="28">
        <f t="shared" si="6"/>
        <v>1229.067845775</v>
      </c>
      <c r="H202" s="28">
        <f t="shared" si="6"/>
        <v>924.85796170350011</v>
      </c>
      <c r="I202" s="28">
        <f t="shared" si="6"/>
        <v>358.39604412149998</v>
      </c>
      <c r="J202" s="28">
        <f t="shared" si="6"/>
        <v>945.2012224545</v>
      </c>
      <c r="K202" s="28">
        <f t="shared" si="6"/>
        <v>603.33744561750007</v>
      </c>
      <c r="L202" s="28">
        <f t="shared" si="6"/>
        <v>184813.40449644299</v>
      </c>
      <c r="M202" s="28">
        <f t="shared" si="6"/>
        <v>695.8391084535001</v>
      </c>
      <c r="N202" s="32">
        <f t="shared" si="6"/>
        <v>682.53705479850009</v>
      </c>
    </row>
    <row r="203" spans="2:15">
      <c r="B203" s="13" t="s">
        <v>456</v>
      </c>
      <c r="C203" t="s">
        <v>326</v>
      </c>
      <c r="D203" s="28">
        <f t="shared" ref="D203:N203" si="7">IF(AND(ISBLANK(D93),ISBLANK(D148)),"",(D93+(D148*0.22*0.005))*0.907185)</f>
        <v>0</v>
      </c>
      <c r="E203" s="28" t="str">
        <f t="shared" si="7"/>
        <v/>
      </c>
      <c r="F203" s="28" t="str">
        <f t="shared" si="7"/>
        <v/>
      </c>
      <c r="G203" s="28" t="str">
        <f t="shared" si="7"/>
        <v/>
      </c>
      <c r="H203" s="28" t="str">
        <f t="shared" si="7"/>
        <v/>
      </c>
      <c r="I203" s="28" t="str">
        <f t="shared" si="7"/>
        <v/>
      </c>
      <c r="J203" s="28" t="str">
        <f t="shared" si="7"/>
        <v/>
      </c>
      <c r="K203" s="28" t="str">
        <f t="shared" si="7"/>
        <v/>
      </c>
      <c r="L203" s="28" t="str">
        <f t="shared" si="7"/>
        <v/>
      </c>
      <c r="M203" s="28" t="str">
        <f t="shared" si="7"/>
        <v/>
      </c>
      <c r="N203" s="32" t="str">
        <f t="shared" si="7"/>
        <v/>
      </c>
    </row>
    <row r="204" spans="2:15">
      <c r="B204" s="13" t="s">
        <v>517</v>
      </c>
      <c r="C204" t="s">
        <v>326</v>
      </c>
      <c r="D204" s="28" t="str">
        <f t="shared" ref="D204:N204" si="8">IF(AND(ISBLANK(D94),ISBLANK(D149)),"",(D94+(D149*0.22*0.005))*0.907185)</f>
        <v/>
      </c>
      <c r="E204" s="28" t="str">
        <f t="shared" si="8"/>
        <v/>
      </c>
      <c r="F204" s="28" t="str">
        <f t="shared" si="8"/>
        <v/>
      </c>
      <c r="G204" s="28" t="str">
        <f t="shared" si="8"/>
        <v/>
      </c>
      <c r="H204" s="28" t="str">
        <f t="shared" si="8"/>
        <v/>
      </c>
      <c r="I204" s="28" t="str">
        <f t="shared" si="8"/>
        <v/>
      </c>
      <c r="J204" s="28" t="str">
        <f t="shared" si="8"/>
        <v/>
      </c>
      <c r="K204" s="28" t="str">
        <f t="shared" si="8"/>
        <v/>
      </c>
      <c r="L204" s="28" t="str">
        <f t="shared" si="8"/>
        <v/>
      </c>
      <c r="M204" s="28" t="str">
        <f t="shared" si="8"/>
        <v/>
      </c>
      <c r="N204" s="32" t="str">
        <f t="shared" si="8"/>
        <v/>
      </c>
    </row>
    <row r="205" spans="2:15">
      <c r="B205" s="13" t="s">
        <v>457</v>
      </c>
      <c r="C205" t="s">
        <v>326</v>
      </c>
      <c r="D205" s="28" t="str">
        <f t="shared" ref="D205:N205" si="9">IF(AND(ISBLANK(D95),ISBLANK(D150)),"",(D95+(D150*0.22*0.005))*0.907185)</f>
        <v/>
      </c>
      <c r="E205" s="28" t="str">
        <f t="shared" si="9"/>
        <v/>
      </c>
      <c r="F205" s="28" t="str">
        <f t="shared" si="9"/>
        <v/>
      </c>
      <c r="G205" s="28" t="str">
        <f t="shared" si="9"/>
        <v/>
      </c>
      <c r="H205" s="28" t="str">
        <f t="shared" si="9"/>
        <v/>
      </c>
      <c r="I205" s="28" t="str">
        <f t="shared" si="9"/>
        <v/>
      </c>
      <c r="J205" s="28" t="str">
        <f t="shared" si="9"/>
        <v/>
      </c>
      <c r="K205" s="28" t="str">
        <f t="shared" si="9"/>
        <v/>
      </c>
      <c r="L205" s="28" t="str">
        <f t="shared" si="9"/>
        <v/>
      </c>
      <c r="M205" s="28" t="str">
        <f t="shared" si="9"/>
        <v/>
      </c>
      <c r="N205" s="32" t="str">
        <f t="shared" si="9"/>
        <v/>
      </c>
    </row>
    <row r="206" spans="2:15">
      <c r="B206" s="13" t="s">
        <v>458</v>
      </c>
      <c r="C206" t="s">
        <v>326</v>
      </c>
      <c r="D206" s="28" t="str">
        <f t="shared" ref="D206:N206" si="10">IF(AND(ISBLANK(D96),ISBLANK(D151)),"",(D96+(D151*0.22*0.005))*0.907185)</f>
        <v/>
      </c>
      <c r="E206" s="28" t="str">
        <f t="shared" si="10"/>
        <v/>
      </c>
      <c r="F206" s="28" t="str">
        <f t="shared" si="10"/>
        <v/>
      </c>
      <c r="G206" s="28">
        <f t="shared" si="10"/>
        <v>0</v>
      </c>
      <c r="H206" s="28">
        <f t="shared" si="10"/>
        <v>0</v>
      </c>
      <c r="I206" s="28">
        <f t="shared" si="10"/>
        <v>0</v>
      </c>
      <c r="J206" s="28" t="str">
        <f t="shared" si="10"/>
        <v/>
      </c>
      <c r="K206" s="28">
        <f t="shared" si="10"/>
        <v>0</v>
      </c>
      <c r="L206" s="28">
        <f t="shared" si="10"/>
        <v>0</v>
      </c>
      <c r="M206" s="28">
        <f t="shared" si="10"/>
        <v>0</v>
      </c>
      <c r="N206" s="32" t="str">
        <f t="shared" si="10"/>
        <v/>
      </c>
    </row>
    <row r="207" spans="2:15">
      <c r="B207" s="13" t="s">
        <v>459</v>
      </c>
      <c r="C207" t="s">
        <v>326</v>
      </c>
      <c r="D207" s="28" t="str">
        <f t="shared" ref="D207:N207" si="11">IF(AND(ISBLANK(D97),ISBLANK(D152)),"",(D97+(D152*0.22*0.005))*0.907185)</f>
        <v/>
      </c>
      <c r="E207" s="28" t="str">
        <f t="shared" si="11"/>
        <v/>
      </c>
      <c r="F207" s="28" t="str">
        <f t="shared" si="11"/>
        <v/>
      </c>
      <c r="G207" s="28" t="str">
        <f t="shared" si="11"/>
        <v/>
      </c>
      <c r="H207" s="28" t="str">
        <f t="shared" si="11"/>
        <v/>
      </c>
      <c r="I207" s="28" t="str">
        <f t="shared" si="11"/>
        <v/>
      </c>
      <c r="J207" s="28" t="str">
        <f t="shared" si="11"/>
        <v/>
      </c>
      <c r="K207" s="28" t="str">
        <f t="shared" si="11"/>
        <v/>
      </c>
      <c r="L207" s="28" t="str">
        <f t="shared" si="11"/>
        <v/>
      </c>
      <c r="M207" s="28" t="str">
        <f t="shared" si="11"/>
        <v/>
      </c>
      <c r="N207" s="32" t="str">
        <f t="shared" si="11"/>
        <v/>
      </c>
    </row>
    <row r="208" spans="2:15">
      <c r="B208" s="13" t="s">
        <v>460</v>
      </c>
      <c r="C208" t="s">
        <v>326</v>
      </c>
      <c r="D208" s="28">
        <f t="shared" ref="D208:N208" si="12">IF(AND(ISBLANK(D98),ISBLANK(D153)),"",(D98+(D153*0.22*0.005))*0.907185)</f>
        <v>5.8686704834999999</v>
      </c>
      <c r="E208" s="28" t="str">
        <f t="shared" si="12"/>
        <v/>
      </c>
      <c r="F208" s="28">
        <f t="shared" si="12"/>
        <v>2272.6324162245</v>
      </c>
      <c r="G208" s="28">
        <f t="shared" si="12"/>
        <v>1935.563565705</v>
      </c>
      <c r="H208" s="28">
        <f t="shared" si="12"/>
        <v>1472.0922746475001</v>
      </c>
      <c r="I208" s="28">
        <f t="shared" si="12"/>
        <v>654.55085114099995</v>
      </c>
      <c r="J208" s="28">
        <f t="shared" si="12"/>
        <v>1186.876485795</v>
      </c>
      <c r="K208" s="28">
        <f t="shared" si="12"/>
        <v>840.57403419000002</v>
      </c>
      <c r="L208" s="28">
        <f t="shared" si="12"/>
        <v>1059.3394289774999</v>
      </c>
      <c r="M208" s="28">
        <f t="shared" si="12"/>
        <v>753.28442133450005</v>
      </c>
      <c r="N208" s="32">
        <f t="shared" si="12"/>
        <v>550.99341542850004</v>
      </c>
    </row>
    <row r="209" spans="2:14">
      <c r="B209" s="13" t="s">
        <v>461</v>
      </c>
      <c r="C209" t="s">
        <v>326</v>
      </c>
      <c r="D209" s="28">
        <f t="shared" ref="D209:N209" si="13">IF(AND(ISBLANK(D99),ISBLANK(D154)),"",(D99+(D154*0.22*0.005))*0.907185)</f>
        <v>0</v>
      </c>
      <c r="E209" s="28">
        <f t="shared" si="13"/>
        <v>0</v>
      </c>
      <c r="F209" s="28">
        <f t="shared" si="13"/>
        <v>0</v>
      </c>
      <c r="G209" s="28" t="str">
        <f t="shared" si="13"/>
        <v/>
      </c>
      <c r="H209" s="28">
        <f t="shared" si="13"/>
        <v>0</v>
      </c>
      <c r="I209" s="28">
        <f t="shared" si="13"/>
        <v>0</v>
      </c>
      <c r="J209" s="28">
        <f t="shared" si="13"/>
        <v>0</v>
      </c>
      <c r="K209" s="28">
        <f t="shared" si="13"/>
        <v>0</v>
      </c>
      <c r="L209" s="28">
        <f t="shared" si="13"/>
        <v>0</v>
      </c>
      <c r="M209" s="28">
        <f t="shared" si="13"/>
        <v>0</v>
      </c>
      <c r="N209" s="32">
        <f t="shared" si="13"/>
        <v>0</v>
      </c>
    </row>
    <row r="210" spans="2:14">
      <c r="B210" s="13" t="s">
        <v>462</v>
      </c>
      <c r="C210" t="s">
        <v>326</v>
      </c>
      <c r="D210" s="28">
        <f t="shared" ref="D210:N210" si="14">IF(AND(ISBLANK(D100),ISBLANK(D155)),"",(D100+(D155*0.22*0.005))*0.907185)</f>
        <v>28.487151214500003</v>
      </c>
      <c r="E210" s="28" t="str">
        <f t="shared" si="14"/>
        <v/>
      </c>
      <c r="F210" s="28" t="str">
        <f t="shared" si="14"/>
        <v/>
      </c>
      <c r="G210" s="28" t="str">
        <f t="shared" si="14"/>
        <v/>
      </c>
      <c r="H210" s="28">
        <f t="shared" si="14"/>
        <v>0</v>
      </c>
      <c r="I210" s="28">
        <f t="shared" si="14"/>
        <v>0</v>
      </c>
      <c r="J210" s="28">
        <f t="shared" si="14"/>
        <v>14.170229700000002</v>
      </c>
      <c r="K210" s="28">
        <f t="shared" si="14"/>
        <v>17.6878395375</v>
      </c>
      <c r="L210" s="28">
        <f t="shared" si="14"/>
        <v>9.9790349999999997</v>
      </c>
      <c r="M210" s="28">
        <f t="shared" si="14"/>
        <v>14.587353362999998</v>
      </c>
      <c r="N210" s="32">
        <f t="shared" si="14"/>
        <v>21.715378063500001</v>
      </c>
    </row>
    <row r="211" spans="2:14">
      <c r="B211" s="13" t="s">
        <v>463</v>
      </c>
      <c r="C211" t="s">
        <v>326</v>
      </c>
      <c r="D211" s="28">
        <f t="shared" ref="D211:N211" si="15">IF(AND(ISBLANK(D101),ISBLANK(D156)),"",(D101+(D156*0.22*0.005))*0.907185)</f>
        <v>0</v>
      </c>
      <c r="E211" s="28">
        <f t="shared" si="15"/>
        <v>0</v>
      </c>
      <c r="F211" s="28">
        <f t="shared" si="15"/>
        <v>0</v>
      </c>
      <c r="G211" s="28">
        <f t="shared" si="15"/>
        <v>0</v>
      </c>
      <c r="H211" s="28">
        <f t="shared" si="15"/>
        <v>0</v>
      </c>
      <c r="I211" s="28">
        <f t="shared" si="15"/>
        <v>0</v>
      </c>
      <c r="J211" s="28">
        <f t="shared" si="15"/>
        <v>0</v>
      </c>
      <c r="K211" s="28">
        <f t="shared" si="15"/>
        <v>0</v>
      </c>
      <c r="L211" s="28">
        <f t="shared" si="15"/>
        <v>0</v>
      </c>
      <c r="M211" s="28">
        <f t="shared" si="15"/>
        <v>0</v>
      </c>
      <c r="N211" s="32">
        <f t="shared" si="15"/>
        <v>0</v>
      </c>
    </row>
    <row r="212" spans="2:14">
      <c r="B212" s="13" t="s">
        <v>464</v>
      </c>
      <c r="C212" t="s">
        <v>326</v>
      </c>
      <c r="D212" s="28">
        <f t="shared" ref="D212:N212" si="16">IF(AND(ISBLANK(D102),ISBLANK(D157)),"",(D102+(D157*0.22*0.005))*0.907185)</f>
        <v>29.937104999999999</v>
      </c>
      <c r="E212" s="28">
        <f t="shared" si="16"/>
        <v>18.960166500000003</v>
      </c>
      <c r="F212" s="28">
        <f t="shared" si="16"/>
        <v>17.962263</v>
      </c>
      <c r="G212" s="28">
        <f t="shared" si="16"/>
        <v>17.962263</v>
      </c>
      <c r="H212" s="28">
        <f t="shared" si="16"/>
        <v>27.941298</v>
      </c>
      <c r="I212" s="28">
        <f t="shared" si="16"/>
        <v>39.916139999999999</v>
      </c>
      <c r="J212" s="28">
        <f t="shared" si="16"/>
        <v>39.666664125000004</v>
      </c>
      <c r="K212" s="28">
        <f t="shared" si="16"/>
        <v>42.909850500000005</v>
      </c>
      <c r="L212" s="28">
        <f t="shared" si="16"/>
        <v>13.970649</v>
      </c>
      <c r="M212" s="28">
        <f t="shared" si="16"/>
        <v>17.962263</v>
      </c>
      <c r="N212" s="32">
        <f t="shared" si="16"/>
        <v>2.7941298000000003</v>
      </c>
    </row>
    <row r="213" spans="2:14">
      <c r="B213" s="13" t="s">
        <v>465</v>
      </c>
      <c r="C213" t="s">
        <v>326</v>
      </c>
      <c r="D213" s="28" t="str">
        <f t="shared" ref="D213:N213" si="17">IF(AND(ISBLANK(D103),ISBLANK(D158)),"",(D103+(D158*0.22*0.005))*0.907185)</f>
        <v/>
      </c>
      <c r="E213" s="28">
        <f t="shared" si="17"/>
        <v>0.49895175000000003</v>
      </c>
      <c r="F213" s="28">
        <f t="shared" si="17"/>
        <v>0</v>
      </c>
      <c r="G213" s="28">
        <f t="shared" si="17"/>
        <v>0</v>
      </c>
      <c r="H213" s="28" t="str">
        <f t="shared" si="17"/>
        <v/>
      </c>
      <c r="I213" s="28" t="str">
        <f t="shared" si="17"/>
        <v/>
      </c>
      <c r="J213" s="28" t="str">
        <f t="shared" si="17"/>
        <v/>
      </c>
      <c r="K213" s="28" t="str">
        <f t="shared" si="17"/>
        <v/>
      </c>
      <c r="L213" s="28">
        <f t="shared" si="17"/>
        <v>0</v>
      </c>
      <c r="M213" s="28">
        <f t="shared" si="17"/>
        <v>0</v>
      </c>
      <c r="N213" s="32">
        <f t="shared" si="17"/>
        <v>0</v>
      </c>
    </row>
    <row r="214" spans="2:14">
      <c r="B214" s="13" t="s">
        <v>466</v>
      </c>
      <c r="C214" t="s">
        <v>326</v>
      </c>
      <c r="D214" s="28">
        <f t="shared" ref="D214:N214" si="18">IF(AND(ISBLANK(D104),ISBLANK(D159)),"",(D104+(D159*0.22*0.005))*0.907185)</f>
        <v>0</v>
      </c>
      <c r="E214" s="28" t="str">
        <f t="shared" si="18"/>
        <v/>
      </c>
      <c r="F214" s="28" t="str">
        <f t="shared" si="18"/>
        <v/>
      </c>
      <c r="G214" s="28" t="str">
        <f t="shared" si="18"/>
        <v/>
      </c>
      <c r="H214" s="28" t="str">
        <f t="shared" si="18"/>
        <v/>
      </c>
      <c r="I214" s="28" t="str">
        <f t="shared" si="18"/>
        <v/>
      </c>
      <c r="J214" s="28" t="str">
        <f t="shared" si="18"/>
        <v/>
      </c>
      <c r="K214" s="28" t="str">
        <f t="shared" si="18"/>
        <v/>
      </c>
      <c r="L214" s="28" t="str">
        <f t="shared" si="18"/>
        <v/>
      </c>
      <c r="M214" s="28" t="str">
        <f t="shared" si="18"/>
        <v/>
      </c>
      <c r="N214" s="32" t="str">
        <f t="shared" si="18"/>
        <v/>
      </c>
    </row>
    <row r="215" spans="2:14">
      <c r="B215" s="13" t="s">
        <v>467</v>
      </c>
      <c r="C215" t="s">
        <v>326</v>
      </c>
      <c r="D215" s="28">
        <f t="shared" ref="D215:N215" si="19">IF(AND(ISBLANK(D105),ISBLANK(D160)),"",(D105+(D160*0.22*0.005))*0.907185)</f>
        <v>638.65823999999998</v>
      </c>
      <c r="E215" s="28">
        <f t="shared" si="19"/>
        <v>401.74896377550004</v>
      </c>
      <c r="F215" s="28">
        <f t="shared" si="19"/>
        <v>586.21741317149997</v>
      </c>
      <c r="G215" s="28">
        <f t="shared" si="19"/>
        <v>723.15571886250007</v>
      </c>
      <c r="H215" s="28">
        <f t="shared" si="19"/>
        <v>604.4830388355</v>
      </c>
      <c r="I215" s="28">
        <f t="shared" si="19"/>
        <v>283.09225020450003</v>
      </c>
      <c r="J215" s="28">
        <f t="shared" si="19"/>
        <v>225.402450966</v>
      </c>
      <c r="K215" s="28">
        <f t="shared" si="19"/>
        <v>264.66396627</v>
      </c>
      <c r="L215" s="28">
        <f t="shared" si="19"/>
        <v>243.72695293650003</v>
      </c>
      <c r="M215" s="28">
        <f t="shared" si="19"/>
        <v>195.01728729450002</v>
      </c>
      <c r="N215" s="32">
        <f t="shared" si="19"/>
        <v>250.9278245925</v>
      </c>
    </row>
    <row r="216" spans="2:14">
      <c r="B216" s="13" t="s">
        <v>468</v>
      </c>
      <c r="C216" t="s">
        <v>326</v>
      </c>
      <c r="D216" s="28" t="str">
        <f t="shared" ref="D216:N216" si="20">IF(AND(ISBLANK(D106),ISBLANK(D161)),"",(D106+(D161*0.22*0.005))*0.907185)</f>
        <v/>
      </c>
      <c r="E216" s="28" t="str">
        <f t="shared" si="20"/>
        <v/>
      </c>
      <c r="F216" s="28">
        <f t="shared" si="20"/>
        <v>0</v>
      </c>
      <c r="G216" s="28">
        <f t="shared" si="20"/>
        <v>9.8493075450000021</v>
      </c>
      <c r="H216" s="28">
        <f t="shared" si="20"/>
        <v>8681.7604499999998</v>
      </c>
      <c r="I216" s="28">
        <f t="shared" si="20"/>
        <v>0.34926622500000004</v>
      </c>
      <c r="J216" s="28">
        <f t="shared" si="20"/>
        <v>0</v>
      </c>
      <c r="K216" s="28">
        <f t="shared" si="20"/>
        <v>4885.1912250000005</v>
      </c>
      <c r="L216" s="28">
        <f t="shared" si="20"/>
        <v>0</v>
      </c>
      <c r="M216" s="28">
        <f t="shared" si="20"/>
        <v>0</v>
      </c>
      <c r="N216" s="32">
        <f t="shared" si="20"/>
        <v>7.4912615745000002</v>
      </c>
    </row>
    <row r="217" spans="2:14">
      <c r="B217" s="13" t="s">
        <v>469</v>
      </c>
      <c r="C217" t="s">
        <v>326</v>
      </c>
      <c r="D217" s="28">
        <f t="shared" ref="D217:N217" si="21">IF(AND(ISBLANK(D107),ISBLANK(D162)),"",(D107+(D162*0.22*0.005))*0.907185)</f>
        <v>1529.2002961455</v>
      </c>
      <c r="E217" s="28">
        <f t="shared" si="21"/>
        <v>498.95175</v>
      </c>
      <c r="F217" s="28">
        <f t="shared" si="21"/>
        <v>2673.4741950000002</v>
      </c>
      <c r="G217" s="28">
        <f t="shared" si="21"/>
        <v>1668.6942327000002</v>
      </c>
      <c r="H217" s="28">
        <f t="shared" si="21"/>
        <v>1778.8597853895003</v>
      </c>
      <c r="I217" s="28">
        <f t="shared" si="21"/>
        <v>1273.0364718885</v>
      </c>
      <c r="J217" s="28">
        <f t="shared" si="21"/>
        <v>1260.7373112509999</v>
      </c>
      <c r="K217" s="28">
        <f t="shared" si="21"/>
        <v>1460.2591349445001</v>
      </c>
      <c r="L217" s="28">
        <f t="shared" si="21"/>
        <v>1234.5064198499999</v>
      </c>
      <c r="M217" s="28">
        <f t="shared" si="21"/>
        <v>1040.6906083695001</v>
      </c>
      <c r="N217" s="32">
        <f t="shared" si="21"/>
        <v>1528.7881620000001</v>
      </c>
    </row>
    <row r="218" spans="2:14">
      <c r="B218" s="13" t="s">
        <v>470</v>
      </c>
      <c r="C218" t="s">
        <v>326</v>
      </c>
      <c r="D218" s="28" t="str">
        <f t="shared" ref="D218:N218" si="22">IF(AND(ISBLANK(D108),ISBLANK(D163)),"",(D108+(D163*0.22*0.005))*0.907185)</f>
        <v/>
      </c>
      <c r="E218" s="28">
        <f t="shared" si="22"/>
        <v>0</v>
      </c>
      <c r="F218" s="28">
        <f t="shared" si="22"/>
        <v>0</v>
      </c>
      <c r="G218" s="28" t="str">
        <f t="shared" si="22"/>
        <v/>
      </c>
      <c r="H218" s="28" t="str">
        <f t="shared" si="22"/>
        <v/>
      </c>
      <c r="I218" s="28" t="str">
        <f t="shared" si="22"/>
        <v/>
      </c>
      <c r="J218" s="28">
        <f t="shared" si="22"/>
        <v>0</v>
      </c>
      <c r="K218" s="28" t="str">
        <f t="shared" si="22"/>
        <v/>
      </c>
      <c r="L218" s="28">
        <f t="shared" si="22"/>
        <v>0</v>
      </c>
      <c r="M218" s="28" t="str">
        <f t="shared" si="22"/>
        <v/>
      </c>
      <c r="N218" s="32" t="str">
        <f t="shared" si="22"/>
        <v/>
      </c>
    </row>
    <row r="219" spans="2:14">
      <c r="B219" s="13" t="s">
        <v>471</v>
      </c>
      <c r="C219" t="s">
        <v>326</v>
      </c>
      <c r="D219" s="28">
        <f t="shared" ref="D219:N219" si="23">IF(AND(ISBLANK(D109),ISBLANK(D164)),"",(D109+(D164*0.22*0.005))*0.907185)</f>
        <v>100.41803130150001</v>
      </c>
      <c r="E219" s="28">
        <f t="shared" si="23"/>
        <v>39.940089684</v>
      </c>
      <c r="F219" s="28">
        <f t="shared" si="23"/>
        <v>39371.828999999998</v>
      </c>
      <c r="G219" s="28">
        <f t="shared" si="23"/>
        <v>37895.748014344499</v>
      </c>
      <c r="H219" s="28">
        <f t="shared" si="23"/>
        <v>31.818153097500002</v>
      </c>
      <c r="I219" s="28">
        <f t="shared" si="23"/>
        <v>3.7920332999999999</v>
      </c>
      <c r="J219" s="28">
        <f t="shared" si="23"/>
        <v>1.5856686615</v>
      </c>
      <c r="K219" s="28">
        <f t="shared" si="23"/>
        <v>1.2623479275000002</v>
      </c>
      <c r="L219" s="28">
        <f t="shared" si="23"/>
        <v>5.270926287</v>
      </c>
      <c r="M219" s="28">
        <f t="shared" si="23"/>
        <v>14.305944576</v>
      </c>
      <c r="N219" s="32">
        <f t="shared" si="23"/>
        <v>17.5102127145</v>
      </c>
    </row>
    <row r="220" spans="2:14">
      <c r="B220" s="13" t="s">
        <v>472</v>
      </c>
      <c r="C220" t="s">
        <v>326</v>
      </c>
      <c r="D220" s="28" t="str">
        <f t="shared" ref="D220:N220" si="24">IF(AND(ISBLANK(D110),ISBLANK(D165)),"",(D110+(D165*0.22*0.005))*0.907185)</f>
        <v/>
      </c>
      <c r="E220" s="28" t="str">
        <f t="shared" si="24"/>
        <v/>
      </c>
      <c r="F220" s="28" t="str">
        <f t="shared" si="24"/>
        <v/>
      </c>
      <c r="G220" s="28" t="str">
        <f t="shared" si="24"/>
        <v/>
      </c>
      <c r="H220" s="28" t="str">
        <f t="shared" si="24"/>
        <v/>
      </c>
      <c r="I220" s="28" t="str">
        <f t="shared" si="24"/>
        <v/>
      </c>
      <c r="J220" s="28" t="str">
        <f t="shared" si="24"/>
        <v/>
      </c>
      <c r="K220" s="28" t="str">
        <f t="shared" si="24"/>
        <v/>
      </c>
      <c r="L220" s="28" t="str">
        <f t="shared" si="24"/>
        <v/>
      </c>
      <c r="M220" s="28" t="str">
        <f t="shared" si="24"/>
        <v/>
      </c>
      <c r="N220" s="32" t="str">
        <f t="shared" si="24"/>
        <v/>
      </c>
    </row>
    <row r="221" spans="2:14">
      <c r="B221" s="13" t="s">
        <v>473</v>
      </c>
      <c r="C221" t="s">
        <v>326</v>
      </c>
      <c r="D221" s="28">
        <f t="shared" ref="D221:N221" si="25">IF(AND(ISBLANK(D111),ISBLANK(D166)),"",(D111+(D166*0.22*0.005))*0.907185)</f>
        <v>0</v>
      </c>
      <c r="E221" s="28">
        <f t="shared" si="25"/>
        <v>0</v>
      </c>
      <c r="F221" s="28">
        <f t="shared" si="25"/>
        <v>0</v>
      </c>
      <c r="G221" s="28">
        <f t="shared" si="25"/>
        <v>0</v>
      </c>
      <c r="H221" s="28">
        <f t="shared" si="25"/>
        <v>180.62053349999999</v>
      </c>
      <c r="I221" s="28">
        <f t="shared" si="25"/>
        <v>0</v>
      </c>
      <c r="J221" s="28">
        <f t="shared" si="25"/>
        <v>97.508144695500008</v>
      </c>
      <c r="K221" s="28">
        <f t="shared" si="25"/>
        <v>0</v>
      </c>
      <c r="L221" s="28" t="str">
        <f t="shared" si="25"/>
        <v/>
      </c>
      <c r="M221" s="28">
        <f t="shared" si="25"/>
        <v>0</v>
      </c>
      <c r="N221" s="32" t="str">
        <f t="shared" si="25"/>
        <v/>
      </c>
    </row>
    <row r="222" spans="2:14">
      <c r="B222" s="13" t="s">
        <v>474</v>
      </c>
      <c r="C222" t="s">
        <v>326</v>
      </c>
      <c r="D222" s="28">
        <f t="shared" ref="D222:N222" si="26">IF(AND(ISBLANK(D112),ISBLANK(D167)),"",(D112+(D167*0.22*0.005))*0.907185)</f>
        <v>2172.723315708</v>
      </c>
      <c r="E222" s="28">
        <f t="shared" si="26"/>
        <v>2594.5491000000002</v>
      </c>
      <c r="F222" s="28">
        <f t="shared" si="26"/>
        <v>2043.3121961175</v>
      </c>
      <c r="G222" s="28">
        <f t="shared" si="26"/>
        <v>3073.3382097825001</v>
      </c>
      <c r="H222" s="28">
        <f t="shared" si="26"/>
        <v>2405.6210198624999</v>
      </c>
      <c r="I222" s="28">
        <f t="shared" si="26"/>
        <v>2964.6864767025004</v>
      </c>
      <c r="J222" s="28">
        <f t="shared" si="26"/>
        <v>2306.5950639435005</v>
      </c>
      <c r="K222" s="28">
        <f t="shared" si="26"/>
        <v>1951.9241935875</v>
      </c>
      <c r="L222" s="28">
        <f t="shared" si="26"/>
        <v>2151.6735392790001</v>
      </c>
      <c r="M222" s="28">
        <f t="shared" si="26"/>
        <v>1930.0731006479998</v>
      </c>
      <c r="N222" s="32">
        <f t="shared" si="26"/>
        <v>2367.3673870934999</v>
      </c>
    </row>
    <row r="223" spans="2:14">
      <c r="B223" s="13" t="s">
        <v>475</v>
      </c>
      <c r="C223" t="s">
        <v>326</v>
      </c>
      <c r="D223" s="28">
        <f t="shared" ref="D223:N223" si="27">IF(AND(ISBLANK(D113),ISBLANK(D168)),"",(D113+(D168*0.22*0.005))*0.907185)</f>
        <v>10060.68165</v>
      </c>
      <c r="E223" s="28" t="str">
        <f t="shared" si="27"/>
        <v/>
      </c>
      <c r="F223" s="28" t="str">
        <f t="shared" si="27"/>
        <v/>
      </c>
      <c r="G223" s="28">
        <f t="shared" si="27"/>
        <v>1037.9234219640002</v>
      </c>
      <c r="H223" s="28">
        <f t="shared" si="27"/>
        <v>1451.1343053405001</v>
      </c>
      <c r="I223" s="28">
        <f t="shared" si="27"/>
        <v>2339.8322358179998</v>
      </c>
      <c r="J223" s="28" t="str">
        <f t="shared" si="27"/>
        <v/>
      </c>
      <c r="K223" s="28" t="str">
        <f t="shared" si="27"/>
        <v/>
      </c>
      <c r="L223" s="28">
        <f t="shared" si="27"/>
        <v>1988.8216755000003</v>
      </c>
      <c r="M223" s="28">
        <f t="shared" si="27"/>
        <v>2794.1298000000002</v>
      </c>
      <c r="N223" s="32">
        <f t="shared" si="27"/>
        <v>1482.8846010000002</v>
      </c>
    </row>
    <row r="224" spans="2:14">
      <c r="B224" s="13" t="s">
        <v>476</v>
      </c>
      <c r="C224" t="s">
        <v>326</v>
      </c>
      <c r="D224" s="28">
        <f t="shared" ref="D224:N224" si="28">IF(AND(ISBLANK(D114),ISBLANK(D169)),"",(D114+(D169*0.22*0.005))*0.907185)</f>
        <v>5.3178277515000003</v>
      </c>
      <c r="E224" s="28" t="str">
        <f t="shared" si="28"/>
        <v/>
      </c>
      <c r="F224" s="28" t="str">
        <f t="shared" si="28"/>
        <v/>
      </c>
      <c r="G224" s="28" t="str">
        <f t="shared" si="28"/>
        <v/>
      </c>
      <c r="H224" s="28" t="str">
        <f t="shared" si="28"/>
        <v/>
      </c>
      <c r="I224" s="28" t="str">
        <f t="shared" si="28"/>
        <v/>
      </c>
      <c r="J224" s="28">
        <f t="shared" si="28"/>
        <v>5.5433539425000005</v>
      </c>
      <c r="K224" s="28">
        <f t="shared" si="28"/>
        <v>1.5966456</v>
      </c>
      <c r="L224" s="28">
        <f t="shared" si="28"/>
        <v>1.9538950529999999</v>
      </c>
      <c r="M224" s="28" t="str">
        <f t="shared" si="28"/>
        <v/>
      </c>
      <c r="N224" s="32">
        <f t="shared" si="28"/>
        <v>0</v>
      </c>
    </row>
    <row r="225" spans="2:14">
      <c r="B225" s="13" t="s">
        <v>477</v>
      </c>
      <c r="C225" t="s">
        <v>326</v>
      </c>
      <c r="D225" s="28">
        <f t="shared" ref="D225:N225" si="29">IF(AND(ISBLANK(D115),ISBLANK(D170)),"",(D115+(D170*0.22*0.005))*0.907185)</f>
        <v>40.844190255000001</v>
      </c>
      <c r="E225" s="28">
        <f t="shared" si="29"/>
        <v>205.3475843265</v>
      </c>
      <c r="F225" s="28">
        <f t="shared" si="29"/>
        <v>75.789772921500003</v>
      </c>
      <c r="G225" s="28">
        <f t="shared" si="29"/>
        <v>63.019601832000006</v>
      </c>
      <c r="H225" s="28">
        <f t="shared" si="29"/>
        <v>33.823939132500001</v>
      </c>
      <c r="I225" s="28">
        <f t="shared" si="29"/>
        <v>39.668659932000004</v>
      </c>
      <c r="J225" s="28">
        <f t="shared" si="29"/>
        <v>23.087495376</v>
      </c>
      <c r="K225" s="28">
        <f t="shared" si="29"/>
        <v>23.495637907500001</v>
      </c>
      <c r="L225" s="28">
        <f t="shared" si="29"/>
        <v>33.4607022585</v>
      </c>
      <c r="M225" s="28">
        <f t="shared" si="29"/>
        <v>28.502119767000003</v>
      </c>
      <c r="N225" s="32">
        <f t="shared" si="29"/>
        <v>34.216115207999998</v>
      </c>
    </row>
    <row r="226" spans="2:14">
      <c r="B226" s="13" t="s">
        <v>478</v>
      </c>
      <c r="C226" t="s">
        <v>326</v>
      </c>
      <c r="D226" s="28">
        <f t="shared" ref="D226:N226" si="30">IF(AND(ISBLANK(D116),ISBLANK(D171)),"",(D116+(D171*0.22*0.005))*0.907185)</f>
        <v>0</v>
      </c>
      <c r="E226" s="28" t="str">
        <f t="shared" si="30"/>
        <v/>
      </c>
      <c r="F226" s="28" t="str">
        <f t="shared" si="30"/>
        <v/>
      </c>
      <c r="G226" s="28" t="str">
        <f t="shared" si="30"/>
        <v/>
      </c>
      <c r="H226" s="28" t="str">
        <f t="shared" si="30"/>
        <v/>
      </c>
      <c r="I226" s="28" t="str">
        <f t="shared" si="30"/>
        <v/>
      </c>
      <c r="J226" s="28" t="str">
        <f t="shared" si="30"/>
        <v/>
      </c>
      <c r="K226" s="28">
        <f t="shared" si="30"/>
        <v>0</v>
      </c>
      <c r="L226" s="28">
        <f t="shared" si="30"/>
        <v>0</v>
      </c>
      <c r="M226" s="28">
        <f t="shared" si="30"/>
        <v>0</v>
      </c>
      <c r="N226" s="32">
        <f t="shared" si="30"/>
        <v>0</v>
      </c>
    </row>
    <row r="227" spans="2:14">
      <c r="B227" s="13" t="s">
        <v>479</v>
      </c>
      <c r="C227" t="s">
        <v>326</v>
      </c>
      <c r="D227" s="28" t="str">
        <f t="shared" ref="D227:N227" si="31">IF(AND(ISBLANK(D117),ISBLANK(D172)),"",(D117+(D172*0.22*0.005))*0.907185)</f>
        <v/>
      </c>
      <c r="E227" s="28" t="str">
        <f t="shared" si="31"/>
        <v/>
      </c>
      <c r="F227" s="28" t="str">
        <f t="shared" si="31"/>
        <v/>
      </c>
      <c r="G227" s="28" t="str">
        <f t="shared" si="31"/>
        <v/>
      </c>
      <c r="H227" s="28" t="str">
        <f t="shared" si="31"/>
        <v/>
      </c>
      <c r="I227" s="28" t="str">
        <f t="shared" si="31"/>
        <v/>
      </c>
      <c r="J227" s="28" t="str">
        <f t="shared" si="31"/>
        <v/>
      </c>
      <c r="K227" s="28">
        <f t="shared" si="31"/>
        <v>2429.9403817500001</v>
      </c>
      <c r="L227" s="28" t="str">
        <f t="shared" si="31"/>
        <v/>
      </c>
      <c r="M227" s="28" t="str">
        <f t="shared" si="31"/>
        <v/>
      </c>
      <c r="N227" s="32" t="str">
        <f t="shared" si="31"/>
        <v/>
      </c>
    </row>
    <row r="228" spans="2:14">
      <c r="B228" s="13" t="s">
        <v>480</v>
      </c>
      <c r="C228" t="s">
        <v>326</v>
      </c>
      <c r="D228" s="28">
        <f t="shared" ref="D228:N228" si="32">IF(AND(ISBLANK(D118),ISBLANK(D173)),"",(D118+(D173*0.22*0.005))*0.907185)</f>
        <v>201.10250283750003</v>
      </c>
      <c r="E228" s="28">
        <f t="shared" si="32"/>
        <v>119.74842</v>
      </c>
      <c r="F228" s="28">
        <f t="shared" si="32"/>
        <v>109.79433258750001</v>
      </c>
      <c r="G228" s="28">
        <f t="shared" si="32"/>
        <v>138.28946703</v>
      </c>
      <c r="H228" s="28">
        <f t="shared" si="32"/>
        <v>150.9698268045</v>
      </c>
      <c r="I228" s="28">
        <f t="shared" si="32"/>
        <v>92.848933254000002</v>
      </c>
      <c r="J228" s="28">
        <f t="shared" si="32"/>
        <v>109.08182948850001</v>
      </c>
      <c r="K228" s="28">
        <f t="shared" si="32"/>
        <v>110.64055475550001</v>
      </c>
      <c r="L228" s="28">
        <f t="shared" si="32"/>
        <v>116.01526300650001</v>
      </c>
      <c r="M228" s="28">
        <f t="shared" si="32"/>
        <v>101.05469373450001</v>
      </c>
      <c r="N228" s="32">
        <f t="shared" si="32"/>
        <v>109.769385</v>
      </c>
    </row>
    <row r="229" spans="2:14">
      <c r="B229" s="13" t="s">
        <v>481</v>
      </c>
      <c r="C229" t="s">
        <v>326</v>
      </c>
      <c r="D229" s="28" t="str">
        <f t="shared" ref="D229:N229" si="33">IF(AND(ISBLANK(D119),ISBLANK(D174)),"",(D119+(D174*0.22*0.005))*0.907185)</f>
        <v/>
      </c>
      <c r="E229" s="28" t="str">
        <f t="shared" si="33"/>
        <v/>
      </c>
      <c r="F229" s="28" t="str">
        <f t="shared" si="33"/>
        <v/>
      </c>
      <c r="G229" s="28" t="str">
        <f t="shared" si="33"/>
        <v/>
      </c>
      <c r="H229" s="28" t="str">
        <f t="shared" si="33"/>
        <v/>
      </c>
      <c r="I229" s="28" t="str">
        <f t="shared" si="33"/>
        <v/>
      </c>
      <c r="J229" s="28" t="str">
        <f t="shared" si="33"/>
        <v/>
      </c>
      <c r="K229" s="28" t="str">
        <f t="shared" si="33"/>
        <v/>
      </c>
      <c r="L229" s="28" t="str">
        <f t="shared" si="33"/>
        <v/>
      </c>
      <c r="M229" s="28" t="str">
        <f t="shared" si="33"/>
        <v/>
      </c>
      <c r="N229" s="32" t="str">
        <f t="shared" si="33"/>
        <v/>
      </c>
    </row>
    <row r="230" spans="2:14">
      <c r="B230" s="13" t="s">
        <v>482</v>
      </c>
      <c r="C230" t="s">
        <v>326</v>
      </c>
      <c r="D230" s="28">
        <f t="shared" ref="D230:N230" si="34">IF(AND(ISBLANK(D120),ISBLANK(D175)),"",(D120+(D175*0.22*0.005))*0.907185)</f>
        <v>0</v>
      </c>
      <c r="E230" s="28">
        <f t="shared" si="34"/>
        <v>0</v>
      </c>
      <c r="F230" s="28">
        <f t="shared" si="34"/>
        <v>0</v>
      </c>
      <c r="G230" s="28">
        <f t="shared" si="34"/>
        <v>0</v>
      </c>
      <c r="H230" s="28">
        <f t="shared" si="34"/>
        <v>0</v>
      </c>
      <c r="I230" s="28">
        <f t="shared" si="34"/>
        <v>0</v>
      </c>
      <c r="J230" s="28">
        <f t="shared" si="34"/>
        <v>0</v>
      </c>
      <c r="K230" s="28">
        <f t="shared" si="34"/>
        <v>0</v>
      </c>
      <c r="L230" s="28" t="str">
        <f t="shared" si="34"/>
        <v/>
      </c>
      <c r="M230" s="28">
        <f t="shared" si="34"/>
        <v>0</v>
      </c>
      <c r="N230" s="32" t="str">
        <f t="shared" si="34"/>
        <v/>
      </c>
    </row>
    <row r="231" spans="2:14">
      <c r="B231" s="13" t="s">
        <v>483</v>
      </c>
      <c r="C231" t="s">
        <v>326</v>
      </c>
      <c r="D231" s="28">
        <f t="shared" ref="D231:N231" si="35">IF(AND(ISBLANK(D121),ISBLANK(D176)),"",(D121+(D176*0.22*0.005))*0.907185)</f>
        <v>0</v>
      </c>
      <c r="E231" s="28">
        <f t="shared" si="35"/>
        <v>0</v>
      </c>
      <c r="F231" s="28">
        <f t="shared" si="35"/>
        <v>0</v>
      </c>
      <c r="G231" s="28">
        <f t="shared" si="35"/>
        <v>0</v>
      </c>
      <c r="H231" s="28">
        <f t="shared" si="35"/>
        <v>0</v>
      </c>
      <c r="I231" s="28">
        <f t="shared" si="35"/>
        <v>0</v>
      </c>
      <c r="J231" s="28">
        <f t="shared" si="35"/>
        <v>0</v>
      </c>
      <c r="K231" s="28">
        <f t="shared" si="35"/>
        <v>0</v>
      </c>
      <c r="L231" s="28">
        <f t="shared" si="35"/>
        <v>0</v>
      </c>
      <c r="M231" s="28">
        <f t="shared" si="35"/>
        <v>0</v>
      </c>
      <c r="N231" s="32">
        <f t="shared" si="35"/>
        <v>0</v>
      </c>
    </row>
    <row r="232" spans="2:14">
      <c r="B232" s="13" t="s">
        <v>484</v>
      </c>
      <c r="C232" t="s">
        <v>326</v>
      </c>
      <c r="D232" s="28" t="str">
        <f t="shared" ref="D232:N232" si="36">IF(AND(ISBLANK(D122),ISBLANK(D177)),"",(D122+(D177*0.22*0.005))*0.907185)</f>
        <v/>
      </c>
      <c r="E232" s="28" t="str">
        <f t="shared" si="36"/>
        <v/>
      </c>
      <c r="F232" s="28" t="str">
        <f t="shared" si="36"/>
        <v/>
      </c>
      <c r="G232" s="28" t="str">
        <f t="shared" si="36"/>
        <v/>
      </c>
      <c r="H232" s="28" t="str">
        <f t="shared" si="36"/>
        <v/>
      </c>
      <c r="I232" s="28" t="str">
        <f t="shared" si="36"/>
        <v/>
      </c>
      <c r="J232" s="28" t="str">
        <f t="shared" si="36"/>
        <v/>
      </c>
      <c r="K232" s="28" t="str">
        <f t="shared" si="36"/>
        <v/>
      </c>
      <c r="L232" s="28">
        <f t="shared" si="36"/>
        <v>0</v>
      </c>
      <c r="M232" s="28">
        <f t="shared" si="36"/>
        <v>0</v>
      </c>
      <c r="N232" s="32" t="str">
        <f t="shared" si="36"/>
        <v/>
      </c>
    </row>
    <row r="233" spans="2:14">
      <c r="B233" s="13" t="s">
        <v>485</v>
      </c>
      <c r="C233" t="s">
        <v>326</v>
      </c>
      <c r="D233" s="28">
        <f t="shared" ref="D233:N233" si="37">IF(AND(ISBLANK(D123),ISBLANK(D178)),"",(D123+(D178*0.22*0.005))*0.907185)</f>
        <v>2878.6572159674997</v>
      </c>
      <c r="E233" s="28">
        <f t="shared" si="37"/>
        <v>4778.1316015950006</v>
      </c>
      <c r="F233" s="28">
        <f t="shared" si="37"/>
        <v>5388.6788999999999</v>
      </c>
      <c r="G233" s="28">
        <f t="shared" si="37"/>
        <v>7584.0666000000001</v>
      </c>
      <c r="H233" s="28">
        <f t="shared" si="37"/>
        <v>4490.5657499999998</v>
      </c>
      <c r="I233" s="28">
        <f t="shared" si="37"/>
        <v>3634.2757335885008</v>
      </c>
      <c r="J233" s="28">
        <f t="shared" si="37"/>
        <v>3928.8478656570005</v>
      </c>
      <c r="K233" s="28">
        <f t="shared" si="37"/>
        <v>3928.8478656570005</v>
      </c>
      <c r="L233" s="28">
        <f t="shared" si="37"/>
        <v>5376.4775339055004</v>
      </c>
      <c r="M233" s="28">
        <f t="shared" si="37"/>
        <v>19.195671726</v>
      </c>
      <c r="N233" s="32">
        <f t="shared" si="37"/>
        <v>3892.1659309005004</v>
      </c>
    </row>
    <row r="234" spans="2:14">
      <c r="B234" s="13" t="s">
        <v>486</v>
      </c>
      <c r="C234" t="s">
        <v>326</v>
      </c>
      <c r="D234" s="28">
        <f t="shared" ref="D234:N234" si="38">IF(AND(ISBLANK(D124),ISBLANK(D179)),"",(D124+(D179*0.22*0.005))*0.907185)</f>
        <v>0</v>
      </c>
      <c r="E234" s="28">
        <f t="shared" si="38"/>
        <v>0</v>
      </c>
      <c r="F234" s="28">
        <f t="shared" si="38"/>
        <v>0</v>
      </c>
      <c r="G234" s="28">
        <f t="shared" si="38"/>
        <v>0</v>
      </c>
      <c r="H234" s="28">
        <f t="shared" si="38"/>
        <v>0</v>
      </c>
      <c r="I234" s="28">
        <f t="shared" si="38"/>
        <v>0</v>
      </c>
      <c r="J234" s="28">
        <f t="shared" si="38"/>
        <v>0</v>
      </c>
      <c r="K234" s="28" t="str">
        <f t="shared" si="38"/>
        <v/>
      </c>
      <c r="L234" s="28" t="str">
        <f t="shared" si="38"/>
        <v/>
      </c>
      <c r="M234" s="28" t="str">
        <f t="shared" si="38"/>
        <v/>
      </c>
      <c r="N234" s="32" t="str">
        <f t="shared" si="38"/>
        <v/>
      </c>
    </row>
    <row r="235" spans="2:14">
      <c r="B235" s="13" t="s">
        <v>487</v>
      </c>
      <c r="C235" t="s">
        <v>326</v>
      </c>
      <c r="D235" s="28">
        <f t="shared" ref="D235:N235" si="39">IF(AND(ISBLANK(D125),ISBLANK(D180)),"",(D125+(D180*0.22*0.005))*0.907185)</f>
        <v>4.9895174999999998</v>
      </c>
      <c r="E235" s="28" t="str">
        <f t="shared" si="39"/>
        <v/>
      </c>
      <c r="F235" s="28" t="str">
        <f t="shared" si="39"/>
        <v/>
      </c>
      <c r="G235" s="28">
        <f t="shared" si="39"/>
        <v>0.7983228</v>
      </c>
      <c r="H235" s="28">
        <f t="shared" si="39"/>
        <v>6.4863727500000001</v>
      </c>
      <c r="I235" s="28">
        <f t="shared" si="39"/>
        <v>4.49056575</v>
      </c>
      <c r="J235" s="28">
        <f t="shared" si="39"/>
        <v>4.9895174999999998</v>
      </c>
      <c r="K235" s="28">
        <f t="shared" si="39"/>
        <v>0</v>
      </c>
      <c r="L235" s="28">
        <f t="shared" si="39"/>
        <v>1.4968552500000001</v>
      </c>
      <c r="M235" s="28">
        <f t="shared" si="39"/>
        <v>0.43907753999999999</v>
      </c>
      <c r="N235" s="32">
        <f t="shared" si="39"/>
        <v>4.1712366300000001</v>
      </c>
    </row>
    <row r="236" spans="2:14">
      <c r="B236" s="13" t="s">
        <v>488</v>
      </c>
      <c r="C236" t="s">
        <v>326</v>
      </c>
      <c r="D236" s="28">
        <f t="shared" ref="D236:N236" si="40">IF(AND(ISBLANK(D126),ISBLANK(D181)),"",(D126+(D181*0.22*0.005))*0.907185)</f>
        <v>0</v>
      </c>
      <c r="E236" s="28">
        <f t="shared" si="40"/>
        <v>0</v>
      </c>
      <c r="F236" s="28" t="str">
        <f t="shared" si="40"/>
        <v/>
      </c>
      <c r="G236" s="28" t="str">
        <f t="shared" si="40"/>
        <v/>
      </c>
      <c r="H236" s="28" t="str">
        <f t="shared" si="40"/>
        <v/>
      </c>
      <c r="I236" s="28" t="str">
        <f t="shared" si="40"/>
        <v/>
      </c>
      <c r="J236" s="28" t="str">
        <f t="shared" si="40"/>
        <v/>
      </c>
      <c r="K236" s="28" t="str">
        <f t="shared" si="40"/>
        <v/>
      </c>
      <c r="L236" s="28">
        <f t="shared" si="40"/>
        <v>0</v>
      </c>
      <c r="M236" s="28" t="str">
        <f t="shared" si="40"/>
        <v/>
      </c>
      <c r="N236" s="32" t="str">
        <f t="shared" si="40"/>
        <v/>
      </c>
    </row>
    <row r="237" spans="2:14">
      <c r="B237" s="13" t="s">
        <v>489</v>
      </c>
      <c r="C237" t="s">
        <v>326</v>
      </c>
      <c r="D237" s="28">
        <f t="shared" ref="D237:N237" si="41">IF(AND(ISBLANK(D127),ISBLANK(D182)),"",(D127+(D182*0.22*0.005))*0.907185)</f>
        <v>443.45933426850002</v>
      </c>
      <c r="E237" s="28">
        <f t="shared" si="41"/>
        <v>306.38231999100003</v>
      </c>
      <c r="F237" s="28">
        <f t="shared" si="41"/>
        <v>339.44984827050001</v>
      </c>
      <c r="G237" s="28">
        <f t="shared" si="41"/>
        <v>416.01998172900005</v>
      </c>
      <c r="H237" s="28">
        <f t="shared" si="41"/>
        <v>394.62493068900005</v>
      </c>
      <c r="I237" s="28">
        <f t="shared" si="41"/>
        <v>280.29712250099999</v>
      </c>
      <c r="J237" s="28">
        <f t="shared" si="41"/>
        <v>148.555898238</v>
      </c>
      <c r="K237" s="28">
        <f t="shared" si="41"/>
        <v>106.41742714350001</v>
      </c>
      <c r="L237" s="28">
        <f t="shared" si="41"/>
        <v>304.0562069325</v>
      </c>
      <c r="M237" s="28">
        <f t="shared" si="41"/>
        <v>142.17630116250001</v>
      </c>
      <c r="N237" s="32">
        <f t="shared" si="41"/>
        <v>193.84075906800001</v>
      </c>
    </row>
    <row r="238" spans="2:14">
      <c r="B238" s="13" t="s">
        <v>490</v>
      </c>
      <c r="C238" t="s">
        <v>326</v>
      </c>
      <c r="D238" s="28" t="str">
        <f t="shared" ref="D238:N238" si="42">IF(AND(ISBLANK(D128),ISBLANK(D183)),"",(D128+(D183*0.22*0.005))*0.907185)</f>
        <v/>
      </c>
      <c r="E238" s="28">
        <f t="shared" si="42"/>
        <v>7235.7075599999998</v>
      </c>
      <c r="F238" s="28" t="str">
        <f t="shared" si="42"/>
        <v/>
      </c>
      <c r="G238" s="28" t="str">
        <f t="shared" si="42"/>
        <v/>
      </c>
      <c r="H238" s="28" t="str">
        <f t="shared" si="42"/>
        <v/>
      </c>
      <c r="I238" s="28" t="str">
        <f t="shared" si="42"/>
        <v/>
      </c>
      <c r="J238" s="28" t="str">
        <f t="shared" si="42"/>
        <v/>
      </c>
      <c r="K238" s="28" t="str">
        <f t="shared" si="42"/>
        <v/>
      </c>
      <c r="L238" s="28" t="str">
        <f t="shared" si="42"/>
        <v/>
      </c>
      <c r="M238" s="28" t="str">
        <f t="shared" si="42"/>
        <v/>
      </c>
      <c r="N238" s="32" t="str">
        <f t="shared" si="42"/>
        <v/>
      </c>
    </row>
    <row r="239" spans="2:14">
      <c r="B239" s="13" t="s">
        <v>491</v>
      </c>
      <c r="C239" t="s">
        <v>326</v>
      </c>
      <c r="D239" s="28" t="str">
        <f t="shared" ref="D239:N239" si="43">IF(AND(ISBLANK(D129),ISBLANK(D184)),"",(D129+(D184*0.22*0.005))*0.907185)</f>
        <v/>
      </c>
      <c r="E239" s="28">
        <f t="shared" si="43"/>
        <v>185.24717699999999</v>
      </c>
      <c r="F239" s="28" t="str">
        <f t="shared" si="43"/>
        <v/>
      </c>
      <c r="G239" s="28">
        <f t="shared" si="43"/>
        <v>1139.42436</v>
      </c>
      <c r="H239" s="28">
        <f t="shared" si="43"/>
        <v>1257.35841</v>
      </c>
      <c r="I239" s="28">
        <f t="shared" si="43"/>
        <v>892.67003999999997</v>
      </c>
      <c r="J239" s="28">
        <f t="shared" si="43"/>
        <v>4216.2375419249993</v>
      </c>
      <c r="K239" s="28">
        <f t="shared" si="43"/>
        <v>3004.7963006999998</v>
      </c>
      <c r="L239" s="28">
        <f t="shared" si="43"/>
        <v>1041.44838</v>
      </c>
      <c r="M239" s="28">
        <f t="shared" si="43"/>
        <v>796.50842999999998</v>
      </c>
      <c r="N239" s="32">
        <f t="shared" si="43"/>
        <v>7783.6473000000005</v>
      </c>
    </row>
    <row r="240" spans="2:14">
      <c r="B240" s="13" t="s">
        <v>492</v>
      </c>
      <c r="C240" t="s">
        <v>326</v>
      </c>
      <c r="D240" s="28" t="str">
        <f t="shared" ref="D240:N240" si="44">IF(AND(ISBLANK(D130),ISBLANK(D185)),"",(D130+(D185*0.22*0.005))*0.907185)</f>
        <v/>
      </c>
      <c r="E240" s="28">
        <f t="shared" si="44"/>
        <v>216.38439703650002</v>
      </c>
      <c r="F240" s="28">
        <f t="shared" si="44"/>
        <v>275.27567208900001</v>
      </c>
      <c r="G240" s="28">
        <f t="shared" si="44"/>
        <v>267.8881924785</v>
      </c>
      <c r="H240" s="28">
        <f t="shared" si="44"/>
        <v>272.28196158899999</v>
      </c>
      <c r="I240" s="28">
        <f t="shared" si="44"/>
        <v>0</v>
      </c>
      <c r="J240" s="28">
        <f t="shared" si="44"/>
        <v>46534.550895913504</v>
      </c>
      <c r="K240" s="28">
        <f t="shared" si="44"/>
        <v>44216.384324421</v>
      </c>
      <c r="L240" s="28">
        <f t="shared" si="44"/>
        <v>399.43083394499996</v>
      </c>
      <c r="M240" s="28">
        <f t="shared" si="44"/>
        <v>226.52409450000002</v>
      </c>
      <c r="N240" s="32">
        <f t="shared" si="44"/>
        <v>223.84372569900003</v>
      </c>
    </row>
    <row r="241" spans="1:26">
      <c r="B241" s="13" t="s">
        <v>493</v>
      </c>
      <c r="C241" t="s">
        <v>326</v>
      </c>
      <c r="D241" s="28">
        <f t="shared" ref="D241:N241" si="45">IF(AND(ISBLANK(D131),ISBLANK(D186)),"",(D131+(D186*0.22*0.005))*0.907185)</f>
        <v>0</v>
      </c>
      <c r="E241" s="28">
        <f t="shared" si="45"/>
        <v>0</v>
      </c>
      <c r="F241" s="28">
        <f t="shared" si="45"/>
        <v>0</v>
      </c>
      <c r="G241" s="28">
        <f t="shared" si="45"/>
        <v>213.58527771900003</v>
      </c>
      <c r="H241" s="28">
        <f t="shared" si="45"/>
        <v>191.12546364450003</v>
      </c>
      <c r="I241" s="28">
        <f t="shared" si="45"/>
        <v>127.82345512200001</v>
      </c>
      <c r="J241" s="28">
        <f t="shared" si="45"/>
        <v>34.922630886</v>
      </c>
      <c r="K241" s="28">
        <f t="shared" si="45"/>
        <v>50.140659261000003</v>
      </c>
      <c r="L241" s="28">
        <f t="shared" si="45"/>
        <v>74.451584327999996</v>
      </c>
      <c r="M241" s="28">
        <f t="shared" si="45"/>
        <v>57.382444960500003</v>
      </c>
      <c r="N241" s="32">
        <f t="shared" si="45"/>
        <v>60.812239289999994</v>
      </c>
    </row>
    <row r="242" spans="1:26">
      <c r="B242" s="13" t="s">
        <v>494</v>
      </c>
      <c r="C242" t="s">
        <v>326</v>
      </c>
      <c r="D242" s="28" t="str">
        <f t="shared" ref="D242:N242" si="46">IF(AND(ISBLANK(D132),ISBLANK(D187)),"",(D132+(D187*0.22*0.005))*0.907185)</f>
        <v/>
      </c>
      <c r="E242" s="28">
        <f t="shared" si="46"/>
        <v>1264.4543203515</v>
      </c>
      <c r="F242" s="28">
        <f t="shared" si="46"/>
        <v>183.431174067</v>
      </c>
      <c r="G242" s="28" t="str">
        <f t="shared" si="46"/>
        <v/>
      </c>
      <c r="H242" s="28" t="str">
        <f t="shared" si="46"/>
        <v/>
      </c>
      <c r="I242" s="28" t="str">
        <f t="shared" si="46"/>
        <v/>
      </c>
      <c r="J242" s="28" t="str">
        <f t="shared" si="46"/>
        <v/>
      </c>
      <c r="K242" s="28" t="str">
        <f t="shared" si="46"/>
        <v/>
      </c>
      <c r="L242" s="28" t="str">
        <f t="shared" si="46"/>
        <v/>
      </c>
      <c r="M242" s="28" t="str">
        <f t="shared" si="46"/>
        <v/>
      </c>
      <c r="N242" s="32">
        <f t="shared" si="46"/>
        <v>53016.275139255005</v>
      </c>
    </row>
    <row r="243" spans="1:26">
      <c r="B243" s="13" t="s">
        <v>495</v>
      </c>
      <c r="C243" t="s">
        <v>326</v>
      </c>
      <c r="D243" s="28">
        <f t="shared" ref="D243:N243" si="47">IF(AND(ISBLANK(D133),ISBLANK(D188)),"",(D133+(D188*0.22*0.005))*0.907185)</f>
        <v>331.35685088550002</v>
      </c>
      <c r="E243" s="28">
        <f t="shared" si="47"/>
        <v>514.56594606449994</v>
      </c>
      <c r="F243" s="28">
        <f t="shared" si="47"/>
        <v>750.772698225</v>
      </c>
      <c r="G243" s="28">
        <f t="shared" si="47"/>
        <v>528.19032255000002</v>
      </c>
      <c r="H243" s="28">
        <f t="shared" si="47"/>
        <v>950.2037127000001</v>
      </c>
      <c r="I243" s="28">
        <f t="shared" si="47"/>
        <v>544.29848084700006</v>
      </c>
      <c r="J243" s="28">
        <f t="shared" si="47"/>
        <v>698.53245000000004</v>
      </c>
      <c r="K243" s="28">
        <f t="shared" si="47"/>
        <v>664.60373100000004</v>
      </c>
      <c r="L243" s="28">
        <f t="shared" si="47"/>
        <v>896.9456029050001</v>
      </c>
      <c r="M243" s="28">
        <f t="shared" si="47"/>
        <v>663.60582750000003</v>
      </c>
      <c r="N243" s="32">
        <f t="shared" si="47"/>
        <v>808.30183499999998</v>
      </c>
    </row>
    <row r="244" spans="1:26">
      <c r="B244" s="13" t="s">
        <v>496</v>
      </c>
      <c r="C244" t="s">
        <v>326</v>
      </c>
      <c r="D244" s="28" t="str">
        <f t="shared" ref="D244:N244" si="48">IF(AND(ISBLANK(D134),ISBLANK(D189)),"",(D134+(D189*0.22*0.005))*0.907185)</f>
        <v/>
      </c>
      <c r="E244" s="28">
        <f t="shared" si="48"/>
        <v>0</v>
      </c>
      <c r="F244" s="28">
        <f t="shared" si="48"/>
        <v>0</v>
      </c>
      <c r="G244" s="28">
        <f t="shared" si="48"/>
        <v>49.895175000000002</v>
      </c>
      <c r="H244" s="28">
        <f t="shared" si="48"/>
        <v>0</v>
      </c>
      <c r="I244" s="28" t="str">
        <f t="shared" si="48"/>
        <v/>
      </c>
      <c r="J244" s="28">
        <f t="shared" si="48"/>
        <v>0</v>
      </c>
      <c r="K244" s="28">
        <f t="shared" si="48"/>
        <v>0</v>
      </c>
      <c r="L244" s="28">
        <f t="shared" si="48"/>
        <v>0</v>
      </c>
      <c r="M244" s="28">
        <f t="shared" si="48"/>
        <v>0</v>
      </c>
      <c r="N244" s="32">
        <f t="shared" si="48"/>
        <v>0</v>
      </c>
    </row>
    <row r="245" spans="1:26">
      <c r="B245" s="13" t="s">
        <v>497</v>
      </c>
      <c r="C245" t="s">
        <v>326</v>
      </c>
      <c r="D245" s="28">
        <f t="shared" ref="D245:N245" si="49">IF(AND(ISBLANK(D135),ISBLANK(D190)),"",(D135+(D190*0.22*0.005))*0.907185)</f>
        <v>56.596097002500002</v>
      </c>
      <c r="E245" s="28">
        <f t="shared" si="49"/>
        <v>89.367247942500001</v>
      </c>
      <c r="F245" s="28">
        <f t="shared" si="49"/>
        <v>58.710654519000002</v>
      </c>
      <c r="G245" s="28">
        <f t="shared" si="49"/>
        <v>145.75278730649998</v>
      </c>
      <c r="H245" s="28">
        <f t="shared" si="49"/>
        <v>58.83439455300001</v>
      </c>
      <c r="I245" s="28">
        <f t="shared" si="49"/>
        <v>11.4609216975</v>
      </c>
      <c r="J245" s="28">
        <f t="shared" si="49"/>
        <v>9.190691235000001</v>
      </c>
      <c r="K245" s="28">
        <f t="shared" si="49"/>
        <v>12.911873386500002</v>
      </c>
      <c r="L245" s="28">
        <f t="shared" si="49"/>
        <v>21.235386480000003</v>
      </c>
      <c r="M245" s="28">
        <f t="shared" si="49"/>
        <v>16.324703356500002</v>
      </c>
      <c r="N245" s="32">
        <f t="shared" si="49"/>
        <v>17.515202232000004</v>
      </c>
    </row>
    <row r="246" spans="1:26">
      <c r="B246" s="14" t="s">
        <v>498</v>
      </c>
      <c r="C246" s="15" t="s">
        <v>326</v>
      </c>
      <c r="D246" s="29" t="str">
        <f t="shared" ref="D246:N246" si="50">IF(AND(ISBLANK(D136),ISBLANK(D191)),"",(D136+(D191*0.22*0.005))*0.907185)</f>
        <v/>
      </c>
      <c r="E246" s="29" t="str">
        <f t="shared" si="50"/>
        <v/>
      </c>
      <c r="F246" s="29" t="str">
        <f t="shared" si="50"/>
        <v/>
      </c>
      <c r="G246" s="29" t="str">
        <f t="shared" si="50"/>
        <v/>
      </c>
      <c r="H246" s="29">
        <f t="shared" si="50"/>
        <v>97.254677206499991</v>
      </c>
      <c r="I246" s="29">
        <f t="shared" si="50"/>
        <v>66.614050239000008</v>
      </c>
      <c r="J246" s="29">
        <f t="shared" si="50"/>
        <v>3847.0097996220002</v>
      </c>
      <c r="K246" s="29">
        <f t="shared" si="50"/>
        <v>54.862738622999998</v>
      </c>
      <c r="L246" s="29">
        <f t="shared" si="50"/>
        <v>45.271888084499999</v>
      </c>
      <c r="M246" s="29">
        <f t="shared" si="50"/>
        <v>45.830714044499999</v>
      </c>
      <c r="N246" s="30">
        <f t="shared" si="50"/>
        <v>150.72134883300001</v>
      </c>
    </row>
    <row r="247" spans="1:26">
      <c r="B247" s="13" t="s">
        <v>522</v>
      </c>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1" spans="1:26" ht="24">
      <c r="B251" s="3" t="s">
        <v>17</v>
      </c>
    </row>
    <row r="252" spans="1:26">
      <c r="B252" s="4" t="s">
        <v>16</v>
      </c>
      <c r="C252" s="11" t="s">
        <v>18</v>
      </c>
      <c r="D252" s="37" t="s">
        <v>174</v>
      </c>
      <c r="E252" s="11">
        <v>2021</v>
      </c>
      <c r="F252" s="11">
        <v>2022</v>
      </c>
      <c r="G252" s="11">
        <v>2023</v>
      </c>
      <c r="H252" s="11">
        <v>2024</v>
      </c>
      <c r="I252" s="12">
        <v>2025</v>
      </c>
    </row>
    <row r="253" spans="1:26" ht="20">
      <c r="B253" s="31" t="s">
        <v>322</v>
      </c>
      <c r="C253" s="17" t="s">
        <v>323</v>
      </c>
      <c r="D253" s="28" t="s">
        <v>530</v>
      </c>
      <c r="E253" s="67">
        <f>_xlfn.XLOOKUP(_xlfn.CONCAT(_xlfn.TEXTSPLIT($D253,".")), 'S3. USITC FAS Value'!$B:$B,'S3. USITC FAS Value'!E:E)</f>
        <v>9556447</v>
      </c>
      <c r="F253" s="67">
        <f>_xlfn.XLOOKUP(_xlfn.CONCAT(_xlfn.TEXTSPLIT($D253,".")), 'S3. USITC FAS Value'!$B:$B,'S3. USITC FAS Value'!F:F)</f>
        <v>9983457</v>
      </c>
      <c r="G253" s="67">
        <f>_xlfn.XLOOKUP(_xlfn.CONCAT(_xlfn.TEXTSPLIT($D253,".")), 'S3. USITC FAS Value'!$B:$B,'S3. USITC FAS Value'!G:G)</f>
        <v>13755439</v>
      </c>
      <c r="H253" s="67">
        <f>_xlfn.XLOOKUP(_xlfn.CONCAT(_xlfn.TEXTSPLIT($D253,".")), 'S3. USITC FAS Value'!$B:$B,'S3. USITC FAS Value'!H:H)</f>
        <v>14020632</v>
      </c>
      <c r="I253" s="68">
        <f>_xlfn.XLOOKUP(_xlfn.CONCAT(_xlfn.TEXTSPLIT($D253,".")), 'S3. USITC FAS Value'!$B:$B,'S3. USITC FAS Value'!I:I)</f>
        <v>12807541</v>
      </c>
    </row>
    <row r="254" spans="1:26" ht="20">
      <c r="B254" s="31" t="s">
        <v>511</v>
      </c>
      <c r="C254" t="s">
        <v>326</v>
      </c>
      <c r="D254" s="28" t="s">
        <v>530</v>
      </c>
      <c r="E254" s="67">
        <f>_xlfn.XLOOKUP(_xlfn.CONCAT(_xlfn.TEXTSPLIT($D254,".")), 'S2. USITC Exports'!$B:$B,'S2. USITC Exports'!$J:$J)*_xlfn.XLOOKUP(_xlfn.CONCAT(_xlfn.TEXTSPLIT($D254,".")), 'S2. USITC Exports'!$B:$B,'S2. USITC Exports'!E:E)*1000</f>
        <v>13385.619999999999</v>
      </c>
      <c r="F254" s="67">
        <f>_xlfn.XLOOKUP(_xlfn.CONCAT(_xlfn.TEXTSPLIT($D254,".")), 'S2. USITC Exports'!$B:$B,'S2. USITC Exports'!$J:$J)*_xlfn.XLOOKUP(_xlfn.CONCAT(_xlfn.TEXTSPLIT($D254,".")), 'S2. USITC Exports'!$B:$B,'S2. USITC Exports'!F:F)*1000</f>
        <v>16126.195</v>
      </c>
      <c r="G254" s="67">
        <f>_xlfn.XLOOKUP(_xlfn.CONCAT(_xlfn.TEXTSPLIT($D254,".")), 'S2. USITC Exports'!$B:$B,'S2. USITC Exports'!$J:$J)*_xlfn.XLOOKUP(_xlfn.CONCAT(_xlfn.TEXTSPLIT($D254,".")), 'S2. USITC Exports'!$B:$B,'S2. USITC Exports'!G:G)*1000</f>
        <v>33302.316999999995</v>
      </c>
      <c r="H254" s="67">
        <f>_xlfn.XLOOKUP(_xlfn.CONCAT(_xlfn.TEXTSPLIT($D254,".")), 'S2. USITC Exports'!$B:$B,'S2. USITC Exports'!$J:$J)*_xlfn.XLOOKUP(_xlfn.CONCAT(_xlfn.TEXTSPLIT($D254,".")), 'S2. USITC Exports'!$B:$B,'S2. USITC Exports'!H:H)*1000</f>
        <v>56104.714999999997</v>
      </c>
      <c r="I254" s="68">
        <f>_xlfn.XLOOKUP(_xlfn.CONCAT(_xlfn.TEXTSPLIT($D254,".")), 'S2. USITC Exports'!$B:$B,'S2. USITC Exports'!$J:$J)*_xlfn.XLOOKUP(_xlfn.CONCAT(_xlfn.TEXTSPLIT($D254,".")), 'S2. USITC Exports'!$B:$B,'S2. USITC Exports'!I:I)*1000</f>
        <v>55920.626999999993</v>
      </c>
    </row>
    <row r="255" spans="1:26" ht="35" customHeight="1">
      <c r="B255" s="23" t="s">
        <v>327</v>
      </c>
      <c r="C255" s="15" t="s">
        <v>33</v>
      </c>
      <c r="D255" s="15" t="s">
        <v>29</v>
      </c>
      <c r="E255" s="52">
        <f>E253/E254</f>
        <v>713.9338334720394</v>
      </c>
      <c r="F255" s="52">
        <f t="shared" ref="F255:I255" si="51">F253/F254</f>
        <v>619.08323693220871</v>
      </c>
      <c r="G255" s="52">
        <f t="shared" si="51"/>
        <v>413.04750657439246</v>
      </c>
      <c r="H255" s="52">
        <f t="shared" si="51"/>
        <v>249.9011357601585</v>
      </c>
      <c r="I255" s="53">
        <f t="shared" si="51"/>
        <v>229.0307116906969</v>
      </c>
    </row>
    <row r="256" spans="1:26">
      <c r="B256" s="33" t="s">
        <v>214</v>
      </c>
    </row>
    <row r="257" ht="20" customHeight="1"/>
  </sheetData>
  <mergeCells count="2">
    <mergeCell ref="B21:G21"/>
    <mergeCell ref="B22:G22"/>
  </mergeCells>
  <hyperlinks>
    <hyperlink ref="C7" r:id="rId1" xr:uid="{FF81A977-DC52-A144-BFA6-7DE787A0179B}"/>
    <hyperlink ref="B16" r:id="rId2" xr:uid="{70AEEE8D-421B-994E-89D2-03CD8DFE8A01}"/>
    <hyperlink ref="B24" r:id="rId3" display="(2) Texas Department of Transportation" xr:uid="{F1332A85-11F7-0441-8636-A68B9F3E1F4A}"/>
    <hyperlink ref="B25" r:id="rId4" display="(3) General References Physical Properties of Pure Substances" xr:uid="{F2AE4B2D-7493-384D-AE27-2CF0350939A5}"/>
    <hyperlink ref="B137" r:id="rId5" display="(1) Clear Roads Annual Survey of State Winter Maintenance Data" xr:uid="{B8AF4D57-EAD0-1C4C-AE5C-9D29AA2D855A}"/>
    <hyperlink ref="B192" r:id="rId6" display="(1) Clear Roads Annual Survey of State Winter Maintenance Data" xr:uid="{5038370F-B6DA-CF40-9800-D50F71B88CC3}"/>
    <hyperlink ref="B23" r:id="rId7" display="(1) Clear Roads Annual Survey of State Winter Maintenance Data" xr:uid="{2F987F37-656A-AD42-9495-F043AFFDB311}"/>
    <hyperlink ref="B256" r:id="rId8" display="(1) Source: USITC DataWeb, Imports for Consumption" xr:uid="{F418108A-5CBF-6F49-A66E-183913B1005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E11D-242B-EB4B-82D1-442D7CDE38C8}">
  <dimension ref="A1:Z66"/>
  <sheetViews>
    <sheetView topLeftCell="A59" workbookViewId="0">
      <selection activeCell="B18" sqref="B18"/>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380</v>
      </c>
    </row>
    <row r="3" spans="1:26" ht="16" customHeight="1">
      <c r="B3" t="s">
        <v>145</v>
      </c>
    </row>
    <row r="5" spans="1:26" ht="24">
      <c r="B5" s="3" t="s">
        <v>0</v>
      </c>
    </row>
    <row r="6" spans="1:26" ht="18">
      <c r="B6" s="4" t="s">
        <v>1</v>
      </c>
      <c r="C6" s="86" t="s">
        <v>382</v>
      </c>
    </row>
    <row r="7" spans="1:26">
      <c r="B7" s="6" t="s">
        <v>2</v>
      </c>
      <c r="C7" s="7" t="s">
        <v>383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41" t="s">
        <v>386</v>
      </c>
      <c r="H14" s="141"/>
      <c r="I14" s="141"/>
      <c r="J14" s="141"/>
      <c r="K14" s="141"/>
    </row>
    <row r="15" spans="1:26" ht="17">
      <c r="B15" s="31" t="s">
        <v>96</v>
      </c>
      <c r="C15" s="24" t="s">
        <v>73</v>
      </c>
      <c r="D15" s="24" t="s">
        <v>29</v>
      </c>
      <c r="E15" s="73">
        <v>0.8</v>
      </c>
      <c r="G15" s="141"/>
      <c r="H15" s="141"/>
      <c r="I15" s="141"/>
      <c r="J15" s="141"/>
      <c r="K15" s="141"/>
    </row>
    <row r="16" spans="1:26" ht="17">
      <c r="B16" s="31" t="s">
        <v>57</v>
      </c>
      <c r="C16" s="24" t="s">
        <v>384</v>
      </c>
      <c r="D16" s="24" t="s">
        <v>29</v>
      </c>
      <c r="E16" s="73">
        <v>0.11</v>
      </c>
      <c r="G16" s="141"/>
      <c r="H16" s="141"/>
      <c r="I16" s="141"/>
      <c r="J16" s="141"/>
      <c r="K16" s="141"/>
    </row>
    <row r="17" spans="1:26" ht="17">
      <c r="B17" s="23" t="s">
        <v>67</v>
      </c>
      <c r="C17" s="25" t="s">
        <v>67</v>
      </c>
      <c r="D17" s="25" t="s">
        <v>29</v>
      </c>
      <c r="E17" s="20">
        <v>0.09</v>
      </c>
      <c r="G17" s="141"/>
      <c r="H17" s="141"/>
      <c r="I17" s="141"/>
      <c r="J17" s="141"/>
      <c r="K17" s="141"/>
    </row>
    <row r="18" spans="1:26">
      <c r="B18" s="111" t="s">
        <v>385</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138</v>
      </c>
    </row>
    <row r="24" spans="1:26">
      <c r="B24" s="36" t="s">
        <v>16</v>
      </c>
      <c r="C24" s="37" t="s">
        <v>18</v>
      </c>
      <c r="D24" s="37">
        <v>2021</v>
      </c>
      <c r="E24" s="37">
        <v>2022</v>
      </c>
      <c r="F24" s="37">
        <v>2023</v>
      </c>
      <c r="G24" s="37">
        <v>2024</v>
      </c>
      <c r="H24" s="38">
        <v>2025</v>
      </c>
    </row>
    <row r="25" spans="1:26" ht="20">
      <c r="B25" s="40" t="s">
        <v>139</v>
      </c>
      <c r="C25" s="39" t="s">
        <v>34</v>
      </c>
      <c r="D25" s="48">
        <f>D42</f>
        <v>188</v>
      </c>
      <c r="E25" s="48">
        <f t="shared" ref="E25:H25" si="0">E42</f>
        <v>197</v>
      </c>
      <c r="F25" s="48">
        <f t="shared" si="0"/>
        <v>173</v>
      </c>
      <c r="G25" s="48">
        <f t="shared" si="0"/>
        <v>200</v>
      </c>
      <c r="H25" s="41">
        <f t="shared" si="0"/>
        <v>200</v>
      </c>
    </row>
    <row r="26" spans="1:26" ht="19">
      <c r="B26" s="42" t="s">
        <v>140</v>
      </c>
      <c r="C26" s="39" t="s">
        <v>34</v>
      </c>
      <c r="D26" s="48">
        <f>E50</f>
        <v>12.765201999999999</v>
      </c>
      <c r="E26" s="48">
        <f>F50</f>
        <v>13.075305</v>
      </c>
      <c r="F26" s="48">
        <f>G50</f>
        <v>9.9809710000000003</v>
      </c>
      <c r="G26" s="48">
        <f>H50</f>
        <v>11.150461999999999</v>
      </c>
      <c r="H26" s="41">
        <f>I50</f>
        <v>13.101851</v>
      </c>
    </row>
    <row r="27" spans="1:26" ht="20">
      <c r="B27" s="40" t="s">
        <v>141</v>
      </c>
      <c r="C27" s="39" t="s">
        <v>34</v>
      </c>
      <c r="D27" s="48">
        <f>E55</f>
        <v>17.71021</v>
      </c>
      <c r="E27" s="48">
        <f t="shared" ref="E27:H27" si="1">F55</f>
        <v>16.046903999999998</v>
      </c>
      <c r="F27" s="48">
        <f t="shared" si="1"/>
        <v>14.518257999999999</v>
      </c>
      <c r="G27" s="48">
        <f t="shared" si="1"/>
        <v>17.811351999999999</v>
      </c>
      <c r="H27" s="41">
        <f t="shared" si="1"/>
        <v>17.483063999999999</v>
      </c>
    </row>
    <row r="28" spans="1:26" ht="19">
      <c r="B28" s="49" t="s">
        <v>142</v>
      </c>
      <c r="C28" s="44" t="s">
        <v>34</v>
      </c>
      <c r="D28" s="45">
        <f>D25+D26-D27</f>
        <v>183.054992</v>
      </c>
      <c r="E28" s="45">
        <f t="shared" ref="E28:H28" si="2">E25+E26-E27</f>
        <v>194.02840100000003</v>
      </c>
      <c r="F28" s="45">
        <f t="shared" si="2"/>
        <v>168.46271300000001</v>
      </c>
      <c r="G28" s="45">
        <f t="shared" si="2"/>
        <v>193.33911000000001</v>
      </c>
      <c r="H28" s="46">
        <f t="shared" si="2"/>
        <v>195.618787</v>
      </c>
    </row>
    <row r="29" spans="1:26">
      <c r="B29" s="39" t="s">
        <v>218</v>
      </c>
      <c r="C29" s="39"/>
      <c r="D29" s="39"/>
      <c r="E29" s="39"/>
      <c r="F29" s="39"/>
      <c r="G29" s="39"/>
      <c r="H29" s="39"/>
    </row>
    <row r="30" spans="1:26">
      <c r="B30" s="39" t="s">
        <v>219</v>
      </c>
      <c r="C30" s="39"/>
      <c r="D30" s="39"/>
      <c r="E30" s="39"/>
      <c r="F30" s="39"/>
      <c r="G30" s="39"/>
      <c r="H30" s="39"/>
    </row>
    <row r="31" spans="1:26">
      <c r="B31" s="39" t="s">
        <v>220</v>
      </c>
      <c r="C31" s="16"/>
      <c r="D31" s="16"/>
      <c r="E31" s="16"/>
      <c r="F31" s="16"/>
      <c r="G31" s="16"/>
      <c r="H31" s="16"/>
    </row>
    <row r="32" spans="1:26">
      <c r="B32" s="39" t="s">
        <v>221</v>
      </c>
      <c r="C32" s="16"/>
      <c r="D32" s="16"/>
      <c r="E32" s="16"/>
      <c r="F32" s="16"/>
      <c r="G32" s="16"/>
      <c r="H32" s="16"/>
    </row>
    <row r="33" spans="2:9">
      <c r="B33" s="16"/>
      <c r="C33" s="16"/>
      <c r="D33" s="16"/>
      <c r="E33" s="16"/>
      <c r="F33" s="16"/>
      <c r="G33" s="16"/>
      <c r="H33" s="16"/>
    </row>
    <row r="34" spans="2:9" ht="24">
      <c r="B34" s="3" t="s">
        <v>156</v>
      </c>
      <c r="C34" s="16"/>
      <c r="D34" s="16"/>
      <c r="E34" s="16"/>
      <c r="F34" s="16"/>
      <c r="G34" s="16"/>
      <c r="H34" s="16"/>
    </row>
    <row r="35" spans="2:9" ht="19">
      <c r="B35" s="18" t="s">
        <v>158</v>
      </c>
      <c r="C35" s="16"/>
      <c r="D35" s="16"/>
      <c r="E35" s="16"/>
      <c r="F35" s="16"/>
      <c r="G35" s="16"/>
      <c r="H35" s="16"/>
    </row>
    <row r="36" spans="2:9" ht="86" customHeight="1">
      <c r="B36" s="140" t="s">
        <v>403</v>
      </c>
      <c r="C36" s="140"/>
      <c r="D36" s="140"/>
      <c r="E36" s="140"/>
      <c r="F36" s="140"/>
      <c r="G36" s="140"/>
      <c r="H36" s="140"/>
    </row>
    <row r="38" spans="2:9">
      <c r="B38" s="16" t="s">
        <v>402</v>
      </c>
      <c r="D38" s="28"/>
      <c r="E38" s="28"/>
      <c r="F38" s="28"/>
      <c r="G38" s="28"/>
      <c r="H38" s="28"/>
    </row>
    <row r="39" spans="2:9">
      <c r="B39" s="36" t="s">
        <v>16</v>
      </c>
      <c r="C39" s="37" t="s">
        <v>18</v>
      </c>
      <c r="D39" s="37">
        <v>2021</v>
      </c>
      <c r="E39" s="37">
        <v>2022</v>
      </c>
      <c r="F39" s="37">
        <v>2023</v>
      </c>
      <c r="G39" s="37">
        <v>2024</v>
      </c>
      <c r="H39" s="38">
        <v>2025</v>
      </c>
    </row>
    <row r="40" spans="2:9" ht="20">
      <c r="B40" s="40" t="s">
        <v>307</v>
      </c>
      <c r="C40" t="s">
        <v>34</v>
      </c>
      <c r="D40" s="28">
        <v>188</v>
      </c>
      <c r="E40" s="28">
        <v>197</v>
      </c>
      <c r="F40" s="28">
        <v>173</v>
      </c>
      <c r="G40" s="28" t="s">
        <v>29</v>
      </c>
      <c r="H40" s="32" t="s">
        <v>29</v>
      </c>
    </row>
    <row r="41" spans="2:9" ht="20">
      <c r="B41" s="40" t="s">
        <v>308</v>
      </c>
      <c r="C41" t="s">
        <v>34</v>
      </c>
      <c r="D41" s="28" t="s">
        <v>29</v>
      </c>
      <c r="E41" s="28" t="s">
        <v>29</v>
      </c>
      <c r="F41" s="28" t="s">
        <v>29</v>
      </c>
      <c r="G41" s="28">
        <v>200</v>
      </c>
      <c r="H41" s="32">
        <v>200</v>
      </c>
    </row>
    <row r="42" spans="2:9" ht="17">
      <c r="B42" s="43" t="s">
        <v>310</v>
      </c>
      <c r="C42" s="15" t="s">
        <v>34</v>
      </c>
      <c r="D42" s="29">
        <f>D40</f>
        <v>188</v>
      </c>
      <c r="E42" s="29">
        <f t="shared" ref="E42:F42" si="3">E40</f>
        <v>197</v>
      </c>
      <c r="F42" s="29">
        <f t="shared" si="3"/>
        <v>173</v>
      </c>
      <c r="G42" s="29">
        <f>G41</f>
        <v>200</v>
      </c>
      <c r="H42" s="30">
        <f>H41</f>
        <v>200</v>
      </c>
    </row>
    <row r="43" spans="2:9">
      <c r="B43" s="111" t="s">
        <v>401</v>
      </c>
      <c r="D43" s="28"/>
      <c r="E43" s="28"/>
      <c r="F43" s="28"/>
      <c r="G43" s="28"/>
      <c r="H43" s="28"/>
    </row>
    <row r="44" spans="2:9">
      <c r="B44" s="111" t="s">
        <v>404</v>
      </c>
      <c r="D44" s="28"/>
      <c r="E44" s="28"/>
      <c r="F44" s="28"/>
      <c r="G44" s="28"/>
      <c r="H44" s="28"/>
    </row>
    <row r="46" spans="2:9" ht="19">
      <c r="B46" s="18" t="s">
        <v>209</v>
      </c>
      <c r="C46" s="16"/>
      <c r="D46" s="16"/>
      <c r="E46" s="16"/>
      <c r="F46" s="16"/>
      <c r="G46" s="16"/>
      <c r="H46" s="16"/>
    </row>
    <row r="48" spans="2:9" ht="18" customHeight="1">
      <c r="B48" s="119" t="s">
        <v>399</v>
      </c>
      <c r="C48" s="22"/>
      <c r="D48" s="22"/>
      <c r="E48" s="22"/>
      <c r="F48" s="22"/>
      <c r="G48" s="22"/>
      <c r="H48" s="22"/>
      <c r="I48" s="22"/>
    </row>
    <row r="49" spans="1:26">
      <c r="B49" s="36" t="s">
        <v>172</v>
      </c>
      <c r="C49" s="37" t="s">
        <v>18</v>
      </c>
      <c r="D49" s="37" t="s">
        <v>174</v>
      </c>
      <c r="E49" s="37">
        <v>2021</v>
      </c>
      <c r="F49" s="37">
        <v>2022</v>
      </c>
      <c r="G49" s="37">
        <v>2023</v>
      </c>
      <c r="H49" s="37">
        <v>2024</v>
      </c>
      <c r="I49" s="38">
        <v>2025</v>
      </c>
    </row>
    <row r="50" spans="1:26" ht="20">
      <c r="B50" s="43" t="s">
        <v>398</v>
      </c>
      <c r="C50" s="15" t="s">
        <v>34</v>
      </c>
      <c r="D50" s="29" t="s">
        <v>397</v>
      </c>
      <c r="E50" s="69">
        <f>_xlfn.XLOOKUP(_xlfn.CONCAT(_xlfn.TEXTSPLIT($D50,".")), 'S1. USITC Imports'!$B:$B,'S1. USITC Imports'!$J:$J)*_xlfn.XLOOKUP(_xlfn.CONCAT(_xlfn.TEXTSPLIT($D50,".")), 'S1. USITC Imports'!$B:$B,'S1. USITC Imports'!E:E)</f>
        <v>12.765201999999999</v>
      </c>
      <c r="F50" s="69">
        <f>_xlfn.XLOOKUP(_xlfn.CONCAT(_xlfn.TEXTSPLIT($D50,".")), 'S1. USITC Imports'!$B:$B,'S1. USITC Imports'!$J:$J)*_xlfn.XLOOKUP(_xlfn.CONCAT(_xlfn.TEXTSPLIT($D50,".")), 'S1. USITC Imports'!$B:$B,'S1. USITC Imports'!F:F)</f>
        <v>13.075305</v>
      </c>
      <c r="G50" s="69">
        <f>_xlfn.XLOOKUP(_xlfn.CONCAT(_xlfn.TEXTSPLIT($D50,".")), 'S1. USITC Imports'!$B:$B,'S1. USITC Imports'!$J:$J)*_xlfn.XLOOKUP(_xlfn.CONCAT(_xlfn.TEXTSPLIT($D50,".")), 'S1. USITC Imports'!$B:$B,'S1. USITC Imports'!G:G)</f>
        <v>9.9809710000000003</v>
      </c>
      <c r="H50" s="69">
        <f>_xlfn.XLOOKUP(_xlfn.CONCAT(_xlfn.TEXTSPLIT($D50,".")), 'S1. USITC Imports'!$B:$B,'S1. USITC Imports'!$J:$J)*_xlfn.XLOOKUP(_xlfn.CONCAT(_xlfn.TEXTSPLIT($D50,".")), 'S1. USITC Imports'!$B:$B,'S1. USITC Imports'!H:H)</f>
        <v>11.150461999999999</v>
      </c>
      <c r="I50" s="70">
        <f>_xlfn.XLOOKUP(_xlfn.CONCAT(_xlfn.TEXTSPLIT($D50,".")), 'S1. USITC Imports'!$B:$B,'S1. USITC Imports'!$J:$J)*_xlfn.XLOOKUP(_xlfn.CONCAT(_xlfn.TEXTSPLIT($D50,".")), 'S1. USITC Imports'!$B:$B,'S1. USITC Imports'!I:I)</f>
        <v>13.101851</v>
      </c>
    </row>
    <row r="51" spans="1:26">
      <c r="B51" s="33" t="s">
        <v>183</v>
      </c>
      <c r="D51" s="28"/>
      <c r="E51" s="67"/>
      <c r="F51" s="67"/>
      <c r="G51" s="67"/>
      <c r="H51" s="67"/>
      <c r="I51" s="67"/>
    </row>
    <row r="53" spans="1:26">
      <c r="B53" s="119" t="s">
        <v>400</v>
      </c>
      <c r="C53" s="22"/>
      <c r="D53" s="22"/>
      <c r="E53" s="22"/>
      <c r="F53" s="22"/>
      <c r="G53" s="22"/>
      <c r="H53" s="22"/>
      <c r="I53" s="22"/>
    </row>
    <row r="54" spans="1:26">
      <c r="B54" s="36" t="s">
        <v>172</v>
      </c>
      <c r="C54" s="37" t="s">
        <v>18</v>
      </c>
      <c r="D54" s="37" t="s">
        <v>174</v>
      </c>
      <c r="E54" s="37">
        <v>2021</v>
      </c>
      <c r="F54" s="37">
        <v>2022</v>
      </c>
      <c r="G54" s="37">
        <v>2023</v>
      </c>
      <c r="H54" s="37">
        <v>2024</v>
      </c>
      <c r="I54" s="38">
        <v>2025</v>
      </c>
    </row>
    <row r="55" spans="1:26" ht="20">
      <c r="B55" s="43" t="s">
        <v>398</v>
      </c>
      <c r="C55" s="15" t="s">
        <v>34</v>
      </c>
      <c r="D55" s="29" t="s">
        <v>397</v>
      </c>
      <c r="E55" s="69">
        <f>_xlfn.XLOOKUP(_xlfn.CONCAT(_xlfn.TEXTSPLIT($D55,".")), 'S2. USITC Exports'!$B:$B,'S2. USITC Exports'!$J:$J)*_xlfn.XLOOKUP(_xlfn.CONCAT(_xlfn.TEXTSPLIT($D55,".")), 'S2. USITC Exports'!$B:$B,'S2. USITC Exports'!E:E)</f>
        <v>17.71021</v>
      </c>
      <c r="F55" s="69">
        <f>_xlfn.XLOOKUP(_xlfn.CONCAT(_xlfn.TEXTSPLIT($D55,".")), 'S2. USITC Exports'!$B:$B,'S2. USITC Exports'!$J:$J)*_xlfn.XLOOKUP(_xlfn.CONCAT(_xlfn.TEXTSPLIT($D55,".")), 'S2. USITC Exports'!$B:$B,'S2. USITC Exports'!F:F)</f>
        <v>16.046903999999998</v>
      </c>
      <c r="G55" s="69">
        <f>_xlfn.XLOOKUP(_xlfn.CONCAT(_xlfn.TEXTSPLIT($D55,".")), 'S2. USITC Exports'!$B:$B,'S2. USITC Exports'!$J:$J)*_xlfn.XLOOKUP(_xlfn.CONCAT(_xlfn.TEXTSPLIT($D55,".")), 'S2. USITC Exports'!$B:$B,'S2. USITC Exports'!G:G)</f>
        <v>14.518257999999999</v>
      </c>
      <c r="H55" s="69">
        <f>_xlfn.XLOOKUP(_xlfn.CONCAT(_xlfn.TEXTSPLIT($D55,".")), 'S2. USITC Exports'!$B:$B,'S2. USITC Exports'!$J:$J)*_xlfn.XLOOKUP(_xlfn.CONCAT(_xlfn.TEXTSPLIT($D55,".")), 'S2. USITC Exports'!$B:$B,'S2. USITC Exports'!H:H)</f>
        <v>17.811351999999999</v>
      </c>
      <c r="I55" s="70">
        <f>_xlfn.XLOOKUP(_xlfn.CONCAT(_xlfn.TEXTSPLIT($D55,".")), 'S2. USITC Exports'!$B:$B,'S2. USITC Exports'!$J:$J)*_xlfn.XLOOKUP(_xlfn.CONCAT(_xlfn.TEXTSPLIT($D55,".")), 'S2. USITC Exports'!$B:$B,'S2. USITC Exports'!I:I)</f>
        <v>17.483063999999999</v>
      </c>
      <c r="K55" s="39"/>
    </row>
    <row r="56" spans="1:26">
      <c r="B56" s="62" t="s">
        <v>214</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17</v>
      </c>
    </row>
    <row r="61" spans="1:26">
      <c r="B61" s="4" t="s">
        <v>16</v>
      </c>
      <c r="C61" s="11" t="s">
        <v>18</v>
      </c>
      <c r="D61" s="37" t="s">
        <v>174</v>
      </c>
      <c r="E61" s="11">
        <v>2021</v>
      </c>
      <c r="F61" s="11">
        <v>2022</v>
      </c>
      <c r="G61" s="11">
        <v>2023</v>
      </c>
      <c r="H61" s="11">
        <v>2024</v>
      </c>
      <c r="I61" s="12">
        <v>2025</v>
      </c>
    </row>
    <row r="62" spans="1:26" ht="20">
      <c r="B62" s="31" t="s">
        <v>322</v>
      </c>
      <c r="C62" s="17" t="s">
        <v>323</v>
      </c>
      <c r="D62" s="28" t="s">
        <v>397</v>
      </c>
      <c r="E62" s="67">
        <f>_xlfn.XLOOKUP(_xlfn.CONCAT(_xlfn.TEXTSPLIT($D62,".")), 'S3. USITC FAS Value'!$B:$B,'S3. USITC FAS Value'!E:E)</f>
        <v>16706683</v>
      </c>
      <c r="F62" s="67">
        <f>_xlfn.XLOOKUP(_xlfn.CONCAT(_xlfn.TEXTSPLIT($D62,".")), 'S3. USITC FAS Value'!$B:$B,'S3. USITC FAS Value'!F:F)</f>
        <v>18313175</v>
      </c>
      <c r="G62" s="67">
        <f>_xlfn.XLOOKUP(_xlfn.CONCAT(_xlfn.TEXTSPLIT($D62,".")), 'S3. USITC FAS Value'!$B:$B,'S3. USITC FAS Value'!G:G)</f>
        <v>15579453</v>
      </c>
      <c r="H62" s="67">
        <f>_xlfn.XLOOKUP(_xlfn.CONCAT(_xlfn.TEXTSPLIT($D62,".")), 'S3. USITC FAS Value'!$B:$B,'S3. USITC FAS Value'!H:H)</f>
        <v>17360829</v>
      </c>
      <c r="I62" s="68">
        <f>_xlfn.XLOOKUP(_xlfn.CONCAT(_xlfn.TEXTSPLIT($D62,".")), 'S3. USITC FAS Value'!$B:$B,'S3. USITC FAS Value'!I:I)</f>
        <v>17112550</v>
      </c>
    </row>
    <row r="63" spans="1:26" ht="20">
      <c r="B63" s="31" t="s">
        <v>324</v>
      </c>
      <c r="C63" t="s">
        <v>326</v>
      </c>
      <c r="D63" s="28" t="s">
        <v>397</v>
      </c>
      <c r="E63" s="28">
        <f>E55*1000</f>
        <v>17710.21</v>
      </c>
      <c r="F63" s="28">
        <f>F55*1000</f>
        <v>16046.903999999999</v>
      </c>
      <c r="G63" s="28">
        <f t="shared" ref="G63:I63" si="4">G55*1000</f>
        <v>14518.258</v>
      </c>
      <c r="H63" s="28">
        <f t="shared" si="4"/>
        <v>17811.351999999999</v>
      </c>
      <c r="I63" s="32">
        <f t="shared" si="4"/>
        <v>17483.063999999998</v>
      </c>
    </row>
    <row r="64" spans="1:26" ht="34">
      <c r="B64" s="23" t="s">
        <v>327</v>
      </c>
      <c r="C64" s="15" t="s">
        <v>33</v>
      </c>
      <c r="D64" s="15" t="s">
        <v>29</v>
      </c>
      <c r="E64" s="52">
        <f>E62/E63</f>
        <v>943.33624502476255</v>
      </c>
      <c r="F64" s="52">
        <f t="shared" ref="F64:I64" si="5">F62/F63</f>
        <v>1141.2279278295678</v>
      </c>
      <c r="G64" s="52">
        <f t="shared" si="5"/>
        <v>1073.0938243417359</v>
      </c>
      <c r="H64" s="52">
        <f t="shared" si="5"/>
        <v>974.70585051600801</v>
      </c>
      <c r="I64" s="53">
        <f t="shared" si="5"/>
        <v>978.80726170195351</v>
      </c>
    </row>
    <row r="65" spans="2:2">
      <c r="B65" s="33" t="s">
        <v>214</v>
      </c>
    </row>
    <row r="66" spans="2:2" ht="16" customHeight="1">
      <c r="B66" s="24" t="s">
        <v>325</v>
      </c>
    </row>
  </sheetData>
  <mergeCells count="2">
    <mergeCell ref="G14:K17"/>
    <mergeCell ref="B36:H36"/>
  </mergeCells>
  <hyperlinks>
    <hyperlink ref="B51" r:id="rId1" xr:uid="{335CF82D-7992-AF46-9BFE-B27ADCDCEB2E}"/>
    <hyperlink ref="B56" r:id="rId2" display="(1) Source: USITC DataWeb, Imports for Consumption" xr:uid="{5AEA111C-9FAD-DD4A-9634-BA42D61C0E93}"/>
    <hyperlink ref="C7" r:id="rId3" xr:uid="{9634B58F-BE8C-AA42-9B32-69843059497B}"/>
    <hyperlink ref="B18" r:id="rId4" xr:uid="{1D2B1990-C509-C740-A95F-2FF7EBBDF1A2}"/>
    <hyperlink ref="B43" r:id="rId5" xr:uid="{0637CE2C-2261-694C-8C87-A7F25CBABFC1}"/>
    <hyperlink ref="B65" r:id="rId6" display="(1) Source: USITC DataWeb, Imports for Consumption" xr:uid="{1DB9871E-4FA1-3144-A9EB-69A4B71839B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3909-8578-4B44-A274-A2A3BD45AD10}">
  <dimension ref="A1:Z74"/>
  <sheetViews>
    <sheetView topLeftCell="A63" workbookViewId="0">
      <selection activeCell="E70" sqref="E7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409</v>
      </c>
    </row>
    <row r="3" spans="1:26" ht="16" customHeight="1">
      <c r="B3" t="s">
        <v>145</v>
      </c>
    </row>
    <row r="5" spans="1:26" ht="24">
      <c r="B5" s="3" t="s">
        <v>0</v>
      </c>
    </row>
    <row r="6" spans="1:26" ht="18">
      <c r="B6" s="4" t="s">
        <v>1</v>
      </c>
      <c r="C6" s="86" t="s">
        <v>405</v>
      </c>
    </row>
    <row r="7" spans="1:26">
      <c r="B7" s="6" t="s">
        <v>2</v>
      </c>
      <c r="C7" s="7" t="s">
        <v>383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41" t="s">
        <v>410</v>
      </c>
      <c r="H14" s="141"/>
      <c r="I14" s="141"/>
      <c r="J14" s="141"/>
      <c r="K14" s="141"/>
    </row>
    <row r="15" spans="1:26" ht="34">
      <c r="B15" s="31" t="s">
        <v>406</v>
      </c>
      <c r="C15" s="24" t="s">
        <v>407</v>
      </c>
      <c r="D15" s="24" t="s">
        <v>29</v>
      </c>
      <c r="E15" s="73">
        <v>0.48</v>
      </c>
      <c r="G15" s="141"/>
      <c r="H15" s="141"/>
      <c r="I15" s="141"/>
      <c r="J15" s="141"/>
      <c r="K15" s="141"/>
    </row>
    <row r="16" spans="1:26" ht="17">
      <c r="B16" s="31" t="s">
        <v>57</v>
      </c>
      <c r="C16" s="24" t="s">
        <v>384</v>
      </c>
      <c r="D16" s="24" t="s">
        <v>29</v>
      </c>
      <c r="E16" s="73">
        <v>0.22</v>
      </c>
      <c r="G16" s="141"/>
      <c r="H16" s="141"/>
      <c r="I16" s="141"/>
      <c r="J16" s="141"/>
      <c r="K16" s="141"/>
    </row>
    <row r="17" spans="1:26" ht="17">
      <c r="B17" s="31" t="s">
        <v>371</v>
      </c>
      <c r="C17" s="24" t="s">
        <v>72</v>
      </c>
      <c r="D17" s="24" t="s">
        <v>29</v>
      </c>
      <c r="E17" s="73">
        <v>0.12</v>
      </c>
      <c r="G17" s="141"/>
      <c r="H17" s="141"/>
      <c r="I17" s="141"/>
      <c r="J17" s="141"/>
      <c r="K17" s="141"/>
    </row>
    <row r="18" spans="1:26" ht="17">
      <c r="B18" s="31" t="s">
        <v>41</v>
      </c>
      <c r="C18" s="24" t="s">
        <v>408</v>
      </c>
      <c r="D18" s="24" t="s">
        <v>29</v>
      </c>
      <c r="E18" s="73">
        <v>0.1</v>
      </c>
      <c r="G18" s="141"/>
      <c r="H18" s="141"/>
      <c r="I18" s="141"/>
      <c r="J18" s="141"/>
      <c r="K18" s="141"/>
    </row>
    <row r="19" spans="1:26" ht="17">
      <c r="B19" s="23" t="s">
        <v>67</v>
      </c>
      <c r="C19" s="25" t="s">
        <v>67</v>
      </c>
      <c r="D19" s="25" t="s">
        <v>29</v>
      </c>
      <c r="E19" s="20">
        <v>0.08</v>
      </c>
      <c r="G19" s="141"/>
      <c r="H19" s="141"/>
      <c r="I19" s="141"/>
      <c r="J19" s="141"/>
      <c r="K19" s="141"/>
    </row>
    <row r="20" spans="1:26">
      <c r="B20" s="111" t="s">
        <v>385</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13</v>
      </c>
    </row>
    <row r="25" spans="1:26" ht="19">
      <c r="B25" s="18" t="s">
        <v>14</v>
      </c>
      <c r="C25" s="19" t="s">
        <v>138</v>
      </c>
    </row>
    <row r="26" spans="1:26">
      <c r="B26" s="36" t="s">
        <v>16</v>
      </c>
      <c r="C26" s="37" t="s">
        <v>18</v>
      </c>
      <c r="D26" s="37">
        <v>2021</v>
      </c>
      <c r="E26" s="37">
        <v>2022</v>
      </c>
      <c r="F26" s="37">
        <v>2023</v>
      </c>
      <c r="G26" s="37">
        <v>2024</v>
      </c>
      <c r="H26" s="38">
        <v>2025</v>
      </c>
    </row>
    <row r="27" spans="1:26" ht="20">
      <c r="B27" s="40" t="s">
        <v>139</v>
      </c>
      <c r="C27" s="39" t="s">
        <v>34</v>
      </c>
      <c r="D27" s="48">
        <f>I44</f>
        <v>81.899999999999636</v>
      </c>
      <c r="E27" s="48">
        <f t="shared" ref="E27:H27" si="0">J44</f>
        <v>88.679999999998472</v>
      </c>
      <c r="F27" s="48">
        <f t="shared" si="0"/>
        <v>95.459999999999127</v>
      </c>
      <c r="G27" s="48">
        <f t="shared" si="0"/>
        <v>102.23999999999978</v>
      </c>
      <c r="H27" s="41">
        <f t="shared" si="0"/>
        <v>109.01999999999862</v>
      </c>
    </row>
    <row r="28" spans="1:26" ht="19">
      <c r="B28" s="42" t="s">
        <v>140</v>
      </c>
      <c r="C28" s="39" t="s">
        <v>34</v>
      </c>
      <c r="D28" s="48">
        <f>E55</f>
        <v>48.172393999999997</v>
      </c>
      <c r="E28" s="48">
        <f t="shared" ref="E28:H28" si="1">F55</f>
        <v>39.152401999999995</v>
      </c>
      <c r="F28" s="48">
        <f t="shared" si="1"/>
        <v>27.625271000000001</v>
      </c>
      <c r="G28" s="48">
        <f t="shared" si="1"/>
        <v>46.595109999999991</v>
      </c>
      <c r="H28" s="41">
        <f t="shared" si="1"/>
        <v>44.332580999999998</v>
      </c>
    </row>
    <row r="29" spans="1:26" ht="20">
      <c r="B29" s="40" t="s">
        <v>141</v>
      </c>
      <c r="C29" s="39" t="s">
        <v>34</v>
      </c>
      <c r="D29" s="48">
        <f>E62</f>
        <v>14.372325999999999</v>
      </c>
      <c r="E29" s="48">
        <f t="shared" ref="E29:H29" si="2">F62</f>
        <v>15.343386999999998</v>
      </c>
      <c r="F29" s="48">
        <f t="shared" si="2"/>
        <v>14.007673</v>
      </c>
      <c r="G29" s="48">
        <f t="shared" si="2"/>
        <v>12.996955999999999</v>
      </c>
      <c r="H29" s="41">
        <f t="shared" si="2"/>
        <v>10.677463000000001</v>
      </c>
    </row>
    <row r="30" spans="1:26" ht="19">
      <c r="B30" s="49" t="s">
        <v>142</v>
      </c>
      <c r="C30" s="44" t="s">
        <v>34</v>
      </c>
      <c r="D30" s="45">
        <f>D27+D28-D29</f>
        <v>115.70006799999963</v>
      </c>
      <c r="E30" s="45">
        <f t="shared" ref="E30:H30" si="3">E27+E28-E29</f>
        <v>112.48901499999847</v>
      </c>
      <c r="F30" s="45">
        <f t="shared" si="3"/>
        <v>109.07759799999913</v>
      </c>
      <c r="G30" s="45">
        <f t="shared" si="3"/>
        <v>135.83815399999975</v>
      </c>
      <c r="H30" s="46">
        <f t="shared" si="3"/>
        <v>142.67511799999863</v>
      </c>
    </row>
    <row r="31" spans="1:26">
      <c r="B31" s="39" t="s">
        <v>218</v>
      </c>
      <c r="C31" s="39"/>
      <c r="D31" s="39"/>
      <c r="E31" s="39"/>
      <c r="F31" s="39"/>
      <c r="G31" s="39"/>
      <c r="H31" s="39"/>
    </row>
    <row r="32" spans="1:26">
      <c r="B32" s="39" t="s">
        <v>219</v>
      </c>
      <c r="C32" s="39"/>
      <c r="D32" s="39"/>
      <c r="E32" s="39"/>
      <c r="F32" s="39"/>
      <c r="G32" s="39"/>
      <c r="H32" s="39"/>
    </row>
    <row r="33" spans="2:13">
      <c r="B33" s="39" t="s">
        <v>220</v>
      </c>
      <c r="C33" s="16"/>
      <c r="D33" s="16"/>
      <c r="E33" s="16"/>
      <c r="F33" s="16"/>
      <c r="G33" s="16"/>
      <c r="H33" s="16"/>
    </row>
    <row r="34" spans="2:13">
      <c r="B34" s="39" t="s">
        <v>221</v>
      </c>
      <c r="C34" s="16"/>
      <c r="D34" s="16"/>
      <c r="E34" s="16"/>
      <c r="F34" s="16"/>
      <c r="G34" s="16"/>
      <c r="H34" s="16"/>
    </row>
    <row r="35" spans="2:13">
      <c r="B35" s="16"/>
      <c r="C35" s="16"/>
      <c r="D35" s="16"/>
      <c r="E35" s="16"/>
      <c r="F35" s="16"/>
      <c r="G35" s="16"/>
      <c r="H35" s="16"/>
    </row>
    <row r="36" spans="2:13" ht="24">
      <c r="B36" s="3" t="s">
        <v>156</v>
      </c>
      <c r="C36" s="16"/>
      <c r="D36" s="16"/>
      <c r="E36" s="16"/>
      <c r="F36" s="16"/>
      <c r="G36" s="16"/>
      <c r="H36" s="16"/>
    </row>
    <row r="37" spans="2:13" ht="19">
      <c r="B37" s="18" t="s">
        <v>158</v>
      </c>
      <c r="C37" s="16"/>
      <c r="D37" s="16"/>
      <c r="E37" s="16"/>
      <c r="F37" s="16"/>
      <c r="G37" s="16"/>
      <c r="H37" s="16"/>
    </row>
    <row r="38" spans="2:13" ht="62" customHeight="1">
      <c r="B38" s="140" t="s">
        <v>424</v>
      </c>
      <c r="C38" s="140"/>
      <c r="D38" s="140"/>
      <c r="E38" s="140"/>
      <c r="F38" s="140"/>
      <c r="G38" s="140"/>
      <c r="H38" s="140"/>
    </row>
    <row r="40" spans="2:13">
      <c r="B40" s="16" t="s">
        <v>411</v>
      </c>
      <c r="D40" s="28"/>
      <c r="E40" s="28"/>
      <c r="F40" s="28"/>
      <c r="G40" s="28"/>
      <c r="H40" s="28"/>
    </row>
    <row r="41" spans="2:13">
      <c r="B41" s="36" t="s">
        <v>16</v>
      </c>
      <c r="C41" s="37" t="s">
        <v>18</v>
      </c>
      <c r="D41" s="37">
        <v>2016</v>
      </c>
      <c r="E41" s="37">
        <v>2017</v>
      </c>
      <c r="F41" s="37">
        <v>2018</v>
      </c>
      <c r="G41" s="37">
        <v>2019</v>
      </c>
      <c r="H41" s="37">
        <v>2020</v>
      </c>
      <c r="I41" s="37">
        <v>2021</v>
      </c>
      <c r="J41" s="37">
        <v>2022</v>
      </c>
      <c r="K41" s="37">
        <v>2023</v>
      </c>
      <c r="L41" s="37">
        <v>2024</v>
      </c>
      <c r="M41" s="38">
        <v>2025</v>
      </c>
    </row>
    <row r="42" spans="2:13" ht="20">
      <c r="B42" s="40" t="s">
        <v>307</v>
      </c>
      <c r="C42" t="s">
        <v>34</v>
      </c>
      <c r="D42" s="28">
        <v>48.1</v>
      </c>
      <c r="E42" s="28">
        <v>52.8</v>
      </c>
      <c r="F42" s="28">
        <v>63</v>
      </c>
      <c r="G42" s="28">
        <v>71</v>
      </c>
      <c r="H42" s="28">
        <v>72.900000000000006</v>
      </c>
      <c r="I42" s="28" t="s">
        <v>29</v>
      </c>
      <c r="J42" s="28" t="s">
        <v>29</v>
      </c>
      <c r="K42" s="28" t="s">
        <v>29</v>
      </c>
      <c r="L42" s="28" t="s">
        <v>29</v>
      </c>
      <c r="M42" s="32" t="s">
        <v>29</v>
      </c>
    </row>
    <row r="43" spans="2:13" ht="20">
      <c r="B43" s="40" t="s">
        <v>308</v>
      </c>
      <c r="C43" t="s">
        <v>34</v>
      </c>
      <c r="D43" s="28">
        <f>(SLOPE($D$42:$H$42,$D$41:$H$41)*D41)+INTERCEPT($D$42:$H$42,$D$41:$H$41)</f>
        <v>48</v>
      </c>
      <c r="E43" s="28">
        <f t="shared" ref="E43:M43" si="4">(SLOPE($D$42:$H$42,$D$41:$H$41)*E41)+INTERCEPT($D$42:$H$42,$D$41:$H$41)</f>
        <v>54.779999999998836</v>
      </c>
      <c r="F43" s="28">
        <f t="shared" si="4"/>
        <v>61.559999999999491</v>
      </c>
      <c r="G43" s="28">
        <f t="shared" si="4"/>
        <v>68.339999999998327</v>
      </c>
      <c r="H43" s="28">
        <f t="shared" si="4"/>
        <v>75.119999999998981</v>
      </c>
      <c r="I43" s="28">
        <f t="shared" si="4"/>
        <v>81.899999999999636</v>
      </c>
      <c r="J43" s="28">
        <f t="shared" si="4"/>
        <v>88.679999999998472</v>
      </c>
      <c r="K43" s="28">
        <f t="shared" si="4"/>
        <v>95.459999999999127</v>
      </c>
      <c r="L43" s="28">
        <f t="shared" si="4"/>
        <v>102.23999999999978</v>
      </c>
      <c r="M43" s="32">
        <f t="shared" si="4"/>
        <v>109.01999999999862</v>
      </c>
    </row>
    <row r="44" spans="2:13" ht="17">
      <c r="B44" s="43" t="s">
        <v>310</v>
      </c>
      <c r="C44" s="15" t="s">
        <v>34</v>
      </c>
      <c r="D44" s="29" t="s">
        <v>29</v>
      </c>
      <c r="E44" s="29" t="s">
        <v>29</v>
      </c>
      <c r="F44" s="29" t="s">
        <v>29</v>
      </c>
      <c r="G44" s="29" t="s">
        <v>29</v>
      </c>
      <c r="H44" s="29" t="s">
        <v>29</v>
      </c>
      <c r="I44" s="29">
        <f>I43</f>
        <v>81.899999999999636</v>
      </c>
      <c r="J44" s="29">
        <f t="shared" ref="J44:M44" si="5">J43</f>
        <v>88.679999999998472</v>
      </c>
      <c r="K44" s="29">
        <f t="shared" si="5"/>
        <v>95.459999999999127</v>
      </c>
      <c r="L44" s="29">
        <f t="shared" si="5"/>
        <v>102.23999999999978</v>
      </c>
      <c r="M44" s="30">
        <f t="shared" si="5"/>
        <v>109.01999999999862</v>
      </c>
    </row>
    <row r="45" spans="2:13">
      <c r="B45" s="111" t="s">
        <v>422</v>
      </c>
      <c r="D45" s="28"/>
      <c r="E45" s="28"/>
      <c r="F45" s="28"/>
      <c r="G45" s="28"/>
      <c r="H45" s="28"/>
    </row>
    <row r="46" spans="2:13">
      <c r="B46" s="111" t="s">
        <v>423</v>
      </c>
      <c r="D46" s="28"/>
      <c r="E46" s="28"/>
      <c r="F46" s="28"/>
      <c r="G46" s="28"/>
      <c r="H46" s="28"/>
    </row>
    <row r="48" spans="2:13" ht="19">
      <c r="B48" s="18" t="s">
        <v>209</v>
      </c>
      <c r="C48" s="16"/>
      <c r="D48" s="16"/>
      <c r="E48" s="16"/>
      <c r="F48" s="16"/>
      <c r="G48" s="16"/>
      <c r="H48" s="16"/>
    </row>
    <row r="50" spans="2:11" ht="18" customHeight="1">
      <c r="B50" s="119" t="s">
        <v>425</v>
      </c>
      <c r="C50" s="22"/>
      <c r="D50" s="22"/>
      <c r="E50" s="22"/>
      <c r="F50" s="22"/>
      <c r="G50" s="22"/>
      <c r="H50" s="22"/>
      <c r="I50" s="22"/>
    </row>
    <row r="51" spans="2:11">
      <c r="B51" s="36" t="s">
        <v>172</v>
      </c>
      <c r="C51" s="37" t="s">
        <v>18</v>
      </c>
      <c r="D51" s="37" t="s">
        <v>174</v>
      </c>
      <c r="E51" s="37">
        <v>2021</v>
      </c>
      <c r="F51" s="37">
        <v>2022</v>
      </c>
      <c r="G51" s="37">
        <v>2023</v>
      </c>
      <c r="H51" s="37">
        <v>2024</v>
      </c>
      <c r="I51" s="38">
        <v>2025</v>
      </c>
    </row>
    <row r="52" spans="2:11" ht="20">
      <c r="B52" s="40" t="s">
        <v>414</v>
      </c>
      <c r="C52" t="s">
        <v>34</v>
      </c>
      <c r="D52" s="28" t="s">
        <v>415</v>
      </c>
      <c r="E52" s="67">
        <f>_xlfn.XLOOKUP(_xlfn.CONCAT(_xlfn.TEXTSPLIT($D52,".")), 'S1. USITC Imports'!$B:$B,'S1. USITC Imports'!$J:$J)*_xlfn.XLOOKUP(_xlfn.CONCAT(_xlfn.TEXTSPLIT($D52,".")), 'S1. USITC Imports'!$B:$B,'S1. USITC Imports'!E:E)</f>
        <v>44.531211999999996</v>
      </c>
      <c r="F52" s="67">
        <f>_xlfn.XLOOKUP(_xlfn.CONCAT(_xlfn.TEXTSPLIT($D52,".")), 'S1. USITC Imports'!$B:$B,'S1. USITC Imports'!$J:$J)*_xlfn.XLOOKUP(_xlfn.CONCAT(_xlfn.TEXTSPLIT($D52,".")), 'S1. USITC Imports'!$B:$B,'S1. USITC Imports'!F:F)</f>
        <v>31.059237</v>
      </c>
      <c r="G52" s="67">
        <f>_xlfn.XLOOKUP(_xlfn.CONCAT(_xlfn.TEXTSPLIT($D52,".")), 'S1. USITC Imports'!$B:$B,'S1. USITC Imports'!$J:$J)*_xlfn.XLOOKUP(_xlfn.CONCAT(_xlfn.TEXTSPLIT($D52,".")), 'S1. USITC Imports'!$B:$B,'S1. USITC Imports'!G:G)</f>
        <v>26.138337</v>
      </c>
      <c r="H52" s="67">
        <f>_xlfn.XLOOKUP(_xlfn.CONCAT(_xlfn.TEXTSPLIT($D52,".")), 'S1. USITC Imports'!$B:$B,'S1. USITC Imports'!$J:$J)*_xlfn.XLOOKUP(_xlfn.CONCAT(_xlfn.TEXTSPLIT($D52,".")), 'S1. USITC Imports'!$B:$B,'S1. USITC Imports'!H:H)</f>
        <v>36.880120999999995</v>
      </c>
      <c r="I52" s="68">
        <f>_xlfn.XLOOKUP(_xlfn.CONCAT(_xlfn.TEXTSPLIT($D52,".")), 'S1. USITC Imports'!$B:$B,'S1. USITC Imports'!$J:$J)*_xlfn.XLOOKUP(_xlfn.CONCAT(_xlfn.TEXTSPLIT($D52,".")), 'S1. USITC Imports'!$B:$B,'S1. USITC Imports'!I:I)</f>
        <v>39.877142999999997</v>
      </c>
    </row>
    <row r="53" spans="2:11" ht="20">
      <c r="B53" s="40" t="s">
        <v>416</v>
      </c>
      <c r="C53" t="s">
        <v>34</v>
      </c>
      <c r="D53" s="28" t="s">
        <v>417</v>
      </c>
      <c r="E53" s="67">
        <f>_xlfn.XLOOKUP(_xlfn.CONCAT(_xlfn.TEXTSPLIT($D53,".")), 'S1. USITC Imports'!$B:$B,'S1. USITC Imports'!$J:$J)*_xlfn.XLOOKUP(_xlfn.CONCAT(_xlfn.TEXTSPLIT($D53,".")), 'S1. USITC Imports'!$B:$B,'S1. USITC Imports'!E:E)</f>
        <v>2.7273429999999999</v>
      </c>
      <c r="F53" s="67">
        <f>_xlfn.XLOOKUP(_xlfn.CONCAT(_xlfn.TEXTSPLIT($D53,".")), 'S1. USITC Imports'!$B:$B,'S1. USITC Imports'!$J:$J)*_xlfn.XLOOKUP(_xlfn.CONCAT(_xlfn.TEXTSPLIT($D53,".")), 'S1. USITC Imports'!$B:$B,'S1. USITC Imports'!F:F)</f>
        <v>7.4812849999999997</v>
      </c>
      <c r="G53" s="67">
        <f>_xlfn.XLOOKUP(_xlfn.CONCAT(_xlfn.TEXTSPLIT($D53,".")), 'S1. USITC Imports'!$B:$B,'S1. USITC Imports'!$J:$J)*_xlfn.XLOOKUP(_xlfn.CONCAT(_xlfn.TEXTSPLIT($D53,".")), 'S1. USITC Imports'!$B:$B,'S1. USITC Imports'!G:G)</f>
        <v>0.66135899999999992</v>
      </c>
      <c r="H53" s="67">
        <f>_xlfn.XLOOKUP(_xlfn.CONCAT(_xlfn.TEXTSPLIT($D53,".")), 'S1. USITC Imports'!$B:$B,'S1. USITC Imports'!$J:$J)*_xlfn.XLOOKUP(_xlfn.CONCAT(_xlfn.TEXTSPLIT($D53,".")), 'S1. USITC Imports'!$B:$B,'S1. USITC Imports'!H:H)</f>
        <v>8.8414819999999992</v>
      </c>
      <c r="I53" s="68">
        <f>_xlfn.XLOOKUP(_xlfn.CONCAT(_xlfn.TEXTSPLIT($D53,".")), 'S1. USITC Imports'!$B:$B,'S1. USITC Imports'!$J:$J)*_xlfn.XLOOKUP(_xlfn.CONCAT(_xlfn.TEXTSPLIT($D53,".")), 'S1. USITC Imports'!$B:$B,'S1. USITC Imports'!I:I)</f>
        <v>2.1307529999999999</v>
      </c>
    </row>
    <row r="54" spans="2:11" ht="20">
      <c r="B54" s="40" t="s">
        <v>418</v>
      </c>
      <c r="C54" t="s">
        <v>34</v>
      </c>
      <c r="D54" s="28" t="s">
        <v>419</v>
      </c>
      <c r="E54" s="67">
        <f>_xlfn.XLOOKUP(_xlfn.CONCAT(_xlfn.TEXTSPLIT($D54,".")), 'S1. USITC Imports'!$B:$B,'S1. USITC Imports'!$J:$J)*_xlfn.XLOOKUP(_xlfn.CONCAT(_xlfn.TEXTSPLIT($D54,".")), 'S1. USITC Imports'!$B:$B,'S1. USITC Imports'!E:E)</f>
        <v>0.91383899999999996</v>
      </c>
      <c r="F54" s="67">
        <f>_xlfn.XLOOKUP(_xlfn.CONCAT(_xlfn.TEXTSPLIT($D54,".")), 'S1. USITC Imports'!$B:$B,'S1. USITC Imports'!$J:$J)*_xlfn.XLOOKUP(_xlfn.CONCAT(_xlfn.TEXTSPLIT($D54,".")), 'S1. USITC Imports'!$B:$B,'S1. USITC Imports'!F:F)</f>
        <v>0.61187999999999998</v>
      </c>
      <c r="G54" s="67">
        <f>_xlfn.XLOOKUP(_xlfn.CONCAT(_xlfn.TEXTSPLIT($D54,".")), 'S1. USITC Imports'!$B:$B,'S1. USITC Imports'!$J:$J)*_xlfn.XLOOKUP(_xlfn.CONCAT(_xlfn.TEXTSPLIT($D54,".")), 'S1. USITC Imports'!$B:$B,'S1. USITC Imports'!G:G)</f>
        <v>0.82557499999999995</v>
      </c>
      <c r="H54" s="67">
        <f>_xlfn.XLOOKUP(_xlfn.CONCAT(_xlfn.TEXTSPLIT($D54,".")), 'S1. USITC Imports'!$B:$B,'S1. USITC Imports'!$J:$J)*_xlfn.XLOOKUP(_xlfn.CONCAT(_xlfn.TEXTSPLIT($D54,".")), 'S1. USITC Imports'!$B:$B,'S1. USITC Imports'!H:H)</f>
        <v>0.87350699999999992</v>
      </c>
      <c r="I54" s="68">
        <f>_xlfn.XLOOKUP(_xlfn.CONCAT(_xlfn.TEXTSPLIT($D54,".")), 'S1. USITC Imports'!$B:$B,'S1. USITC Imports'!$J:$J)*_xlfn.XLOOKUP(_xlfn.CONCAT(_xlfn.TEXTSPLIT($D54,".")), 'S1. USITC Imports'!$B:$B,'S1. USITC Imports'!I:I)</f>
        <v>2.3246850000000001</v>
      </c>
    </row>
    <row r="55" spans="2:11" ht="17">
      <c r="B55" s="43" t="s">
        <v>197</v>
      </c>
      <c r="C55" s="15" t="s">
        <v>34</v>
      </c>
      <c r="D55" s="29" t="s">
        <v>29</v>
      </c>
      <c r="E55" s="69">
        <f>SUM(E52:E54)</f>
        <v>48.172393999999997</v>
      </c>
      <c r="F55" s="69">
        <f t="shared" ref="F55:I55" si="6">SUM(F52:F54)</f>
        <v>39.152401999999995</v>
      </c>
      <c r="G55" s="69">
        <f t="shared" si="6"/>
        <v>27.625271000000001</v>
      </c>
      <c r="H55" s="69">
        <f t="shared" si="6"/>
        <v>46.595109999999991</v>
      </c>
      <c r="I55" s="70">
        <f t="shared" si="6"/>
        <v>44.332580999999998</v>
      </c>
    </row>
    <row r="56" spans="2:11">
      <c r="B56" s="33" t="s">
        <v>183</v>
      </c>
      <c r="D56" s="28"/>
      <c r="E56" s="67"/>
      <c r="F56" s="67"/>
      <c r="G56" s="67"/>
      <c r="H56" s="67"/>
      <c r="I56" s="67"/>
    </row>
    <row r="58" spans="2:11">
      <c r="B58" s="119" t="s">
        <v>426</v>
      </c>
      <c r="C58" s="22"/>
      <c r="D58" s="22"/>
      <c r="E58" s="22"/>
      <c r="F58" s="22"/>
      <c r="G58" s="22"/>
      <c r="H58" s="22"/>
      <c r="I58" s="22"/>
    </row>
    <row r="59" spans="2:11">
      <c r="B59" s="36" t="s">
        <v>172</v>
      </c>
      <c r="C59" s="37" t="s">
        <v>18</v>
      </c>
      <c r="D59" s="37" t="s">
        <v>174</v>
      </c>
      <c r="E59" s="37">
        <v>2021</v>
      </c>
      <c r="F59" s="37">
        <v>2022</v>
      </c>
      <c r="G59" s="37">
        <v>2023</v>
      </c>
      <c r="H59" s="37">
        <v>2024</v>
      </c>
      <c r="I59" s="38">
        <v>2025</v>
      </c>
    </row>
    <row r="60" spans="2:11" ht="20">
      <c r="B60" s="40" t="s">
        <v>414</v>
      </c>
      <c r="C60" t="s">
        <v>34</v>
      </c>
      <c r="D60" s="28" t="s">
        <v>415</v>
      </c>
      <c r="E60" s="67">
        <f>_xlfn.XLOOKUP(_xlfn.CONCAT(_xlfn.TEXTSPLIT($D60,".")), 'S2. USITC Exports'!$B:$B,'S2. USITC Exports'!$J:$J)*_xlfn.XLOOKUP(_xlfn.CONCAT(_xlfn.TEXTSPLIT($D60,".")), 'S2. USITC Exports'!$B:$B,'S2. USITC Exports'!E:E)</f>
        <v>14.203935999999999</v>
      </c>
      <c r="F60" s="67">
        <f>_xlfn.XLOOKUP(_xlfn.CONCAT(_xlfn.TEXTSPLIT($D60,".")), 'S2. USITC Exports'!$B:$B,'S2. USITC Exports'!$J:$J)*_xlfn.XLOOKUP(_xlfn.CONCAT(_xlfn.TEXTSPLIT($D60,".")), 'S2. USITC Exports'!$B:$B,'S2. USITC Exports'!F:F)</f>
        <v>15.135330999999999</v>
      </c>
      <c r="G60" s="67">
        <f>_xlfn.XLOOKUP(_xlfn.CONCAT(_xlfn.TEXTSPLIT($D60,".")), 'S2. USITC Exports'!$B:$B,'S2. USITC Exports'!$J:$J)*_xlfn.XLOOKUP(_xlfn.CONCAT(_xlfn.TEXTSPLIT($D60,".")), 'S2. USITC Exports'!$B:$B,'S2. USITC Exports'!G:G)</f>
        <v>13.639578</v>
      </c>
      <c r="H60" s="67">
        <f>_xlfn.XLOOKUP(_xlfn.CONCAT(_xlfn.TEXTSPLIT($D60,".")), 'S2. USITC Exports'!$B:$B,'S2. USITC Exports'!$J:$J)*_xlfn.XLOOKUP(_xlfn.CONCAT(_xlfn.TEXTSPLIT($D60,".")), 'S2. USITC Exports'!$B:$B,'S2. USITC Exports'!H:H)</f>
        <v>12.844322999999999</v>
      </c>
      <c r="I60" s="68">
        <f>_xlfn.XLOOKUP(_xlfn.CONCAT(_xlfn.TEXTSPLIT($D60,".")), 'S2. USITC Exports'!$B:$B,'S2. USITC Exports'!$J:$J)*_xlfn.XLOOKUP(_xlfn.CONCAT(_xlfn.TEXTSPLIT($D60,".")), 'S2. USITC Exports'!$B:$B,'S2. USITC Exports'!I:I)</f>
        <v>10.581756</v>
      </c>
    </row>
    <row r="61" spans="2:11" ht="37">
      <c r="B61" s="40" t="s">
        <v>420</v>
      </c>
      <c r="C61" t="s">
        <v>34</v>
      </c>
      <c r="D61" s="28" t="s">
        <v>421</v>
      </c>
      <c r="E61" s="126">
        <f>_xlfn.XLOOKUP(_xlfn.CONCAT(_xlfn.TEXTSPLIT($D61,".")), 'S2. USITC Exports'!$B:$B,'S2. USITC Exports'!$J:$J)*_xlfn.XLOOKUP(_xlfn.CONCAT(_xlfn.TEXTSPLIT($D61,".")), 'S2. USITC Exports'!$B:$B,'S2. USITC Exports'!E:E)</f>
        <v>0.16838999999999998</v>
      </c>
      <c r="F61" s="126">
        <f>_xlfn.XLOOKUP(_xlfn.CONCAT(_xlfn.TEXTSPLIT($D61,".")), 'S2. USITC Exports'!$B:$B,'S2. USITC Exports'!$J:$J)*_xlfn.XLOOKUP(_xlfn.CONCAT(_xlfn.TEXTSPLIT($D61,".")), 'S2. USITC Exports'!$B:$B,'S2. USITC Exports'!F:F)</f>
        <v>0.20805599999999999</v>
      </c>
      <c r="G61" s="126">
        <f>_xlfn.XLOOKUP(_xlfn.CONCAT(_xlfn.TEXTSPLIT($D61,".")), 'S2. USITC Exports'!$B:$B,'S2. USITC Exports'!$J:$J)*_xlfn.XLOOKUP(_xlfn.CONCAT(_xlfn.TEXTSPLIT($D61,".")), 'S2. USITC Exports'!$B:$B,'S2. USITC Exports'!G:G)</f>
        <v>0.36809500000000001</v>
      </c>
      <c r="H61" s="126">
        <f>_xlfn.XLOOKUP(_xlfn.CONCAT(_xlfn.TEXTSPLIT($D61,".")), 'S2. USITC Exports'!$B:$B,'S2. USITC Exports'!$J:$J)*_xlfn.XLOOKUP(_xlfn.CONCAT(_xlfn.TEXTSPLIT($D61,".")), 'S2. USITC Exports'!$B:$B,'S2. USITC Exports'!H:H)</f>
        <v>0.15263299999999999</v>
      </c>
      <c r="I61" s="127">
        <f>_xlfn.XLOOKUP(_xlfn.CONCAT(_xlfn.TEXTSPLIT($D61,".")), 'S2. USITC Exports'!$B:$B,'S2. USITC Exports'!$J:$J)*_xlfn.XLOOKUP(_xlfn.CONCAT(_xlfn.TEXTSPLIT($D61,".")), 'S2. USITC Exports'!$B:$B,'S2. USITC Exports'!I:I)</f>
        <v>9.5707E-2</v>
      </c>
    </row>
    <row r="62" spans="2:11" ht="17">
      <c r="B62" s="43" t="s">
        <v>197</v>
      </c>
      <c r="C62" s="15" t="s">
        <v>34</v>
      </c>
      <c r="D62" s="29" t="s">
        <v>29</v>
      </c>
      <c r="E62" s="69">
        <f>SUM(E60:E61)</f>
        <v>14.372325999999999</v>
      </c>
      <c r="F62" s="69">
        <f t="shared" ref="F62:I62" si="7">SUM(F60:F61)</f>
        <v>15.343386999999998</v>
      </c>
      <c r="G62" s="69">
        <f t="shared" si="7"/>
        <v>14.007673</v>
      </c>
      <c r="H62" s="69">
        <f t="shared" si="7"/>
        <v>12.996955999999999</v>
      </c>
      <c r="I62" s="70">
        <f t="shared" si="7"/>
        <v>10.677463000000001</v>
      </c>
      <c r="K62" s="39"/>
    </row>
    <row r="63" spans="2:11">
      <c r="B63" s="62" t="s">
        <v>214</v>
      </c>
      <c r="E63" s="28"/>
      <c r="F63" s="28"/>
      <c r="G63" s="28"/>
      <c r="H63" s="28"/>
      <c r="I63" s="28"/>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7" spans="1:26" ht="24">
      <c r="B67" s="3" t="s">
        <v>17</v>
      </c>
    </row>
    <row r="68" spans="1:26">
      <c r="B68" s="4" t="s">
        <v>16</v>
      </c>
      <c r="C68" s="11" t="s">
        <v>18</v>
      </c>
      <c r="D68" s="37" t="s">
        <v>174</v>
      </c>
      <c r="E68" s="11">
        <v>2021</v>
      </c>
      <c r="F68" s="11">
        <v>2022</v>
      </c>
      <c r="G68" s="11">
        <v>2023</v>
      </c>
      <c r="H68" s="11">
        <v>2024</v>
      </c>
      <c r="I68" s="12">
        <v>2025</v>
      </c>
    </row>
    <row r="69" spans="1:26" ht="20">
      <c r="B69" s="31" t="s">
        <v>427</v>
      </c>
      <c r="C69" s="17" t="s">
        <v>323</v>
      </c>
      <c r="D69" s="28" t="s">
        <v>415</v>
      </c>
      <c r="E69" s="67">
        <f>_xlfn.XLOOKUP(_xlfn.CONCAT(_xlfn.TEXTSPLIT($D69,".")), 'S3. USITC FAS Value'!$B:$B,'S3. USITC FAS Value'!E:E)</f>
        <v>9553018</v>
      </c>
      <c r="F69" s="67">
        <f>_xlfn.XLOOKUP(_xlfn.CONCAT(_xlfn.TEXTSPLIT($D69,".")), 'S3. USITC FAS Value'!$B:$B,'S3. USITC FAS Value'!F:F)</f>
        <v>10044505</v>
      </c>
      <c r="G69" s="67">
        <f>_xlfn.XLOOKUP(_xlfn.CONCAT(_xlfn.TEXTSPLIT($D69,".")), 'S3. USITC FAS Value'!$B:$B,'S3. USITC FAS Value'!G:G)</f>
        <v>8952369</v>
      </c>
      <c r="H69" s="67">
        <f>_xlfn.XLOOKUP(_xlfn.CONCAT(_xlfn.TEXTSPLIT($D69,".")), 'S3. USITC FAS Value'!$B:$B,'S3. USITC FAS Value'!H:H)</f>
        <v>9018796</v>
      </c>
      <c r="I69" s="68">
        <f>_xlfn.XLOOKUP(_xlfn.CONCAT(_xlfn.TEXTSPLIT($D69,".")), 'S3. USITC FAS Value'!$B:$B,'S3. USITC FAS Value'!I:I)</f>
        <v>8055095</v>
      </c>
    </row>
    <row r="70" spans="1:26" ht="20">
      <c r="B70" s="31" t="s">
        <v>428</v>
      </c>
      <c r="C70" t="s">
        <v>326</v>
      </c>
      <c r="D70" s="28" t="s">
        <v>415</v>
      </c>
      <c r="E70" s="28">
        <f>E60*1000</f>
        <v>14203.935999999998</v>
      </c>
      <c r="F70" s="28">
        <f t="shared" ref="F70:I70" si="8">F60*1000</f>
        <v>15135.330999999998</v>
      </c>
      <c r="G70" s="28">
        <f t="shared" si="8"/>
        <v>13639.578</v>
      </c>
      <c r="H70" s="28">
        <f t="shared" si="8"/>
        <v>12844.322999999999</v>
      </c>
      <c r="I70" s="32">
        <f t="shared" si="8"/>
        <v>10581.756000000001</v>
      </c>
    </row>
    <row r="71" spans="1:26" ht="34">
      <c r="B71" s="23" t="s">
        <v>327</v>
      </c>
      <c r="C71" s="15" t="s">
        <v>33</v>
      </c>
      <c r="D71" s="15" t="s">
        <v>29</v>
      </c>
      <c r="E71" s="52">
        <f>E69/E70</f>
        <v>672.56132384713658</v>
      </c>
      <c r="F71" s="52">
        <f t="shared" ref="F71:I71" si="9">F69/F70</f>
        <v>663.64620634989751</v>
      </c>
      <c r="G71" s="52">
        <f t="shared" si="9"/>
        <v>656.35234462532492</v>
      </c>
      <c r="H71" s="52">
        <f t="shared" si="9"/>
        <v>702.16203687808229</v>
      </c>
      <c r="I71" s="53">
        <f t="shared" si="9"/>
        <v>761.22479104602291</v>
      </c>
    </row>
    <row r="72" spans="1:26">
      <c r="B72" s="33" t="s">
        <v>214</v>
      </c>
    </row>
    <row r="73" spans="1:26" ht="16" customHeight="1">
      <c r="B73" s="24" t="s">
        <v>325</v>
      </c>
    </row>
    <row r="74" spans="1:26">
      <c r="B74" t="s">
        <v>429</v>
      </c>
    </row>
  </sheetData>
  <mergeCells count="2">
    <mergeCell ref="G14:K19"/>
    <mergeCell ref="B38:H38"/>
  </mergeCells>
  <hyperlinks>
    <hyperlink ref="B56" r:id="rId1" xr:uid="{26451086-63A2-E64F-B55C-1E261736F8E0}"/>
    <hyperlink ref="C7" r:id="rId2" xr:uid="{F4337D91-E165-1041-8C8E-34830F1F5543}"/>
    <hyperlink ref="B20" r:id="rId3" xr:uid="{60D3D617-B8B1-E14C-8262-CEA312B5E736}"/>
    <hyperlink ref="B45" r:id="rId4" display="(1) Source: USGS Minerals Yearbook 2023, Magnesium Compounds" xr:uid="{AB52C097-F096-1D44-932C-55B00B7022EC}"/>
    <hyperlink ref="B72" r:id="rId5" display="(1) Source: USITC DataWeb, Imports for Consumption" xr:uid="{DE609635-31F1-FC4D-86C9-58CA4D6D14D6}"/>
    <hyperlink ref="B63" r:id="rId6" display="(1) Source: USITC DataWeb, Imports for Consumption" xr:uid="{FBC6F54A-D301-8D46-8F12-B33D09BDFAD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15AF-C8AE-644E-9373-CA6A70FC3653}">
  <dimension ref="A1:Z37"/>
  <sheetViews>
    <sheetView tabSelected="1" workbookViewId="0">
      <selection activeCell="D39" sqref="D3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531</v>
      </c>
    </row>
    <row r="3" spans="1:26" ht="16" customHeight="1">
      <c r="B3" t="s">
        <v>145</v>
      </c>
    </row>
    <row r="5" spans="1:26" ht="24">
      <c r="B5" s="3" t="s">
        <v>0</v>
      </c>
    </row>
    <row r="6" spans="1:26">
      <c r="B6" s="4" t="s">
        <v>1</v>
      </c>
      <c r="C6" s="5" t="s">
        <v>532</v>
      </c>
    </row>
    <row r="7" spans="1:26">
      <c r="B7" s="6" t="s">
        <v>2</v>
      </c>
      <c r="C7" s="7" t="s">
        <v>533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row>
    <row r="15" spans="1:26">
      <c r="B15" s="13" t="s">
        <v>57</v>
      </c>
      <c r="C15" t="s">
        <v>534</v>
      </c>
      <c r="E15" s="26">
        <v>0.42</v>
      </c>
    </row>
    <row r="16" spans="1:26">
      <c r="B16" s="13" t="s">
        <v>515</v>
      </c>
      <c r="C16" t="s">
        <v>535</v>
      </c>
      <c r="E16" s="26">
        <v>0.37</v>
      </c>
    </row>
    <row r="17" spans="1:26">
      <c r="B17" s="14" t="s">
        <v>67</v>
      </c>
      <c r="C17" s="15" t="s">
        <v>536</v>
      </c>
      <c r="D17" s="15"/>
      <c r="E17" s="27">
        <v>0.21</v>
      </c>
    </row>
    <row r="18" spans="1:26">
      <c r="B18" s="21" t="s">
        <v>537</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586</v>
      </c>
    </row>
    <row r="24" spans="1:26">
      <c r="B24" s="4" t="s">
        <v>16</v>
      </c>
      <c r="C24" s="11" t="s">
        <v>18</v>
      </c>
      <c r="D24" s="11">
        <v>2021</v>
      </c>
      <c r="E24" s="11">
        <v>2022</v>
      </c>
      <c r="F24" s="11">
        <v>2023</v>
      </c>
      <c r="G24" s="11">
        <v>2024</v>
      </c>
      <c r="H24" s="12">
        <v>2025</v>
      </c>
    </row>
    <row r="25" spans="1:26" ht="20">
      <c r="B25" s="23" t="s">
        <v>47</v>
      </c>
      <c r="C25" s="15" t="s">
        <v>34</v>
      </c>
      <c r="D25" s="29">
        <v>63400</v>
      </c>
      <c r="E25" s="29">
        <v>62300</v>
      </c>
      <c r="F25" s="29">
        <v>53200</v>
      </c>
      <c r="G25" s="29">
        <v>51300</v>
      </c>
      <c r="H25" s="30">
        <v>57000</v>
      </c>
    </row>
    <row r="26" spans="1:26">
      <c r="B26" s="21" t="s">
        <v>537</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17</v>
      </c>
    </row>
    <row r="31" spans="1:26">
      <c r="B31" s="4" t="s">
        <v>16</v>
      </c>
      <c r="C31" s="11" t="s">
        <v>18</v>
      </c>
      <c r="D31" s="37" t="s">
        <v>174</v>
      </c>
      <c r="E31" s="11">
        <v>2021</v>
      </c>
      <c r="F31" s="11">
        <v>2022</v>
      </c>
      <c r="G31" s="11">
        <v>2023</v>
      </c>
      <c r="H31" s="11">
        <v>2024</v>
      </c>
      <c r="I31" s="12">
        <v>2025</v>
      </c>
    </row>
    <row r="32" spans="1:26" ht="20">
      <c r="B32" s="31" t="s">
        <v>322</v>
      </c>
      <c r="C32" s="17" t="s">
        <v>323</v>
      </c>
      <c r="D32" s="28" t="s">
        <v>540</v>
      </c>
      <c r="E32" s="67">
        <f>_xlfn.XLOOKUP(_xlfn.CONCAT(_xlfn.TEXTSPLIT($D32,".")), 'S3. USITC FAS Value'!$B:$B,'S3. USITC FAS Value'!E:E)</f>
        <v>206922349</v>
      </c>
      <c r="F32" s="67">
        <f>_xlfn.XLOOKUP(_xlfn.CONCAT(_xlfn.TEXTSPLIT($D32,".")), 'S3. USITC FAS Value'!$B:$B,'S3. USITC FAS Value'!F:F)</f>
        <v>206013111</v>
      </c>
      <c r="G32" s="67">
        <f>_xlfn.XLOOKUP(_xlfn.CONCAT(_xlfn.TEXTSPLIT($D32,".")), 'S3. USITC FAS Value'!$B:$B,'S3. USITC FAS Value'!G:G)</f>
        <v>258942576</v>
      </c>
      <c r="H32" s="67">
        <f>_xlfn.XLOOKUP(_xlfn.CONCAT(_xlfn.TEXTSPLIT($D32,".")), 'S3. USITC FAS Value'!$B:$B,'S3. USITC FAS Value'!H:H)</f>
        <v>259216789</v>
      </c>
      <c r="I32" s="68">
        <f>_xlfn.XLOOKUP(_xlfn.CONCAT(_xlfn.TEXTSPLIT($D32,".")), 'S3. USITC FAS Value'!$B:$B,'S3. USITC FAS Value'!I:I)</f>
        <v>233434303</v>
      </c>
    </row>
    <row r="33" spans="2:9" ht="20">
      <c r="B33" s="31" t="s">
        <v>511</v>
      </c>
      <c r="C33" t="s">
        <v>326</v>
      </c>
      <c r="D33" s="28" t="s">
        <v>540</v>
      </c>
      <c r="E33" s="67">
        <f>1000*_xlfn.XLOOKUP(_xlfn.CONCAT(_xlfn.TEXTSPLIT($D33,".")), 'S2. USITC Exports'!$B:$B,'S2. USITC Exports'!$J:$J)*_xlfn.XLOOKUP(_xlfn.CONCAT(_xlfn.TEXTSPLIT($D33,".")), 'S2. USITC Exports'!$B:$B,'S2. USITC Exports'!E:E)</f>
        <v>1038492</v>
      </c>
      <c r="F33" s="67">
        <f>1000*_xlfn.XLOOKUP(_xlfn.CONCAT(_xlfn.TEXTSPLIT($D33,".")), 'S2. USITC Exports'!$B:$B,'S2. USITC Exports'!$J:$J)*_xlfn.XLOOKUP(_xlfn.CONCAT(_xlfn.TEXTSPLIT($D33,".")), 'S2. USITC Exports'!$B:$B,'S2. USITC Exports'!F:F)</f>
        <v>927726</v>
      </c>
      <c r="G33" s="67">
        <f>1000*_xlfn.XLOOKUP(_xlfn.CONCAT(_xlfn.TEXTSPLIT($D33,".")), 'S2. USITC Exports'!$B:$B,'S2. USITC Exports'!$J:$J)*_xlfn.XLOOKUP(_xlfn.CONCAT(_xlfn.TEXTSPLIT($D33,".")), 'S2. USITC Exports'!$B:$B,'S2. USITC Exports'!G:G)</f>
        <v>2321754</v>
      </c>
      <c r="H33" s="67">
        <f>1000*_xlfn.XLOOKUP(_xlfn.CONCAT(_xlfn.TEXTSPLIT($D33,".")), 'S2. USITC Exports'!$B:$B,'S2. USITC Exports'!$J:$J)*_xlfn.XLOOKUP(_xlfn.CONCAT(_xlfn.TEXTSPLIT($D33,".")), 'S2. USITC Exports'!$B:$B,'S2. USITC Exports'!H:H)</f>
        <v>2177298</v>
      </c>
      <c r="I33" s="68">
        <f>1000*_xlfn.XLOOKUP(_xlfn.CONCAT(_xlfn.TEXTSPLIT($D33,".")), 'S2. USITC Exports'!$B:$B,'S2. USITC Exports'!$J:$J)*_xlfn.XLOOKUP(_xlfn.CONCAT(_xlfn.TEXTSPLIT($D33,".")), 'S2. USITC Exports'!$B:$B,'S2. USITC Exports'!I:I)</f>
        <v>1832586</v>
      </c>
    </row>
    <row r="34" spans="2:9" ht="34">
      <c r="B34" s="23" t="s">
        <v>327</v>
      </c>
      <c r="C34" s="15" t="s">
        <v>33</v>
      </c>
      <c r="D34" s="15" t="s">
        <v>29</v>
      </c>
      <c r="E34" s="29">
        <f>E32/E33</f>
        <v>199.25271355003215</v>
      </c>
      <c r="F34" s="29">
        <f t="shared" ref="F34:I34" si="0">F32/F33</f>
        <v>222.06245270694149</v>
      </c>
      <c r="G34" s="29">
        <f t="shared" si="0"/>
        <v>111.52885964662923</v>
      </c>
      <c r="H34" s="29">
        <f t="shared" si="0"/>
        <v>119.05434579924291</v>
      </c>
      <c r="I34" s="30">
        <f t="shared" si="0"/>
        <v>127.37972624477105</v>
      </c>
    </row>
    <row r="35" spans="2:9">
      <c r="B35" s="33" t="s">
        <v>214</v>
      </c>
    </row>
    <row r="37" spans="2:9">
      <c r="B37" s="132"/>
    </row>
  </sheetData>
  <hyperlinks>
    <hyperlink ref="C7" r:id="rId1" xr:uid="{21C4BFA9-3F04-F847-9116-3EAAA04B2737}"/>
    <hyperlink ref="B18" r:id="rId2" xr:uid="{9A8AE387-D728-B248-B711-089F78A4C1D3}"/>
    <hyperlink ref="B26" r:id="rId3" xr:uid="{FF854101-CAD8-6849-8337-C2ECDF439272}"/>
    <hyperlink ref="B35" r:id="rId4" display="(1) Source: USITC DataWeb, Imports for Consumption" xr:uid="{AD009900-78FE-4542-B5ED-63613954BC7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AD73-5908-8849-B2C5-0B0B70DE061B}">
  <dimension ref="A1:Z38"/>
  <sheetViews>
    <sheetView workbookViewId="0">
      <selection activeCell="C28" sqref="C28"/>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61</v>
      </c>
    </row>
    <row r="3" spans="1:26" ht="16" customHeight="1">
      <c r="B3" t="s">
        <v>145</v>
      </c>
    </row>
    <row r="5" spans="1:26" ht="24">
      <c r="B5" s="3" t="s">
        <v>0</v>
      </c>
    </row>
    <row r="6" spans="1:26" ht="18">
      <c r="B6" s="4" t="s">
        <v>1</v>
      </c>
      <c r="C6" s="5" t="s">
        <v>62</v>
      </c>
    </row>
    <row r="7" spans="1:26">
      <c r="B7" s="6" t="s">
        <v>2</v>
      </c>
      <c r="C7" s="7" t="s">
        <v>63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F14" s="16"/>
      <c r="G14" s="141" t="s">
        <v>74</v>
      </c>
      <c r="H14" s="141"/>
      <c r="I14" s="141"/>
      <c r="J14" s="141"/>
    </row>
    <row r="15" spans="1:26" ht="17">
      <c r="B15" s="13" t="s">
        <v>64</v>
      </c>
      <c r="C15" s="24" t="s">
        <v>65</v>
      </c>
      <c r="D15" t="s">
        <v>29</v>
      </c>
      <c r="E15" s="26">
        <v>0.45</v>
      </c>
      <c r="G15" s="141"/>
      <c r="H15" s="141"/>
      <c r="I15" s="141"/>
      <c r="J15" s="141"/>
    </row>
    <row r="16" spans="1:26" ht="17">
      <c r="B16" s="13" t="s">
        <v>57</v>
      </c>
      <c r="C16" s="24" t="s">
        <v>66</v>
      </c>
      <c r="D16" t="s">
        <v>29</v>
      </c>
      <c r="E16" s="26">
        <v>0.28000000000000003</v>
      </c>
      <c r="G16" s="141"/>
      <c r="H16" s="141"/>
      <c r="I16" s="141"/>
      <c r="J16" s="141"/>
    </row>
    <row r="17" spans="1:26" ht="17">
      <c r="B17" s="13" t="s">
        <v>67</v>
      </c>
      <c r="C17" s="24" t="s">
        <v>68</v>
      </c>
      <c r="D17" t="s">
        <v>29</v>
      </c>
      <c r="E17" s="26">
        <v>0.09</v>
      </c>
      <c r="G17" s="141"/>
      <c r="H17" s="141"/>
      <c r="I17" s="141"/>
      <c r="J17" s="141"/>
    </row>
    <row r="18" spans="1:26" ht="17">
      <c r="B18" s="13" t="s">
        <v>67</v>
      </c>
      <c r="C18" s="24" t="s">
        <v>69</v>
      </c>
      <c r="D18" t="s">
        <v>29</v>
      </c>
      <c r="E18" s="26">
        <v>7.0000000000000007E-2</v>
      </c>
      <c r="G18" s="141"/>
      <c r="H18" s="141"/>
      <c r="I18" s="141"/>
      <c r="J18" s="141"/>
    </row>
    <row r="19" spans="1:26" ht="17">
      <c r="B19" s="13" t="s">
        <v>57</v>
      </c>
      <c r="C19" s="24" t="s">
        <v>70</v>
      </c>
      <c r="D19" t="s">
        <v>29</v>
      </c>
      <c r="E19" s="26">
        <v>0.05</v>
      </c>
      <c r="G19" s="141"/>
      <c r="H19" s="141"/>
      <c r="I19" s="141"/>
      <c r="J19" s="141"/>
    </row>
    <row r="20" spans="1:26" ht="17">
      <c r="B20" s="13" t="s">
        <v>67</v>
      </c>
      <c r="C20" s="24" t="s">
        <v>71</v>
      </c>
      <c r="D20" t="s">
        <v>29</v>
      </c>
      <c r="E20" s="26">
        <v>0.04</v>
      </c>
      <c r="G20" s="141"/>
      <c r="H20" s="141"/>
      <c r="I20" s="141"/>
      <c r="J20" s="141"/>
    </row>
    <row r="21" spans="1:26" ht="17">
      <c r="B21" s="13" t="s">
        <v>67</v>
      </c>
      <c r="C21" s="24" t="s">
        <v>72</v>
      </c>
      <c r="D21" t="s">
        <v>29</v>
      </c>
      <c r="E21" s="26">
        <v>0.01</v>
      </c>
      <c r="G21" s="141"/>
      <c r="H21" s="141"/>
      <c r="I21" s="141"/>
      <c r="J21" s="141"/>
    </row>
    <row r="22" spans="1:26" ht="17">
      <c r="B22" s="14" t="s">
        <v>67</v>
      </c>
      <c r="C22" s="25" t="s">
        <v>73</v>
      </c>
      <c r="D22" s="15" t="s">
        <v>29</v>
      </c>
      <c r="E22" s="27">
        <v>0.01</v>
      </c>
      <c r="G22" s="141"/>
      <c r="H22" s="141"/>
      <c r="I22" s="141"/>
      <c r="J22" s="141"/>
    </row>
    <row r="23" spans="1:26">
      <c r="B23" s="21" t="s">
        <v>86</v>
      </c>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7" spans="1:26" ht="24">
      <c r="B27" s="3" t="s">
        <v>13</v>
      </c>
    </row>
    <row r="28" spans="1:26" ht="19">
      <c r="B28" s="18" t="s">
        <v>14</v>
      </c>
      <c r="C28" s="19" t="s">
        <v>586</v>
      </c>
    </row>
    <row r="29" spans="1:26">
      <c r="B29" s="4" t="s">
        <v>16</v>
      </c>
      <c r="C29" s="11" t="s">
        <v>18</v>
      </c>
      <c r="D29" s="11">
        <v>2021</v>
      </c>
      <c r="E29" s="11">
        <v>2022</v>
      </c>
      <c r="F29" s="11">
        <v>2023</v>
      </c>
      <c r="G29" s="11">
        <v>2024</v>
      </c>
      <c r="H29" s="12">
        <v>2025</v>
      </c>
    </row>
    <row r="30" spans="1:26" ht="19">
      <c r="B30" s="14" t="s">
        <v>47</v>
      </c>
      <c r="C30" s="15" t="s">
        <v>34</v>
      </c>
      <c r="D30" s="29">
        <v>4550</v>
      </c>
      <c r="E30" s="29">
        <v>4760</v>
      </c>
      <c r="F30" s="29">
        <v>4360</v>
      </c>
      <c r="G30" s="29">
        <v>4350</v>
      </c>
      <c r="H30" s="30">
        <v>4700</v>
      </c>
    </row>
    <row r="31" spans="1:26">
      <c r="B31" s="21" t="s">
        <v>86</v>
      </c>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5" spans="1:26" ht="24">
      <c r="B35" s="3" t="s">
        <v>17</v>
      </c>
    </row>
    <row r="36" spans="1:26">
      <c r="B36" s="4" t="s">
        <v>16</v>
      </c>
      <c r="C36" s="11" t="s">
        <v>18</v>
      </c>
      <c r="D36" s="11">
        <v>2021</v>
      </c>
      <c r="E36" s="11">
        <v>2022</v>
      </c>
      <c r="F36" s="11">
        <v>2023</v>
      </c>
      <c r="G36" s="11">
        <v>2024</v>
      </c>
      <c r="H36" s="12">
        <v>2025</v>
      </c>
    </row>
    <row r="37" spans="1:26" ht="37">
      <c r="B37" s="23" t="s">
        <v>75</v>
      </c>
      <c r="C37" s="15" t="s">
        <v>33</v>
      </c>
      <c r="D37" s="15">
        <v>133.37</v>
      </c>
      <c r="E37" s="15">
        <v>178.52</v>
      </c>
      <c r="F37" s="15">
        <v>211.48</v>
      </c>
      <c r="G37" s="15">
        <v>169.35</v>
      </c>
      <c r="H37" s="10">
        <v>150</v>
      </c>
    </row>
    <row r="38" spans="1:26">
      <c r="B38" s="21" t="s">
        <v>86</v>
      </c>
    </row>
  </sheetData>
  <mergeCells count="1">
    <mergeCell ref="G14:J22"/>
  </mergeCells>
  <hyperlinks>
    <hyperlink ref="C7" r:id="rId1" xr:uid="{241F148E-0A36-284D-9694-EC842DB3620C}"/>
    <hyperlink ref="B38" r:id="rId2" display="(1) USGS Minera Commodity Summaries 2026, Soda Ash" xr:uid="{73DEA32C-C52A-CD45-AD90-283140CAB4E8}"/>
    <hyperlink ref="B31" r:id="rId3" display="(1) USGS Minera Commodity Summaries 2026, Soda Ash" xr:uid="{28D39E6E-6278-D345-AFDA-278EC3809941}"/>
    <hyperlink ref="B23" r:id="rId4" display="(1) USGS Minera Commodity Summaries 2026, Soda Ash" xr:uid="{9B37992C-85E1-CA45-A57D-CC3AA82045F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80C7-024C-7D4D-ACB2-84268E6DCBE5}">
  <dimension ref="A1:Z68"/>
  <sheetViews>
    <sheetView topLeftCell="A45" workbookViewId="0">
      <selection activeCell="M85" sqref="M85"/>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359</v>
      </c>
    </row>
    <row r="3" spans="1:26" ht="16" customHeight="1">
      <c r="B3" t="s">
        <v>145</v>
      </c>
    </row>
    <row r="5" spans="1:26" ht="24">
      <c r="B5" s="3" t="s">
        <v>0</v>
      </c>
    </row>
    <row r="6" spans="1:26">
      <c r="B6" s="4" t="s">
        <v>1</v>
      </c>
      <c r="C6" s="86" t="s">
        <v>360</v>
      </c>
    </row>
    <row r="7" spans="1:26">
      <c r="B7" s="6" t="s">
        <v>300</v>
      </c>
      <c r="C7" s="117" t="s">
        <v>361</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41" t="s">
        <v>375</v>
      </c>
      <c r="H14" s="141"/>
      <c r="I14" s="141"/>
      <c r="J14" s="141"/>
    </row>
    <row r="15" spans="1:26">
      <c r="B15" s="94" t="s">
        <v>254</v>
      </c>
      <c r="C15" s="17" t="s">
        <v>370</v>
      </c>
      <c r="D15" s="17"/>
      <c r="E15" s="108">
        <v>0.23</v>
      </c>
      <c r="G15" s="141"/>
      <c r="H15" s="141"/>
      <c r="I15" s="141"/>
      <c r="J15" s="141"/>
    </row>
    <row r="16" spans="1:26">
      <c r="B16" s="94" t="s">
        <v>371</v>
      </c>
      <c r="C16" s="17" t="s">
        <v>372</v>
      </c>
      <c r="D16" s="17"/>
      <c r="E16" s="108">
        <v>0.22</v>
      </c>
      <c r="G16" s="141"/>
      <c r="H16" s="141"/>
      <c r="I16" s="141"/>
      <c r="J16" s="141"/>
    </row>
    <row r="17" spans="1:26">
      <c r="B17" s="94" t="s">
        <v>57</v>
      </c>
      <c r="C17" s="17" t="s">
        <v>373</v>
      </c>
      <c r="D17" s="17"/>
      <c r="E17" s="108">
        <v>0.22</v>
      </c>
      <c r="G17" s="141"/>
      <c r="H17" s="141"/>
      <c r="I17" s="141"/>
      <c r="J17" s="141"/>
    </row>
    <row r="18" spans="1:26">
      <c r="B18" s="94" t="s">
        <v>67</v>
      </c>
      <c r="C18" s="17" t="s">
        <v>374</v>
      </c>
      <c r="D18" s="17"/>
      <c r="E18" s="108">
        <v>0.3</v>
      </c>
      <c r="G18" s="141"/>
      <c r="H18" s="141"/>
      <c r="I18" s="141"/>
      <c r="J18" s="141"/>
    </row>
    <row r="19" spans="1:26" ht="17">
      <c r="B19" s="23" t="s">
        <v>67</v>
      </c>
      <c r="C19" s="25" t="s">
        <v>73</v>
      </c>
      <c r="D19" s="25"/>
      <c r="E19" s="27">
        <v>0.03</v>
      </c>
      <c r="G19" s="141"/>
      <c r="H19" s="141"/>
      <c r="I19" s="141"/>
      <c r="J19" s="141"/>
    </row>
    <row r="20" spans="1:26">
      <c r="B20" s="111" t="s">
        <v>376</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13</v>
      </c>
    </row>
    <row r="25" spans="1:26" ht="19">
      <c r="B25" s="18" t="s">
        <v>14</v>
      </c>
      <c r="C25" s="19" t="s">
        <v>138</v>
      </c>
    </row>
    <row r="26" spans="1:26">
      <c r="B26" s="36" t="s">
        <v>16</v>
      </c>
      <c r="C26" s="37" t="s">
        <v>18</v>
      </c>
      <c r="D26" s="37">
        <v>2021</v>
      </c>
      <c r="E26" s="37">
        <v>2022</v>
      </c>
      <c r="F26" s="37">
        <v>2023</v>
      </c>
      <c r="G26" s="37">
        <v>2024</v>
      </c>
      <c r="H26" s="38">
        <v>2025</v>
      </c>
    </row>
    <row r="27" spans="1:26" ht="20">
      <c r="B27" s="40" t="s">
        <v>139</v>
      </c>
      <c r="C27" s="39" t="s">
        <v>34</v>
      </c>
      <c r="D27" s="48">
        <f>D44</f>
        <v>17000</v>
      </c>
      <c r="E27" s="48">
        <f t="shared" ref="E27:H27" si="0">E44</f>
        <v>17000</v>
      </c>
      <c r="F27" s="48">
        <f t="shared" si="0"/>
        <v>17000</v>
      </c>
      <c r="G27" s="48">
        <f t="shared" si="0"/>
        <v>17000</v>
      </c>
      <c r="H27" s="41">
        <f t="shared" si="0"/>
        <v>17000</v>
      </c>
    </row>
    <row r="28" spans="1:26" ht="19">
      <c r="B28" s="42" t="s">
        <v>140</v>
      </c>
      <c r="C28" s="39" t="s">
        <v>34</v>
      </c>
      <c r="D28" s="48">
        <f>E52</f>
        <v>1144.775985</v>
      </c>
      <c r="E28" s="48">
        <f t="shared" ref="E28:H28" si="1">F52</f>
        <v>1245.4077479999999</v>
      </c>
      <c r="F28" s="48">
        <f t="shared" si="1"/>
        <v>1123.0039389999999</v>
      </c>
      <c r="G28" s="48">
        <f t="shared" si="1"/>
        <v>1045.7880129999999</v>
      </c>
      <c r="H28" s="41">
        <f t="shared" si="1"/>
        <v>918.25798499999996</v>
      </c>
    </row>
    <row r="29" spans="1:26" ht="20">
      <c r="B29" s="40" t="s">
        <v>141</v>
      </c>
      <c r="C29" s="39" t="s">
        <v>34</v>
      </c>
      <c r="D29" s="48">
        <f>E57</f>
        <v>5747.9575799999993</v>
      </c>
      <c r="E29" s="48">
        <f t="shared" ref="E29:H29" si="2">F57</f>
        <v>5654.8954569999996</v>
      </c>
      <c r="F29" s="48">
        <f t="shared" si="2"/>
        <v>5286.0010160000002</v>
      </c>
      <c r="G29" s="48">
        <f t="shared" si="2"/>
        <v>5751.4521239999995</v>
      </c>
      <c r="H29" s="41">
        <f t="shared" si="2"/>
        <v>6472.5039659999993</v>
      </c>
    </row>
    <row r="30" spans="1:26" ht="19">
      <c r="B30" s="49" t="s">
        <v>142</v>
      </c>
      <c r="C30" s="44" t="s">
        <v>34</v>
      </c>
      <c r="D30" s="45">
        <f>D27+D28-D29</f>
        <v>12396.818405000002</v>
      </c>
      <c r="E30" s="45">
        <f t="shared" ref="E30:H30" si="3">E27+E28-E29</f>
        <v>12590.512291000003</v>
      </c>
      <c r="F30" s="45">
        <f t="shared" si="3"/>
        <v>12837.002922999998</v>
      </c>
      <c r="G30" s="45">
        <f t="shared" si="3"/>
        <v>12294.335889000002</v>
      </c>
      <c r="H30" s="46">
        <f t="shared" si="3"/>
        <v>11445.754019</v>
      </c>
    </row>
    <row r="31" spans="1:26">
      <c r="B31" s="39" t="s">
        <v>218</v>
      </c>
      <c r="C31" s="39"/>
      <c r="D31" s="39"/>
      <c r="E31" s="39"/>
      <c r="F31" s="39"/>
      <c r="G31" s="39"/>
      <c r="H31" s="39"/>
    </row>
    <row r="32" spans="1:26">
      <c r="B32" s="39" t="s">
        <v>219</v>
      </c>
      <c r="C32" s="39"/>
      <c r="D32" s="39"/>
      <c r="E32" s="39"/>
      <c r="F32" s="39"/>
      <c r="G32" s="39"/>
      <c r="H32" s="39"/>
    </row>
    <row r="33" spans="2:8">
      <c r="B33" s="39" t="s">
        <v>220</v>
      </c>
      <c r="C33" s="16"/>
      <c r="D33" s="16"/>
      <c r="E33" s="16"/>
      <c r="F33" s="16"/>
      <c r="G33" s="16"/>
      <c r="H33" s="16"/>
    </row>
    <row r="34" spans="2:8">
      <c r="B34" s="39" t="s">
        <v>221</v>
      </c>
      <c r="C34" s="16"/>
      <c r="D34" s="16"/>
      <c r="E34" s="16"/>
      <c r="F34" s="16"/>
      <c r="G34" s="16"/>
      <c r="H34" s="16"/>
    </row>
    <row r="35" spans="2:8">
      <c r="B35" s="16"/>
      <c r="C35" s="16"/>
      <c r="D35" s="16"/>
      <c r="E35" s="16"/>
      <c r="F35" s="16"/>
      <c r="G35" s="16"/>
      <c r="H35" s="16"/>
    </row>
    <row r="36" spans="2:8" ht="24">
      <c r="B36" s="3" t="s">
        <v>156</v>
      </c>
      <c r="C36" s="16"/>
      <c r="D36" s="16"/>
      <c r="E36" s="16"/>
      <c r="F36" s="16"/>
      <c r="G36" s="16"/>
      <c r="H36" s="16"/>
    </row>
    <row r="37" spans="2:8" ht="19">
      <c r="B37" s="18" t="s">
        <v>158</v>
      </c>
      <c r="C37" s="16"/>
      <c r="D37" s="16"/>
      <c r="E37" s="16"/>
      <c r="F37" s="16"/>
      <c r="G37" s="16"/>
      <c r="H37" s="16"/>
    </row>
    <row r="38" spans="2:8" ht="95" customHeight="1">
      <c r="B38" s="140" t="s">
        <v>369</v>
      </c>
      <c r="C38" s="140"/>
      <c r="D38" s="140"/>
      <c r="E38" s="140"/>
      <c r="F38" s="140"/>
      <c r="G38" s="140"/>
      <c r="H38" s="140"/>
    </row>
    <row r="39" spans="2:8" ht="15" customHeight="1">
      <c r="B39" s="125" t="s">
        <v>368</v>
      </c>
      <c r="C39" s="35"/>
      <c r="D39" s="35"/>
      <c r="E39" s="35"/>
      <c r="F39" s="35"/>
      <c r="G39" s="35"/>
      <c r="H39" s="35"/>
    </row>
    <row r="41" spans="2:8">
      <c r="B41" s="16" t="s">
        <v>377</v>
      </c>
      <c r="D41" s="28"/>
      <c r="E41" s="28"/>
      <c r="F41" s="28"/>
      <c r="G41" s="28"/>
      <c r="H41" s="28"/>
    </row>
    <row r="42" spans="2:8">
      <c r="B42" s="36" t="s">
        <v>16</v>
      </c>
      <c r="C42" s="37" t="s">
        <v>18</v>
      </c>
      <c r="D42" s="37">
        <v>2021</v>
      </c>
      <c r="E42" s="37">
        <v>2022</v>
      </c>
      <c r="F42" s="37">
        <v>2023</v>
      </c>
      <c r="G42" s="37">
        <v>2024</v>
      </c>
      <c r="H42" s="38">
        <v>2025</v>
      </c>
    </row>
    <row r="43" spans="2:8" ht="37">
      <c r="B43" s="40" t="s">
        <v>378</v>
      </c>
      <c r="C43" t="s">
        <v>34</v>
      </c>
      <c r="D43" s="28">
        <v>17000</v>
      </c>
      <c r="E43" s="28">
        <v>17000</v>
      </c>
      <c r="F43" s="28">
        <v>17000</v>
      </c>
      <c r="G43" s="28">
        <v>17000</v>
      </c>
      <c r="H43" s="32">
        <v>17000</v>
      </c>
    </row>
    <row r="44" spans="2:8" ht="17">
      <c r="B44" s="43" t="s">
        <v>310</v>
      </c>
      <c r="C44" s="15" t="s">
        <v>34</v>
      </c>
      <c r="D44" s="29">
        <f>D43</f>
        <v>17000</v>
      </c>
      <c r="E44" s="29">
        <f t="shared" ref="E44:G44" si="4">E43</f>
        <v>17000</v>
      </c>
      <c r="F44" s="29">
        <f t="shared" si="4"/>
        <v>17000</v>
      </c>
      <c r="G44" s="29">
        <f t="shared" si="4"/>
        <v>17000</v>
      </c>
      <c r="H44" s="30">
        <f>H43</f>
        <v>17000</v>
      </c>
    </row>
    <row r="45" spans="2:8">
      <c r="B45" s="60" t="s">
        <v>379</v>
      </c>
      <c r="D45" s="28"/>
      <c r="E45" s="28"/>
      <c r="F45" s="28"/>
      <c r="G45" s="28"/>
      <c r="H45" s="28"/>
    </row>
    <row r="46" spans="2:8">
      <c r="B46" s="118"/>
      <c r="D46" s="28"/>
      <c r="E46" s="28"/>
      <c r="F46" s="28"/>
      <c r="G46" s="28"/>
      <c r="H46" s="28"/>
    </row>
    <row r="48" spans="2:8" ht="19">
      <c r="B48" s="18" t="s">
        <v>209</v>
      </c>
      <c r="C48" s="16"/>
      <c r="D48" s="16"/>
      <c r="E48" s="16"/>
      <c r="F48" s="16"/>
      <c r="G48" s="16"/>
      <c r="H48" s="16"/>
    </row>
    <row r="50" spans="1:26" ht="18" customHeight="1">
      <c r="B50" s="119" t="s">
        <v>367</v>
      </c>
      <c r="C50" s="22"/>
      <c r="D50" s="22"/>
      <c r="E50" s="22"/>
      <c r="F50" s="22"/>
      <c r="G50" s="22"/>
      <c r="H50" s="22"/>
      <c r="I50" s="22"/>
    </row>
    <row r="51" spans="1:26">
      <c r="B51" s="36" t="s">
        <v>172</v>
      </c>
      <c r="C51" s="37" t="s">
        <v>18</v>
      </c>
      <c r="D51" s="37" t="s">
        <v>174</v>
      </c>
      <c r="E51" s="37">
        <v>2021</v>
      </c>
      <c r="F51" s="37">
        <v>2022</v>
      </c>
      <c r="G51" s="37">
        <v>2023</v>
      </c>
      <c r="H51" s="37">
        <v>2024</v>
      </c>
      <c r="I51" s="38">
        <v>2025</v>
      </c>
    </row>
    <row r="52" spans="1:26" ht="20">
      <c r="B52" s="43" t="s">
        <v>365</v>
      </c>
      <c r="C52" s="15" t="s">
        <v>34</v>
      </c>
      <c r="D52" s="29" t="s">
        <v>364</v>
      </c>
      <c r="E52" s="69">
        <f>_xlfn.XLOOKUP(_xlfn.CONCAT(_xlfn.TEXTSPLIT($D52,".")), 'S1. USITC Imports'!$B:$B,'S1. USITC Imports'!$J:$J)*_xlfn.XLOOKUP(_xlfn.CONCAT(_xlfn.TEXTSPLIT($D52,".")), 'S1. USITC Imports'!$B:$B,'S1. USITC Imports'!E:E)</f>
        <v>1144.775985</v>
      </c>
      <c r="F52" s="69">
        <f>_xlfn.XLOOKUP(_xlfn.CONCAT(_xlfn.TEXTSPLIT($D52,".")), 'S1. USITC Imports'!$B:$B,'S1. USITC Imports'!$J:$J)*_xlfn.XLOOKUP(_xlfn.CONCAT(_xlfn.TEXTSPLIT($D52,".")), 'S1. USITC Imports'!$B:$B,'S1. USITC Imports'!F:F)</f>
        <v>1245.4077479999999</v>
      </c>
      <c r="G52" s="69">
        <f>_xlfn.XLOOKUP(_xlfn.CONCAT(_xlfn.TEXTSPLIT($D52,".")), 'S1. USITC Imports'!$B:$B,'S1. USITC Imports'!$J:$J)*_xlfn.XLOOKUP(_xlfn.CONCAT(_xlfn.TEXTSPLIT($D52,".")), 'S1. USITC Imports'!$B:$B,'S1. USITC Imports'!G:G)</f>
        <v>1123.0039389999999</v>
      </c>
      <c r="H52" s="69">
        <f>_xlfn.XLOOKUP(_xlfn.CONCAT(_xlfn.TEXTSPLIT($D52,".")), 'S1. USITC Imports'!$B:$B,'S1. USITC Imports'!$J:$J)*_xlfn.XLOOKUP(_xlfn.CONCAT(_xlfn.TEXTSPLIT($D52,".")), 'S1. USITC Imports'!$B:$B,'S1. USITC Imports'!H:H)</f>
        <v>1045.7880129999999</v>
      </c>
      <c r="I52" s="70">
        <f>_xlfn.XLOOKUP(_xlfn.CONCAT(_xlfn.TEXTSPLIT($D52,".")), 'S1. USITC Imports'!$B:$B,'S1. USITC Imports'!$J:$J)*_xlfn.XLOOKUP(_xlfn.CONCAT(_xlfn.TEXTSPLIT($D52,".")), 'S1. USITC Imports'!$B:$B,'S1. USITC Imports'!I:I)</f>
        <v>918.25798499999996</v>
      </c>
    </row>
    <row r="53" spans="1:26">
      <c r="B53" s="33" t="s">
        <v>183</v>
      </c>
      <c r="D53" s="28"/>
      <c r="E53" s="67"/>
      <c r="F53" s="67"/>
      <c r="G53" s="67"/>
      <c r="H53" s="67"/>
      <c r="I53" s="67"/>
    </row>
    <row r="55" spans="1:26" ht="17">
      <c r="B55" s="83" t="s">
        <v>366</v>
      </c>
      <c r="C55" s="22"/>
      <c r="D55" s="22"/>
      <c r="E55" s="22"/>
      <c r="F55" s="22"/>
      <c r="G55" s="22"/>
      <c r="H55" s="22"/>
      <c r="I55" s="22"/>
    </row>
    <row r="56" spans="1:26">
      <c r="B56" s="36" t="s">
        <v>172</v>
      </c>
      <c r="C56" s="37" t="s">
        <v>18</v>
      </c>
      <c r="D56" s="37" t="s">
        <v>174</v>
      </c>
      <c r="E56" s="37">
        <v>2021</v>
      </c>
      <c r="F56" s="37">
        <v>2022</v>
      </c>
      <c r="G56" s="37">
        <v>2023</v>
      </c>
      <c r="H56" s="37">
        <v>2024</v>
      </c>
      <c r="I56" s="38">
        <v>2025</v>
      </c>
    </row>
    <row r="57" spans="1:26" ht="20">
      <c r="B57" s="43" t="s">
        <v>365</v>
      </c>
      <c r="C57" s="15" t="s">
        <v>34</v>
      </c>
      <c r="D57" s="29" t="s">
        <v>364</v>
      </c>
      <c r="E57" s="69">
        <f>_xlfn.XLOOKUP(_xlfn.CONCAT(_xlfn.TEXTSPLIT($D57,".")), 'S2. USITC Exports'!$B:$B,'S2. USITC Exports'!$J:$J)*_xlfn.XLOOKUP(_xlfn.CONCAT(_xlfn.TEXTSPLIT($D57,".")), 'S2. USITC Exports'!$B:$B,'S2. USITC Exports'!E:E)</f>
        <v>5747.9575799999993</v>
      </c>
      <c r="F57" s="69">
        <f>_xlfn.XLOOKUP(_xlfn.CONCAT(_xlfn.TEXTSPLIT($D57,".")), 'S2. USITC Exports'!$B:$B,'S2. USITC Exports'!$J:$J)*_xlfn.XLOOKUP(_xlfn.CONCAT(_xlfn.TEXTSPLIT($D57,".")), 'S2. USITC Exports'!$B:$B,'S2. USITC Exports'!F:F)</f>
        <v>5654.8954569999996</v>
      </c>
      <c r="G57" s="69">
        <f>_xlfn.XLOOKUP(_xlfn.CONCAT(_xlfn.TEXTSPLIT($D57,".")), 'S2. USITC Exports'!$B:$B,'S2. USITC Exports'!$J:$J)*_xlfn.XLOOKUP(_xlfn.CONCAT(_xlfn.TEXTSPLIT($D57,".")), 'S2. USITC Exports'!$B:$B,'S2. USITC Exports'!G:G)</f>
        <v>5286.0010160000002</v>
      </c>
      <c r="H57" s="69">
        <f>_xlfn.XLOOKUP(_xlfn.CONCAT(_xlfn.TEXTSPLIT($D57,".")), 'S2. USITC Exports'!$B:$B,'S2. USITC Exports'!$J:$J)*_xlfn.XLOOKUP(_xlfn.CONCAT(_xlfn.TEXTSPLIT($D57,".")), 'S2. USITC Exports'!$B:$B,'S2. USITC Exports'!H:H)</f>
        <v>5751.4521239999995</v>
      </c>
      <c r="I57" s="70">
        <f>_xlfn.XLOOKUP(_xlfn.CONCAT(_xlfn.TEXTSPLIT($D57,".")), 'S2. USITC Exports'!$B:$B,'S2. USITC Exports'!$J:$J)*_xlfn.XLOOKUP(_xlfn.CONCAT(_xlfn.TEXTSPLIT($D57,".")), 'S2. USITC Exports'!$B:$B,'S2. USITC Exports'!I:I)</f>
        <v>6472.5039659999993</v>
      </c>
    </row>
    <row r="58" spans="1:26">
      <c r="B58" s="33" t="s">
        <v>214</v>
      </c>
      <c r="E58" s="28"/>
      <c r="F58" s="28"/>
      <c r="G58" s="28"/>
      <c r="H58" s="28"/>
      <c r="I58" s="28"/>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2" spans="1:26" ht="24">
      <c r="B62" s="3" t="s">
        <v>17</v>
      </c>
    </row>
    <row r="63" spans="1:26">
      <c r="B63" s="4" t="s">
        <v>16</v>
      </c>
      <c r="C63" s="11" t="s">
        <v>18</v>
      </c>
      <c r="D63" s="37" t="s">
        <v>174</v>
      </c>
      <c r="E63" s="11">
        <v>2021</v>
      </c>
      <c r="F63" s="11">
        <v>2022</v>
      </c>
      <c r="G63" s="11">
        <v>2023</v>
      </c>
      <c r="H63" s="11">
        <v>2024</v>
      </c>
      <c r="I63" s="12">
        <v>2025</v>
      </c>
    </row>
    <row r="64" spans="1:26" ht="20">
      <c r="B64" s="31" t="s">
        <v>322</v>
      </c>
      <c r="C64" s="17" t="s">
        <v>323</v>
      </c>
      <c r="D64" s="28" t="s">
        <v>364</v>
      </c>
      <c r="E64" s="67">
        <f>_xlfn.XLOOKUP(_xlfn.CONCAT(_xlfn.TEXTSPLIT($D64,".")), 'S3. USITC FAS Value'!$B:$B,'S3. USITC FAS Value'!E:E)</f>
        <v>1083669849</v>
      </c>
      <c r="F64" s="67">
        <f>_xlfn.XLOOKUP(_xlfn.CONCAT(_xlfn.TEXTSPLIT($D64,".")), 'S3. USITC FAS Value'!$B:$B,'S3. USITC FAS Value'!F:F)</f>
        <v>2032985267</v>
      </c>
      <c r="G64" s="67">
        <f>_xlfn.XLOOKUP(_xlfn.CONCAT(_xlfn.TEXTSPLIT($D64,".")), 'S3. USITC FAS Value'!$B:$B,'S3. USITC FAS Value'!G:G)</f>
        <v>1512521602</v>
      </c>
      <c r="H64" s="67">
        <f>_xlfn.XLOOKUP(_xlfn.CONCAT(_xlfn.TEXTSPLIT($D64,".")), 'S3. USITC FAS Value'!$B:$B,'S3. USITC FAS Value'!H:H)</f>
        <v>1182270207</v>
      </c>
      <c r="I64" s="68">
        <f>_xlfn.XLOOKUP(_xlfn.CONCAT(_xlfn.TEXTSPLIT($D64,".")), 'S3. USITC FAS Value'!$B:$B,'S3. USITC FAS Value'!I:I)</f>
        <v>1403180024</v>
      </c>
    </row>
    <row r="65" spans="2:9" ht="20">
      <c r="B65" s="31" t="s">
        <v>324</v>
      </c>
      <c r="C65" t="s">
        <v>326</v>
      </c>
      <c r="D65" s="28" t="s">
        <v>364</v>
      </c>
      <c r="E65" s="28">
        <f>E57*1000</f>
        <v>5747957.5799999991</v>
      </c>
      <c r="F65" s="28">
        <f t="shared" ref="F65:I65" si="5">F57*1000</f>
        <v>5654895.4569999995</v>
      </c>
      <c r="G65" s="28">
        <f t="shared" si="5"/>
        <v>5286001.0159999998</v>
      </c>
      <c r="H65" s="28">
        <f t="shared" si="5"/>
        <v>5751452.1239999998</v>
      </c>
      <c r="I65" s="32">
        <f t="shared" si="5"/>
        <v>6472503.9659999991</v>
      </c>
    </row>
    <row r="66" spans="2:9" ht="34">
      <c r="B66" s="23" t="s">
        <v>327</v>
      </c>
      <c r="C66" s="15" t="s">
        <v>33</v>
      </c>
      <c r="D66" s="15" t="s">
        <v>29</v>
      </c>
      <c r="E66" s="52">
        <f>E64/E65</f>
        <v>188.53128853466595</v>
      </c>
      <c r="F66" s="52">
        <f t="shared" ref="F66:I66" si="6">F64/F65</f>
        <v>359.50890382658406</v>
      </c>
      <c r="G66" s="52">
        <f t="shared" si="6"/>
        <v>286.13721363688819</v>
      </c>
      <c r="H66" s="52">
        <f t="shared" si="6"/>
        <v>205.5602970363872</v>
      </c>
      <c r="I66" s="53">
        <f t="shared" si="6"/>
        <v>216.79090988138302</v>
      </c>
    </row>
    <row r="67" spans="2:9">
      <c r="B67" s="33" t="s">
        <v>214</v>
      </c>
    </row>
    <row r="68" spans="2:9" ht="20" customHeight="1">
      <c r="B68" s="24" t="s">
        <v>325</v>
      </c>
    </row>
  </sheetData>
  <mergeCells count="2">
    <mergeCell ref="B38:H38"/>
    <mergeCell ref="G14:J19"/>
  </mergeCells>
  <hyperlinks>
    <hyperlink ref="B53" r:id="rId1" xr:uid="{9C45192E-2045-3941-917C-1DDF46AEE27E}"/>
    <hyperlink ref="B58" r:id="rId2" display="(1) Source: USITC DataWeb, Imports for Consumption" xr:uid="{2704EF59-F17C-F240-A392-E62801F57917}"/>
    <hyperlink ref="B20" r:id="rId3" xr:uid="{5BADB458-947D-0F4D-B860-741EA783A35A}"/>
    <hyperlink ref="B67" r:id="rId4" display="(1) Source: USITC DataWeb, Imports for Consumption" xr:uid="{4C6DE95F-04CE-1740-AE38-AD3F738E7063}"/>
    <hyperlink ref="B39" r:id="rId5" location="tab-id-2" xr:uid="{8809D1B5-C019-3744-AC75-045A27DB1026}"/>
    <hyperlink ref="B45" r:id="rId6" xr:uid="{3FABAF91-17F7-7B40-9B14-2B94D9782AA6}"/>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21D2-662C-394E-9EB5-653CA7CC6545}">
  <dimension ref="A1:Z39"/>
  <sheetViews>
    <sheetView topLeftCell="A4" workbookViewId="0">
      <selection activeCell="C24" sqref="C24"/>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112</v>
      </c>
    </row>
    <row r="3" spans="1:26" ht="16" customHeight="1">
      <c r="B3" t="s">
        <v>145</v>
      </c>
    </row>
    <row r="5" spans="1:26" ht="24">
      <c r="B5" s="3" t="s">
        <v>0</v>
      </c>
    </row>
    <row r="6" spans="1:26" ht="18">
      <c r="B6" s="4" t="s">
        <v>1</v>
      </c>
      <c r="C6" s="5" t="s">
        <v>113</v>
      </c>
    </row>
    <row r="7" spans="1:26">
      <c r="B7" s="6" t="s">
        <v>2</v>
      </c>
      <c r="C7" s="7" t="s">
        <v>112</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571</v>
      </c>
    </row>
    <row r="14" spans="1:26" ht="16" customHeight="1">
      <c r="B14" s="4" t="s">
        <v>7</v>
      </c>
      <c r="C14" s="11" t="s">
        <v>8</v>
      </c>
      <c r="D14" s="11" t="s">
        <v>9</v>
      </c>
      <c r="E14" s="12" t="s">
        <v>10</v>
      </c>
      <c r="G14" s="141" t="s">
        <v>117</v>
      </c>
      <c r="H14" s="141"/>
      <c r="I14" s="141"/>
      <c r="J14" s="141"/>
      <c r="K14" s="141"/>
    </row>
    <row r="15" spans="1:26" ht="17">
      <c r="B15" s="13" t="s">
        <v>574</v>
      </c>
      <c r="C15" s="24" t="s">
        <v>114</v>
      </c>
      <c r="D15" t="s">
        <v>29</v>
      </c>
      <c r="E15" s="26">
        <v>0.21</v>
      </c>
      <c r="G15" s="141"/>
      <c r="H15" s="141"/>
      <c r="I15" s="141"/>
      <c r="J15" s="141"/>
      <c r="K15" s="141"/>
    </row>
    <row r="16" spans="1:26" ht="17">
      <c r="B16" s="13" t="s">
        <v>573</v>
      </c>
      <c r="C16" s="24" t="s">
        <v>115</v>
      </c>
      <c r="D16" t="s">
        <v>29</v>
      </c>
      <c r="E16" s="26">
        <v>0.67</v>
      </c>
      <c r="G16" s="141"/>
      <c r="H16" s="141"/>
      <c r="I16" s="141"/>
      <c r="J16" s="141"/>
      <c r="K16" s="141"/>
    </row>
    <row r="17" spans="1:26" ht="34">
      <c r="B17" s="14" t="s">
        <v>57</v>
      </c>
      <c r="C17" s="25" t="s">
        <v>116</v>
      </c>
      <c r="D17" s="15" t="s">
        <v>29</v>
      </c>
      <c r="E17" s="27">
        <v>0.12</v>
      </c>
      <c r="G17" s="141"/>
      <c r="H17" s="141"/>
      <c r="I17" s="141"/>
      <c r="J17" s="141"/>
      <c r="K17" s="141"/>
    </row>
    <row r="18" spans="1:26">
      <c r="B18" s="21" t="s">
        <v>118</v>
      </c>
    </row>
    <row r="19" spans="1:26">
      <c r="B19" t="s">
        <v>572</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13</v>
      </c>
    </row>
    <row r="24" spans="1:26" ht="19">
      <c r="B24" s="18" t="s">
        <v>14</v>
      </c>
      <c r="C24" s="19" t="s">
        <v>586</v>
      </c>
    </row>
    <row r="25" spans="1:26">
      <c r="B25" s="4" t="s">
        <v>16</v>
      </c>
      <c r="C25" s="11" t="s">
        <v>18</v>
      </c>
      <c r="D25" s="11">
        <v>2021</v>
      </c>
      <c r="E25" s="11">
        <v>2022</v>
      </c>
      <c r="F25" s="11">
        <v>2023</v>
      </c>
      <c r="G25" s="11">
        <v>2024</v>
      </c>
      <c r="H25" s="12">
        <v>2025</v>
      </c>
    </row>
    <row r="26" spans="1:26" ht="20">
      <c r="B26" s="31" t="s">
        <v>47</v>
      </c>
      <c r="C26" t="s">
        <v>120</v>
      </c>
      <c r="D26" s="28">
        <v>14600</v>
      </c>
      <c r="E26" s="28">
        <v>14800</v>
      </c>
      <c r="F26" s="28">
        <v>14700</v>
      </c>
      <c r="G26" s="28">
        <v>14400</v>
      </c>
      <c r="H26" s="32">
        <v>15000</v>
      </c>
    </row>
    <row r="27" spans="1:26" ht="37">
      <c r="B27" s="31" t="s">
        <v>121</v>
      </c>
      <c r="C27" t="s">
        <v>143</v>
      </c>
      <c r="D27" s="50">
        <f>17.0305/14.007</f>
        <v>1.2158563575355179</v>
      </c>
      <c r="E27" s="50">
        <f t="shared" ref="E27:H27" si="0">17.0305/14.007</f>
        <v>1.2158563575355179</v>
      </c>
      <c r="F27" s="50">
        <f t="shared" si="0"/>
        <v>1.2158563575355179</v>
      </c>
      <c r="G27" s="50">
        <f t="shared" si="0"/>
        <v>1.2158563575355179</v>
      </c>
      <c r="H27" s="34">
        <f t="shared" si="0"/>
        <v>1.2158563575355179</v>
      </c>
    </row>
    <row r="28" spans="1:26" ht="17">
      <c r="B28" s="23" t="s">
        <v>119</v>
      </c>
      <c r="C28" s="15" t="s">
        <v>34</v>
      </c>
      <c r="D28" s="29">
        <f>D26*D27</f>
        <v>17751.502820018562</v>
      </c>
      <c r="E28" s="29">
        <f t="shared" ref="E28:G28" si="1">E26*E27</f>
        <v>17994.674091525663</v>
      </c>
      <c r="F28" s="29">
        <f t="shared" si="1"/>
        <v>17873.088455772115</v>
      </c>
      <c r="G28" s="29">
        <f t="shared" si="1"/>
        <v>17508.331548511458</v>
      </c>
      <c r="H28" s="30">
        <f>H26*H27</f>
        <v>18237.845363032768</v>
      </c>
    </row>
    <row r="29" spans="1:26">
      <c r="B29" s="21" t="s">
        <v>118</v>
      </c>
    </row>
    <row r="30" spans="1:26" ht="18">
      <c r="B30" t="s">
        <v>122</v>
      </c>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4" spans="2:8" ht="24">
      <c r="B34" s="3" t="s">
        <v>17</v>
      </c>
    </row>
    <row r="35" spans="2:8">
      <c r="B35" s="4" t="s">
        <v>16</v>
      </c>
      <c r="C35" s="11" t="s">
        <v>18</v>
      </c>
      <c r="D35" s="11">
        <v>2021</v>
      </c>
      <c r="E35" s="11">
        <v>2022</v>
      </c>
      <c r="F35" s="11">
        <v>2023</v>
      </c>
      <c r="G35" s="11">
        <v>2024</v>
      </c>
      <c r="H35" s="12">
        <v>2025</v>
      </c>
    </row>
    <row r="36" spans="2:8" ht="20">
      <c r="B36" s="31" t="s">
        <v>124</v>
      </c>
      <c r="C36" t="s">
        <v>125</v>
      </c>
      <c r="D36" s="28">
        <v>578</v>
      </c>
      <c r="E36" s="28">
        <v>1070</v>
      </c>
      <c r="F36" s="28">
        <v>470</v>
      </c>
      <c r="G36" s="28">
        <v>440</v>
      </c>
      <c r="H36" s="32">
        <v>450</v>
      </c>
    </row>
    <row r="37" spans="2:8" ht="20">
      <c r="B37" s="23" t="s">
        <v>146</v>
      </c>
      <c r="C37" s="15" t="s">
        <v>33</v>
      </c>
      <c r="D37" s="29">
        <f>D36*1.10231/D27</f>
        <v>524.02175310531106</v>
      </c>
      <c r="E37" s="29">
        <f t="shared" ref="E37:H37" si="2">E36*1.10231/E27</f>
        <v>970.07487166554108</v>
      </c>
      <c r="F37" s="29">
        <f t="shared" si="2"/>
        <v>426.10765390916299</v>
      </c>
      <c r="G37" s="29">
        <f t="shared" si="2"/>
        <v>398.90929302134407</v>
      </c>
      <c r="H37" s="30">
        <f t="shared" si="2"/>
        <v>407.97541331728371</v>
      </c>
    </row>
    <row r="38" spans="2:8">
      <c r="B38" s="21" t="s">
        <v>118</v>
      </c>
    </row>
    <row r="39" spans="2:8" ht="18">
      <c r="B39" t="s">
        <v>147</v>
      </c>
    </row>
  </sheetData>
  <mergeCells count="1">
    <mergeCell ref="G14:K17"/>
  </mergeCells>
  <hyperlinks>
    <hyperlink ref="C7" r:id="rId1" xr:uid="{7AF478B5-C37B-A14C-A6E2-5AEBFB62C213}"/>
    <hyperlink ref="B18" r:id="rId2" xr:uid="{FAB5FDB0-FC87-5040-AB31-CCA5AA1949F4}"/>
    <hyperlink ref="B29" r:id="rId3" xr:uid="{6DC71481-ED9C-E14A-A8BB-A93523E0AB92}"/>
    <hyperlink ref="B38" r:id="rId4" xr:uid="{0F4A9C1A-D4A1-0546-B5E9-5D61CD06AAC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3D6C-A6EE-2647-81D8-4C876C577167}">
  <dimension ref="A1:Z37"/>
  <sheetViews>
    <sheetView workbookViewId="0">
      <selection activeCell="C22" sqref="C2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126</v>
      </c>
    </row>
    <row r="3" spans="1:26" ht="16" customHeight="1">
      <c r="B3" t="s">
        <v>145</v>
      </c>
    </row>
    <row r="5" spans="1:26" ht="24">
      <c r="B5" s="3" t="s">
        <v>0</v>
      </c>
    </row>
    <row r="6" spans="1:26" ht="18">
      <c r="B6" s="4" t="s">
        <v>1</v>
      </c>
      <c r="C6" s="5" t="s">
        <v>127</v>
      </c>
    </row>
    <row r="7" spans="1:26">
      <c r="B7" s="6" t="s">
        <v>2</v>
      </c>
      <c r="C7" s="7" t="s">
        <v>128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row>
    <row r="15" spans="1:26" ht="62" customHeight="1">
      <c r="B15" s="13" t="s">
        <v>129</v>
      </c>
      <c r="C15" s="24" t="s">
        <v>130</v>
      </c>
      <c r="D15" t="s">
        <v>29</v>
      </c>
      <c r="E15" s="26">
        <v>0.95</v>
      </c>
    </row>
    <row r="16" spans="1:26" ht="17">
      <c r="B16" s="14" t="s">
        <v>67</v>
      </c>
      <c r="C16" s="25" t="s">
        <v>67</v>
      </c>
      <c r="D16" s="15" t="s">
        <v>29</v>
      </c>
      <c r="E16" s="27">
        <v>0.05</v>
      </c>
    </row>
    <row r="17" spans="1:26">
      <c r="B17" s="21" t="s">
        <v>131</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587</v>
      </c>
    </row>
    <row r="23" spans="1:26">
      <c r="B23" s="4" t="s">
        <v>16</v>
      </c>
      <c r="C23" s="11" t="s">
        <v>18</v>
      </c>
      <c r="D23" s="11">
        <v>2021</v>
      </c>
      <c r="E23" s="11">
        <v>2022</v>
      </c>
      <c r="F23" s="11">
        <v>2023</v>
      </c>
      <c r="G23" s="11">
        <v>2024</v>
      </c>
      <c r="H23" s="12">
        <v>2025</v>
      </c>
      <c r="J23" s="140" t="s">
        <v>135</v>
      </c>
      <c r="K23" s="140"/>
      <c r="L23" s="140"/>
      <c r="M23" s="140"/>
    </row>
    <row r="24" spans="1:26" ht="37">
      <c r="B24" s="31" t="s">
        <v>132</v>
      </c>
      <c r="C24" t="s">
        <v>557</v>
      </c>
      <c r="D24" s="28">
        <v>24400</v>
      </c>
      <c r="E24" s="28">
        <v>22300</v>
      </c>
      <c r="F24" s="28">
        <v>22600</v>
      </c>
      <c r="G24" s="28">
        <v>22500</v>
      </c>
      <c r="H24" s="32">
        <v>21000</v>
      </c>
      <c r="J24" s="140"/>
      <c r="K24" s="140"/>
      <c r="L24" s="140"/>
      <c r="M24" s="140"/>
    </row>
    <row r="25" spans="1:26" ht="40">
      <c r="B25" s="31" t="s">
        <v>133</v>
      </c>
      <c r="C25" t="s">
        <v>144</v>
      </c>
      <c r="D25">
        <v>0.28000000000000003</v>
      </c>
      <c r="E25">
        <v>0.28000000000000003</v>
      </c>
      <c r="F25">
        <v>0.28000000000000003</v>
      </c>
      <c r="G25">
        <v>0.28000000000000003</v>
      </c>
      <c r="H25" s="8">
        <v>0.28000000000000003</v>
      </c>
      <c r="J25" s="140"/>
      <c r="K25" s="140"/>
      <c r="L25" s="140"/>
      <c r="M25" s="140"/>
    </row>
    <row r="26" spans="1:26" ht="17">
      <c r="B26" s="23" t="s">
        <v>119</v>
      </c>
      <c r="C26" s="15" t="s">
        <v>34</v>
      </c>
      <c r="D26" s="29">
        <f>D24*D25</f>
        <v>6832.0000000000009</v>
      </c>
      <c r="E26" s="29">
        <f t="shared" ref="E26:H26" si="0">E24*E25</f>
        <v>6244.0000000000009</v>
      </c>
      <c r="F26" s="29">
        <f t="shared" si="0"/>
        <v>6328.0000000000009</v>
      </c>
      <c r="G26" s="29">
        <f t="shared" si="0"/>
        <v>6300.0000000000009</v>
      </c>
      <c r="H26" s="30">
        <f t="shared" si="0"/>
        <v>5880.0000000000009</v>
      </c>
      <c r="J26" s="140"/>
      <c r="K26" s="140"/>
      <c r="L26" s="140"/>
      <c r="M26" s="140"/>
    </row>
    <row r="27" spans="1:26">
      <c r="B27" s="21" t="s">
        <v>131</v>
      </c>
    </row>
    <row r="28" spans="1:26">
      <c r="B28" s="33" t="s">
        <v>134</v>
      </c>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2" spans="1:26" ht="24">
      <c r="B32" s="3" t="s">
        <v>17</v>
      </c>
    </row>
    <row r="33" spans="2:8">
      <c r="B33" s="4" t="s">
        <v>16</v>
      </c>
      <c r="C33" s="11" t="s">
        <v>18</v>
      </c>
      <c r="D33" s="11">
        <v>2021</v>
      </c>
      <c r="E33" s="11">
        <v>2022</v>
      </c>
      <c r="F33" s="11">
        <v>2023</v>
      </c>
      <c r="G33" s="11">
        <v>2024</v>
      </c>
      <c r="H33" s="12">
        <v>2025</v>
      </c>
    </row>
    <row r="34" spans="2:8" ht="20">
      <c r="B34" s="31" t="s">
        <v>136</v>
      </c>
      <c r="C34" t="s">
        <v>137</v>
      </c>
      <c r="D34">
        <v>83</v>
      </c>
      <c r="E34">
        <v>99</v>
      </c>
      <c r="F34">
        <v>101</v>
      </c>
      <c r="G34">
        <v>96</v>
      </c>
      <c r="H34" s="8">
        <v>100</v>
      </c>
    </row>
    <row r="35" spans="2:8" ht="20">
      <c r="B35" s="23" t="s">
        <v>148</v>
      </c>
      <c r="C35" s="15" t="s">
        <v>33</v>
      </c>
      <c r="D35" s="52">
        <f>D34/D25</f>
        <v>296.42857142857139</v>
      </c>
      <c r="E35" s="52">
        <f t="shared" ref="E35:H35" si="1">E34/E25</f>
        <v>353.57142857142856</v>
      </c>
      <c r="F35" s="52">
        <f t="shared" si="1"/>
        <v>360.71428571428567</v>
      </c>
      <c r="G35" s="52">
        <f t="shared" si="1"/>
        <v>342.85714285714283</v>
      </c>
      <c r="H35" s="53">
        <f t="shared" si="1"/>
        <v>357.14285714285711</v>
      </c>
    </row>
    <row r="36" spans="2:8">
      <c r="B36" s="21" t="s">
        <v>131</v>
      </c>
    </row>
    <row r="37" spans="2:8" ht="18">
      <c r="B37" t="s">
        <v>149</v>
      </c>
    </row>
  </sheetData>
  <mergeCells count="1">
    <mergeCell ref="J23:M26"/>
  </mergeCells>
  <hyperlinks>
    <hyperlink ref="C7" r:id="rId1" xr:uid="{B5CFD92B-7E39-6B4D-AF66-18CFDDE691D5}"/>
    <hyperlink ref="B17" r:id="rId2" xr:uid="{EBC27761-9321-854C-A42E-E1CBFDA7B0D4}"/>
    <hyperlink ref="B27" r:id="rId3" xr:uid="{1F8A01E5-40CE-A14D-965D-B5F9A8B15542}"/>
    <hyperlink ref="B28" r:id="rId4" xr:uid="{59C725F9-DCAF-1343-8C1C-46CAD13F2B91}"/>
    <hyperlink ref="B36" r:id="rId5" xr:uid="{FDAAD4DD-2094-1B46-A365-7171B12DFD7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671C-98DD-1749-BC6A-9DE7975E875B}">
  <dimension ref="A1:Z37"/>
  <sheetViews>
    <sheetView workbookViewId="0">
      <selection activeCell="E9" sqref="E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76</v>
      </c>
    </row>
    <row r="3" spans="1:26" ht="16" customHeight="1">
      <c r="B3" t="s">
        <v>145</v>
      </c>
    </row>
    <row r="5" spans="1:26" ht="24">
      <c r="B5" s="3" t="s">
        <v>0</v>
      </c>
    </row>
    <row r="6" spans="1:26" ht="18">
      <c r="B6" s="4" t="s">
        <v>1</v>
      </c>
      <c r="C6" s="5" t="s">
        <v>77</v>
      </c>
    </row>
    <row r="7" spans="1:26">
      <c r="B7" s="6" t="s">
        <v>2</v>
      </c>
      <c r="C7" s="7" t="s">
        <v>78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41" t="s">
        <v>84</v>
      </c>
      <c r="H14" s="141"/>
      <c r="I14" s="141"/>
      <c r="J14" s="141"/>
    </row>
    <row r="15" spans="1:26" ht="17">
      <c r="B15" s="13" t="s">
        <v>79</v>
      </c>
      <c r="C15" s="24" t="s">
        <v>80</v>
      </c>
      <c r="D15" t="s">
        <v>29</v>
      </c>
      <c r="E15" s="26">
        <v>0.65</v>
      </c>
      <c r="G15" s="141"/>
      <c r="H15" s="141"/>
      <c r="I15" s="141"/>
      <c r="J15" s="141"/>
    </row>
    <row r="16" spans="1:26" ht="17">
      <c r="B16" s="13" t="s">
        <v>81</v>
      </c>
      <c r="C16" s="24" t="s">
        <v>82</v>
      </c>
      <c r="D16" t="s">
        <v>29</v>
      </c>
      <c r="E16" s="26">
        <v>0.14000000000000001</v>
      </c>
      <c r="G16" s="141"/>
      <c r="H16" s="141"/>
      <c r="I16" s="141"/>
      <c r="J16" s="141"/>
    </row>
    <row r="17" spans="1:26" ht="17">
      <c r="B17" s="13" t="s">
        <v>81</v>
      </c>
      <c r="C17" s="24" t="s">
        <v>83</v>
      </c>
      <c r="D17" t="s">
        <v>29</v>
      </c>
      <c r="E17" s="26">
        <v>0.14000000000000001</v>
      </c>
      <c r="G17" s="141"/>
      <c r="H17" s="141"/>
      <c r="I17" s="141"/>
      <c r="J17" s="141"/>
    </row>
    <row r="18" spans="1:26" ht="17">
      <c r="B18" s="14" t="s">
        <v>67</v>
      </c>
      <c r="C18" s="25" t="s">
        <v>67</v>
      </c>
      <c r="D18" s="15" t="s">
        <v>29</v>
      </c>
      <c r="E18" s="27">
        <v>7.0000000000000007E-2</v>
      </c>
      <c r="G18" s="141"/>
      <c r="H18" s="141"/>
      <c r="I18" s="141"/>
      <c r="J18" s="141"/>
    </row>
    <row r="19" spans="1:26">
      <c r="B19" s="21" t="s">
        <v>85</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13</v>
      </c>
    </row>
    <row r="24" spans="1:26" ht="19">
      <c r="B24" s="18" t="s">
        <v>14</v>
      </c>
      <c r="C24" s="19" t="s">
        <v>587</v>
      </c>
    </row>
    <row r="25" spans="1:26">
      <c r="B25" s="4" t="s">
        <v>16</v>
      </c>
      <c r="C25" s="11" t="s">
        <v>18</v>
      </c>
      <c r="D25" s="11">
        <v>2021</v>
      </c>
      <c r="E25" s="11">
        <v>2022</v>
      </c>
      <c r="F25" s="11">
        <v>2023</v>
      </c>
      <c r="G25" s="11">
        <v>2024</v>
      </c>
      <c r="H25" s="12">
        <v>2025</v>
      </c>
    </row>
    <row r="26" spans="1:26" ht="20">
      <c r="B26" s="31" t="s">
        <v>150</v>
      </c>
      <c r="C26" t="s">
        <v>154</v>
      </c>
      <c r="D26" s="28">
        <v>106</v>
      </c>
      <c r="E26" s="28">
        <v>9160</v>
      </c>
      <c r="F26" s="28">
        <v>2060</v>
      </c>
      <c r="G26" s="28">
        <v>29</v>
      </c>
      <c r="H26" s="32">
        <v>8100</v>
      </c>
    </row>
    <row r="27" spans="1:26" ht="38">
      <c r="B27" s="31" t="s">
        <v>151</v>
      </c>
      <c r="C27" t="s">
        <v>152</v>
      </c>
      <c r="D27" s="50">
        <f>183.68242/87.62</f>
        <v>2.096352659210226</v>
      </c>
      <c r="E27" s="50">
        <f t="shared" ref="E27:H27" si="0">183.68242/87.62</f>
        <v>2.096352659210226</v>
      </c>
      <c r="F27" s="50">
        <f t="shared" si="0"/>
        <v>2.096352659210226</v>
      </c>
      <c r="G27" s="50">
        <f t="shared" si="0"/>
        <v>2.096352659210226</v>
      </c>
      <c r="H27" s="34">
        <f t="shared" si="0"/>
        <v>2.096352659210226</v>
      </c>
    </row>
    <row r="28" spans="1:26" ht="17">
      <c r="B28" s="23" t="s">
        <v>119</v>
      </c>
      <c r="C28" s="15" t="s">
        <v>34</v>
      </c>
      <c r="D28" s="54">
        <f>D26*D27/1000</f>
        <v>0.22221338187628395</v>
      </c>
      <c r="E28" s="54">
        <f t="shared" ref="E28:H28" si="1">E26*E27/1000</f>
        <v>19.202590358365669</v>
      </c>
      <c r="F28" s="54">
        <f t="shared" si="1"/>
        <v>4.3184864779730647</v>
      </c>
      <c r="G28" s="54">
        <f t="shared" si="1"/>
        <v>6.0794227117096554E-2</v>
      </c>
      <c r="H28" s="55">
        <f t="shared" si="1"/>
        <v>16.98045653960283</v>
      </c>
    </row>
    <row r="29" spans="1:26">
      <c r="B29" s="21" t="s">
        <v>85</v>
      </c>
    </row>
    <row r="30" spans="1:26" ht="18">
      <c r="B30" t="s">
        <v>153</v>
      </c>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4" spans="2:8" ht="24">
      <c r="B34" s="3" t="s">
        <v>17</v>
      </c>
    </row>
    <row r="35" spans="2:8">
      <c r="B35" s="4" t="s">
        <v>16</v>
      </c>
      <c r="C35" s="11" t="s">
        <v>18</v>
      </c>
      <c r="D35" s="11">
        <v>2021</v>
      </c>
      <c r="E35" s="11">
        <v>2022</v>
      </c>
      <c r="F35" s="11">
        <v>2023</v>
      </c>
      <c r="G35" s="11">
        <v>2024</v>
      </c>
      <c r="H35" s="12">
        <v>2025</v>
      </c>
    </row>
    <row r="36" spans="2:8" ht="37">
      <c r="B36" s="23" t="s">
        <v>155</v>
      </c>
      <c r="C36" s="15" t="s">
        <v>33</v>
      </c>
      <c r="D36" s="15">
        <v>210</v>
      </c>
      <c r="E36" s="15">
        <v>143</v>
      </c>
      <c r="F36" s="15">
        <v>82</v>
      </c>
      <c r="G36" s="15">
        <v>807</v>
      </c>
      <c r="H36" s="10">
        <v>160</v>
      </c>
    </row>
    <row r="37" spans="2:8">
      <c r="B37" s="21" t="s">
        <v>85</v>
      </c>
    </row>
  </sheetData>
  <mergeCells count="1">
    <mergeCell ref="G14:J18"/>
  </mergeCells>
  <hyperlinks>
    <hyperlink ref="C7" r:id="rId1" xr:uid="{B553E28F-87CD-BD4D-85A7-C3AE6824836B}"/>
    <hyperlink ref="B19" r:id="rId2" xr:uid="{C38C3727-60D1-A44F-8069-A76161F2FD48}"/>
    <hyperlink ref="B29" r:id="rId3" xr:uid="{6D423BC3-240A-8649-90EC-206D53F35FE0}"/>
    <hyperlink ref="B37" r:id="rId4" xr:uid="{15A5613E-AC0A-F04F-A181-9F8D7EC90DA7}"/>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7C28-D50B-D14D-9EBD-F9FE8C10D321}">
  <dimension ref="A1:Z37"/>
  <sheetViews>
    <sheetView workbookViewId="0">
      <selection activeCell="B19" sqref="B18:B19"/>
    </sheetView>
  </sheetViews>
  <sheetFormatPr baseColWidth="10" defaultRowHeight="16"/>
  <cols>
    <col min="1" max="1" width="3.33203125" customWidth="1"/>
    <col min="2" max="2" width="18.33203125" style="87" customWidth="1"/>
    <col min="3" max="3" width="57.33203125" style="24" customWidth="1"/>
    <col min="4" max="9" width="15.83203125" customWidth="1"/>
    <col min="10" max="10" width="26.5" customWidth="1"/>
    <col min="11" max="26" width="15.83203125" customWidth="1"/>
  </cols>
  <sheetData>
    <row r="1" spans="1:26">
      <c r="A1" s="63"/>
      <c r="B1" s="88"/>
      <c r="C1" s="65"/>
      <c r="D1" s="63"/>
      <c r="E1" s="63"/>
      <c r="F1" s="63"/>
      <c r="G1" s="63"/>
      <c r="H1" s="63"/>
      <c r="I1" s="63"/>
      <c r="J1" s="63"/>
      <c r="K1" s="63"/>
      <c r="L1" s="63"/>
      <c r="M1" s="63"/>
      <c r="N1" s="63"/>
      <c r="O1" s="63"/>
      <c r="P1" s="63"/>
      <c r="Q1" s="63"/>
      <c r="R1" s="63"/>
      <c r="S1" s="63"/>
      <c r="T1" s="63"/>
      <c r="U1" s="63"/>
      <c r="V1" s="63"/>
      <c r="W1" s="63"/>
      <c r="X1" s="63"/>
      <c r="Y1" s="63"/>
      <c r="Z1" s="63"/>
    </row>
    <row r="2" spans="1:26" ht="27">
      <c r="B2" s="89" t="s">
        <v>185</v>
      </c>
    </row>
    <row r="3" spans="1:26" ht="20" customHeight="1">
      <c r="B3" s="90" t="s">
        <v>186</v>
      </c>
    </row>
    <row r="5" spans="1:26" ht="17">
      <c r="B5" s="91" t="s">
        <v>187</v>
      </c>
      <c r="C5" s="66" t="s">
        <v>16</v>
      </c>
      <c r="D5" s="64" t="s">
        <v>18</v>
      </c>
      <c r="E5" s="64">
        <v>2021</v>
      </c>
      <c r="F5" s="64">
        <v>2022</v>
      </c>
      <c r="G5" s="64">
        <v>2023</v>
      </c>
      <c r="H5" s="64">
        <v>2024</v>
      </c>
      <c r="I5" s="64">
        <v>2025</v>
      </c>
      <c r="J5" s="64" t="s">
        <v>196</v>
      </c>
    </row>
    <row r="6" spans="1:26" ht="17">
      <c r="B6" s="87" t="s">
        <v>188</v>
      </c>
      <c r="C6" s="24" t="s">
        <v>189</v>
      </c>
      <c r="D6" t="s">
        <v>190</v>
      </c>
      <c r="E6">
        <v>54190</v>
      </c>
      <c r="F6">
        <v>48158</v>
      </c>
      <c r="G6">
        <v>37978</v>
      </c>
      <c r="H6">
        <v>42535</v>
      </c>
      <c r="I6">
        <v>52382</v>
      </c>
      <c r="J6">
        <f>IF(D6="metric tons",0.001,IF(D6="kilograms",0.000001,NA()))</f>
        <v>1E-3</v>
      </c>
    </row>
    <row r="7" spans="1:26" ht="17">
      <c r="B7" s="87" t="s">
        <v>191</v>
      </c>
      <c r="C7" s="24" t="s">
        <v>192</v>
      </c>
      <c r="D7" t="s">
        <v>193</v>
      </c>
      <c r="E7">
        <v>6019420</v>
      </c>
      <c r="F7">
        <v>5375388</v>
      </c>
      <c r="G7">
        <v>3158040</v>
      </c>
      <c r="H7">
        <v>2955172</v>
      </c>
      <c r="I7">
        <v>4371018</v>
      </c>
      <c r="J7">
        <f t="shared" ref="J7:J37" si="0">IF(D7="metric tons",0.001,IF(D7="kilograms",0.000001,NA()))</f>
        <v>9.9999999999999995E-7</v>
      </c>
    </row>
    <row r="8" spans="1:26" ht="34">
      <c r="B8" s="87" t="s">
        <v>194</v>
      </c>
      <c r="C8" s="24" t="s">
        <v>195</v>
      </c>
      <c r="D8" t="s">
        <v>193</v>
      </c>
      <c r="E8">
        <v>225925623</v>
      </c>
      <c r="F8">
        <v>162307488</v>
      </c>
      <c r="G8">
        <v>152407793</v>
      </c>
      <c r="H8">
        <v>147197241</v>
      </c>
      <c r="I8">
        <v>143311218</v>
      </c>
      <c r="J8">
        <f t="shared" si="0"/>
        <v>9.9999999999999995E-7</v>
      </c>
    </row>
    <row r="9" spans="1:26" ht="17">
      <c r="B9" s="87" t="s">
        <v>240</v>
      </c>
      <c r="C9" s="24" t="s">
        <v>239</v>
      </c>
      <c r="D9" t="s">
        <v>190</v>
      </c>
      <c r="E9" s="28">
        <v>1202236</v>
      </c>
      <c r="F9" s="28">
        <v>1683152</v>
      </c>
      <c r="G9" s="28">
        <v>1413413</v>
      </c>
      <c r="H9" s="28">
        <v>1440243</v>
      </c>
      <c r="I9" s="28">
        <v>1465785</v>
      </c>
      <c r="J9">
        <f t="shared" si="0"/>
        <v>1E-3</v>
      </c>
    </row>
    <row r="10" spans="1:26" ht="17">
      <c r="B10" s="87" t="s">
        <v>316</v>
      </c>
      <c r="C10" s="24" t="s">
        <v>317</v>
      </c>
      <c r="D10" t="s">
        <v>190</v>
      </c>
      <c r="E10" s="28">
        <v>328677</v>
      </c>
      <c r="F10" s="28">
        <v>317119</v>
      </c>
      <c r="G10" s="28">
        <v>350072</v>
      </c>
      <c r="H10" s="28">
        <v>320388</v>
      </c>
      <c r="I10" s="28">
        <v>270188</v>
      </c>
      <c r="J10">
        <f t="shared" si="0"/>
        <v>1E-3</v>
      </c>
    </row>
    <row r="11" spans="1:26" ht="17">
      <c r="B11" s="87" t="s">
        <v>340</v>
      </c>
      <c r="C11" s="24" t="s">
        <v>341</v>
      </c>
      <c r="D11" t="s">
        <v>193</v>
      </c>
      <c r="E11" s="28">
        <v>103271718</v>
      </c>
      <c r="F11" s="28">
        <v>99439092</v>
      </c>
      <c r="G11" s="28">
        <v>86756697</v>
      </c>
      <c r="H11" s="28">
        <v>68949172</v>
      </c>
      <c r="I11" s="28">
        <v>76050680</v>
      </c>
      <c r="J11">
        <f t="shared" si="0"/>
        <v>9.9999999999999995E-7</v>
      </c>
    </row>
    <row r="12" spans="1:26" ht="34">
      <c r="B12" s="87" t="s">
        <v>362</v>
      </c>
      <c r="C12" s="24" t="s">
        <v>363</v>
      </c>
      <c r="D12" t="s">
        <v>193</v>
      </c>
      <c r="E12" s="28">
        <v>1144775985</v>
      </c>
      <c r="F12" s="28">
        <v>1245407748</v>
      </c>
      <c r="G12" s="28">
        <v>1123003939</v>
      </c>
      <c r="H12" s="28">
        <v>1045788013</v>
      </c>
      <c r="I12" s="28">
        <v>918257985</v>
      </c>
      <c r="J12">
        <f t="shared" si="0"/>
        <v>9.9999999999999995E-7</v>
      </c>
    </row>
    <row r="13" spans="1:26" ht="17">
      <c r="B13" s="87" t="s">
        <v>387</v>
      </c>
      <c r="C13" s="24" t="s">
        <v>388</v>
      </c>
      <c r="D13" t="s">
        <v>193</v>
      </c>
      <c r="E13" s="28">
        <v>2727343</v>
      </c>
      <c r="F13" s="28">
        <v>7481285</v>
      </c>
      <c r="G13" s="28">
        <v>661359</v>
      </c>
      <c r="H13" s="28">
        <v>8841482</v>
      </c>
      <c r="I13" s="28">
        <v>2130753</v>
      </c>
      <c r="J13">
        <f t="shared" si="0"/>
        <v>9.9999999999999995E-7</v>
      </c>
    </row>
    <row r="14" spans="1:26" ht="17">
      <c r="B14" s="87" t="s">
        <v>389</v>
      </c>
      <c r="C14" s="24" t="s">
        <v>390</v>
      </c>
      <c r="D14" t="s">
        <v>193</v>
      </c>
      <c r="E14" s="28">
        <v>913839</v>
      </c>
      <c r="F14" s="28">
        <v>611880</v>
      </c>
      <c r="G14" s="28">
        <v>825575</v>
      </c>
      <c r="H14" s="28">
        <v>873507</v>
      </c>
      <c r="I14" s="28">
        <v>2324685</v>
      </c>
      <c r="J14">
        <f t="shared" si="0"/>
        <v>9.9999999999999995E-7</v>
      </c>
    </row>
    <row r="15" spans="1:26" ht="17">
      <c r="B15" s="87" t="s">
        <v>391</v>
      </c>
      <c r="C15" s="24" t="s">
        <v>392</v>
      </c>
      <c r="D15" t="s">
        <v>193</v>
      </c>
      <c r="E15" s="28">
        <v>12765202</v>
      </c>
      <c r="F15" s="28">
        <v>13075305</v>
      </c>
      <c r="G15" s="28">
        <v>9980971</v>
      </c>
      <c r="H15" s="28">
        <v>11150462</v>
      </c>
      <c r="I15" s="28">
        <v>13101851</v>
      </c>
      <c r="J15">
        <f t="shared" si="0"/>
        <v>9.9999999999999995E-7</v>
      </c>
    </row>
    <row r="16" spans="1:26" ht="17">
      <c r="B16" s="87" t="s">
        <v>393</v>
      </c>
      <c r="C16" s="24" t="s">
        <v>394</v>
      </c>
      <c r="D16" t="s">
        <v>193</v>
      </c>
      <c r="E16" s="28">
        <v>93962223</v>
      </c>
      <c r="F16" s="28">
        <v>57020048</v>
      </c>
      <c r="G16" s="28">
        <v>89004483</v>
      </c>
      <c r="H16" s="28">
        <v>74982349</v>
      </c>
      <c r="I16" s="28">
        <v>95049037</v>
      </c>
      <c r="J16">
        <f t="shared" si="0"/>
        <v>9.9999999999999995E-7</v>
      </c>
    </row>
    <row r="17" spans="2:10" ht="17">
      <c r="B17" s="87" t="s">
        <v>395</v>
      </c>
      <c r="C17" s="24" t="s">
        <v>396</v>
      </c>
      <c r="D17" t="s">
        <v>193</v>
      </c>
      <c r="E17" s="28">
        <v>44531212</v>
      </c>
      <c r="F17" s="28">
        <v>31059237</v>
      </c>
      <c r="G17" s="28">
        <v>26138337</v>
      </c>
      <c r="H17" s="28">
        <v>36880121</v>
      </c>
      <c r="I17" s="28">
        <v>39877143</v>
      </c>
      <c r="J17">
        <f t="shared" si="0"/>
        <v>9.9999999999999995E-7</v>
      </c>
    </row>
    <row r="18" spans="2:10" ht="17">
      <c r="B18" s="87" t="s">
        <v>506</v>
      </c>
      <c r="C18" s="24" t="s">
        <v>507</v>
      </c>
      <c r="D18" t="s">
        <v>190</v>
      </c>
      <c r="E18" s="28">
        <v>11400571</v>
      </c>
      <c r="F18" s="28">
        <v>7405278</v>
      </c>
      <c r="G18" s="28">
        <v>6813547</v>
      </c>
      <c r="H18" s="28">
        <v>5400690</v>
      </c>
      <c r="I18" s="28">
        <v>2802955</v>
      </c>
      <c r="J18">
        <f t="shared" si="0"/>
        <v>1E-3</v>
      </c>
    </row>
    <row r="19" spans="2:10" ht="17">
      <c r="B19" s="87" t="s">
        <v>508</v>
      </c>
      <c r="C19" s="24" t="s">
        <v>509</v>
      </c>
      <c r="D19" t="s">
        <v>193</v>
      </c>
      <c r="E19" s="28">
        <v>54587744</v>
      </c>
      <c r="F19" s="28">
        <v>84646120</v>
      </c>
      <c r="G19" s="28">
        <v>79856716</v>
      </c>
      <c r="H19" s="28">
        <v>85623784</v>
      </c>
      <c r="I19" s="28">
        <v>72167708</v>
      </c>
      <c r="J19">
        <f t="shared" si="0"/>
        <v>9.9999999999999995E-7</v>
      </c>
    </row>
    <row r="20" spans="2:10">
      <c r="J20" t="e">
        <f t="shared" si="0"/>
        <v>#N/A</v>
      </c>
    </row>
    <row r="21" spans="2:10">
      <c r="J21" t="e">
        <f t="shared" si="0"/>
        <v>#N/A</v>
      </c>
    </row>
    <row r="22" spans="2:10">
      <c r="J22" t="e">
        <f t="shared" si="0"/>
        <v>#N/A</v>
      </c>
    </row>
    <row r="23" spans="2:10">
      <c r="J23" t="e">
        <f t="shared" si="0"/>
        <v>#N/A</v>
      </c>
    </row>
    <row r="24" spans="2:10">
      <c r="J24" t="e">
        <f t="shared" si="0"/>
        <v>#N/A</v>
      </c>
    </row>
    <row r="25" spans="2:10">
      <c r="J25" t="e">
        <f t="shared" si="0"/>
        <v>#N/A</v>
      </c>
    </row>
    <row r="26" spans="2:10">
      <c r="J26" t="e">
        <f t="shared" si="0"/>
        <v>#N/A</v>
      </c>
    </row>
    <row r="27" spans="2:10">
      <c r="J27" t="e">
        <f t="shared" si="0"/>
        <v>#N/A</v>
      </c>
    </row>
    <row r="28" spans="2:10">
      <c r="J28" t="e">
        <f t="shared" si="0"/>
        <v>#N/A</v>
      </c>
    </row>
    <row r="29" spans="2:10">
      <c r="J29" t="e">
        <f t="shared" si="0"/>
        <v>#N/A</v>
      </c>
    </row>
    <row r="30" spans="2:10">
      <c r="J30" t="e">
        <f t="shared" si="0"/>
        <v>#N/A</v>
      </c>
    </row>
    <row r="31" spans="2:10">
      <c r="J31" t="e">
        <f t="shared" si="0"/>
        <v>#N/A</v>
      </c>
    </row>
    <row r="32" spans="2:10">
      <c r="J32" t="e">
        <f t="shared" si="0"/>
        <v>#N/A</v>
      </c>
    </row>
    <row r="33" spans="10:10">
      <c r="J33" t="e">
        <f t="shared" si="0"/>
        <v>#N/A</v>
      </c>
    </row>
    <row r="34" spans="10:10">
      <c r="J34" t="e">
        <f t="shared" si="0"/>
        <v>#N/A</v>
      </c>
    </row>
    <row r="35" spans="10:10">
      <c r="J35" t="e">
        <f t="shared" si="0"/>
        <v>#N/A</v>
      </c>
    </row>
    <row r="36" spans="10:10">
      <c r="J36" t="e">
        <f t="shared" si="0"/>
        <v>#N/A</v>
      </c>
    </row>
    <row r="37" spans="10:10">
      <c r="J37" t="e">
        <f t="shared" si="0"/>
        <v>#N/A</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DF0C-275B-AE49-A1C3-6CE3DCB4B747}">
  <dimension ref="A1:Z34"/>
  <sheetViews>
    <sheetView workbookViewId="0">
      <selection activeCell="K15" sqref="K15"/>
    </sheetView>
  </sheetViews>
  <sheetFormatPr baseColWidth="10" defaultRowHeight="16"/>
  <cols>
    <col min="1" max="1" width="3.33203125" customWidth="1"/>
    <col min="2" max="2" width="18.33203125" style="87" customWidth="1"/>
    <col min="3" max="3" width="57.33203125" style="24" customWidth="1"/>
    <col min="4" max="9" width="15.83203125" customWidth="1"/>
    <col min="10" max="10" width="26.5" customWidth="1"/>
    <col min="11" max="26" width="15.83203125" customWidth="1"/>
  </cols>
  <sheetData>
    <row r="1" spans="1:26">
      <c r="A1" s="63"/>
      <c r="B1" s="88"/>
      <c r="C1" s="65"/>
      <c r="D1" s="63"/>
      <c r="E1" s="63"/>
      <c r="F1" s="63"/>
      <c r="G1" s="63"/>
      <c r="H1" s="63"/>
      <c r="I1" s="63"/>
      <c r="J1" s="63"/>
      <c r="K1" s="63"/>
      <c r="L1" s="63"/>
      <c r="M1" s="63"/>
      <c r="N1" s="63"/>
      <c r="O1" s="63"/>
      <c r="P1" s="63"/>
      <c r="Q1" s="63"/>
      <c r="R1" s="63"/>
      <c r="S1" s="63"/>
      <c r="T1" s="63"/>
      <c r="U1" s="63"/>
      <c r="V1" s="63"/>
      <c r="W1" s="63"/>
      <c r="X1" s="63"/>
      <c r="Y1" s="63"/>
      <c r="Z1" s="63"/>
    </row>
    <row r="2" spans="1:26" ht="27">
      <c r="B2" s="89" t="s">
        <v>213</v>
      </c>
    </row>
    <row r="3" spans="1:26" ht="20" customHeight="1">
      <c r="B3" s="90" t="s">
        <v>186</v>
      </c>
    </row>
    <row r="5" spans="1:26" ht="17">
      <c r="B5" s="91" t="s">
        <v>187</v>
      </c>
      <c r="C5" s="66" t="s">
        <v>16</v>
      </c>
      <c r="D5" s="64" t="s">
        <v>18</v>
      </c>
      <c r="E5" s="64">
        <v>2021</v>
      </c>
      <c r="F5" s="64">
        <v>2022</v>
      </c>
      <c r="G5" s="64">
        <v>2023</v>
      </c>
      <c r="H5" s="64">
        <v>2024</v>
      </c>
      <c r="I5" s="64">
        <v>2025</v>
      </c>
      <c r="J5" s="64" t="s">
        <v>196</v>
      </c>
    </row>
    <row r="6" spans="1:26" ht="17">
      <c r="B6" s="87" t="s">
        <v>188</v>
      </c>
      <c r="C6" s="24" t="s">
        <v>189</v>
      </c>
      <c r="D6" t="s">
        <v>190</v>
      </c>
      <c r="E6">
        <v>279788</v>
      </c>
      <c r="F6">
        <v>239121</v>
      </c>
      <c r="G6">
        <v>253119</v>
      </c>
      <c r="H6">
        <v>246044</v>
      </c>
      <c r="I6">
        <v>247883</v>
      </c>
      <c r="J6">
        <f>IF(D6="metric tons",0.001,IF(D6="kilograms",0.000001,NA()))</f>
        <v>1E-3</v>
      </c>
    </row>
    <row r="7" spans="1:26" ht="17">
      <c r="B7" s="87" t="s">
        <v>191</v>
      </c>
      <c r="C7" s="24" t="s">
        <v>192</v>
      </c>
      <c r="D7" t="s">
        <v>193</v>
      </c>
      <c r="E7">
        <v>47223602</v>
      </c>
      <c r="F7">
        <v>41768599</v>
      </c>
      <c r="G7">
        <v>58258883</v>
      </c>
      <c r="H7">
        <v>57467468</v>
      </c>
      <c r="I7">
        <v>39605678</v>
      </c>
      <c r="J7">
        <f t="shared" ref="J7:J34" si="0">IF(D7="metric tons",0.001,IF(D7="kilograms",0.000001,NA()))</f>
        <v>9.9999999999999995E-7</v>
      </c>
    </row>
    <row r="8" spans="1:26" ht="34">
      <c r="B8" s="87" t="s">
        <v>194</v>
      </c>
      <c r="C8" s="24" t="s">
        <v>195</v>
      </c>
      <c r="D8" t="s">
        <v>193</v>
      </c>
      <c r="E8">
        <v>559536189</v>
      </c>
      <c r="F8">
        <v>609486118</v>
      </c>
      <c r="G8">
        <v>545687104</v>
      </c>
      <c r="H8">
        <v>597382176</v>
      </c>
      <c r="I8">
        <v>514047508</v>
      </c>
      <c r="J8">
        <f t="shared" si="0"/>
        <v>9.9999999999999995E-7</v>
      </c>
    </row>
    <row r="9" spans="1:26" ht="17">
      <c r="B9" s="87" t="s">
        <v>241</v>
      </c>
      <c r="C9" s="24" t="s">
        <v>242</v>
      </c>
      <c r="D9" t="s">
        <v>190</v>
      </c>
      <c r="E9" s="28">
        <v>53050</v>
      </c>
      <c r="F9" s="28">
        <v>77075</v>
      </c>
      <c r="G9" s="28">
        <v>61975</v>
      </c>
      <c r="H9" s="28">
        <v>53134</v>
      </c>
      <c r="I9" s="28">
        <v>53879</v>
      </c>
      <c r="J9">
        <f t="shared" si="0"/>
        <v>1E-3</v>
      </c>
    </row>
    <row r="10" spans="1:26" ht="17">
      <c r="B10" s="87" t="s">
        <v>243</v>
      </c>
      <c r="C10" s="24" t="s">
        <v>244</v>
      </c>
      <c r="D10" t="s">
        <v>193</v>
      </c>
      <c r="E10" s="28">
        <v>8527952</v>
      </c>
      <c r="F10" s="28">
        <v>9425848</v>
      </c>
      <c r="G10" s="28">
        <v>12731951</v>
      </c>
      <c r="H10" s="28">
        <v>11895602</v>
      </c>
      <c r="I10" s="28">
        <v>10059504</v>
      </c>
      <c r="J10">
        <f t="shared" si="0"/>
        <v>9.9999999999999995E-7</v>
      </c>
    </row>
    <row r="11" spans="1:26" ht="17">
      <c r="B11" s="87" t="s">
        <v>316</v>
      </c>
      <c r="C11" s="24" t="s">
        <v>317</v>
      </c>
      <c r="D11" t="s">
        <v>190</v>
      </c>
      <c r="E11" s="28">
        <v>63097</v>
      </c>
      <c r="F11" s="28">
        <v>84293</v>
      </c>
      <c r="G11" s="28">
        <v>125409</v>
      </c>
      <c r="H11" s="28">
        <v>120031</v>
      </c>
      <c r="I11" s="28">
        <v>115645</v>
      </c>
      <c r="J11">
        <f t="shared" si="0"/>
        <v>1E-3</v>
      </c>
    </row>
    <row r="12" spans="1:26" ht="17">
      <c r="B12" s="87" t="s">
        <v>340</v>
      </c>
      <c r="C12" s="24" t="s">
        <v>341</v>
      </c>
      <c r="D12" t="s">
        <v>193</v>
      </c>
      <c r="E12" s="28">
        <v>16608258</v>
      </c>
      <c r="F12" s="28">
        <v>9888800</v>
      </c>
      <c r="G12" s="28">
        <v>10460104</v>
      </c>
      <c r="H12" s="28">
        <v>13948911</v>
      </c>
      <c r="I12" s="28">
        <v>12203279</v>
      </c>
      <c r="J12">
        <f t="shared" si="0"/>
        <v>9.9999999999999995E-7</v>
      </c>
    </row>
    <row r="13" spans="1:26" ht="34">
      <c r="B13" s="87" t="s">
        <v>362</v>
      </c>
      <c r="C13" s="24" t="s">
        <v>363</v>
      </c>
      <c r="D13" t="s">
        <v>193</v>
      </c>
      <c r="E13" s="28">
        <v>5747957580</v>
      </c>
      <c r="F13" s="28">
        <v>5654895457</v>
      </c>
      <c r="G13" s="28">
        <v>5286001016</v>
      </c>
      <c r="H13" s="28">
        <v>5751452124</v>
      </c>
      <c r="I13" s="28">
        <v>6472503966</v>
      </c>
      <c r="J13">
        <f t="shared" si="0"/>
        <v>9.9999999999999995E-7</v>
      </c>
    </row>
    <row r="14" spans="1:26" ht="17">
      <c r="B14" s="87" t="s">
        <v>391</v>
      </c>
      <c r="C14" s="24" t="s">
        <v>392</v>
      </c>
      <c r="D14" t="s">
        <v>193</v>
      </c>
      <c r="E14" s="28">
        <v>17710210</v>
      </c>
      <c r="F14" s="28">
        <v>16046904</v>
      </c>
      <c r="G14" s="28">
        <v>14518258</v>
      </c>
      <c r="H14" s="28">
        <v>17811352</v>
      </c>
      <c r="I14" s="28">
        <v>17483064</v>
      </c>
      <c r="J14">
        <f t="shared" si="0"/>
        <v>9.9999999999999995E-7</v>
      </c>
    </row>
    <row r="15" spans="1:26" ht="17">
      <c r="B15" s="87" t="s">
        <v>393</v>
      </c>
      <c r="C15" s="24" t="s">
        <v>394</v>
      </c>
      <c r="D15" t="s">
        <v>193</v>
      </c>
      <c r="E15" s="28">
        <v>13385620</v>
      </c>
      <c r="F15" s="28">
        <v>16126195</v>
      </c>
      <c r="G15" s="28">
        <v>33302317</v>
      </c>
      <c r="H15" s="28">
        <v>56104715</v>
      </c>
      <c r="I15" s="28">
        <v>55920627</v>
      </c>
      <c r="J15">
        <f t="shared" si="0"/>
        <v>9.9999999999999995E-7</v>
      </c>
    </row>
    <row r="16" spans="1:26" ht="17">
      <c r="B16" s="87" t="s">
        <v>395</v>
      </c>
      <c r="C16" s="24" t="s">
        <v>396</v>
      </c>
      <c r="D16" t="s">
        <v>193</v>
      </c>
      <c r="E16" s="28">
        <v>14203936</v>
      </c>
      <c r="F16" s="28">
        <v>15135331</v>
      </c>
      <c r="G16" s="28">
        <v>13639578</v>
      </c>
      <c r="H16" s="28">
        <v>12844323</v>
      </c>
      <c r="I16" s="28">
        <v>10581756</v>
      </c>
      <c r="J16">
        <f t="shared" si="0"/>
        <v>9.9999999999999995E-7</v>
      </c>
    </row>
    <row r="17" spans="2:10" ht="17">
      <c r="B17" s="87" t="s">
        <v>412</v>
      </c>
      <c r="C17" s="24" t="s">
        <v>413</v>
      </c>
      <c r="D17" t="s">
        <v>193</v>
      </c>
      <c r="E17" s="28">
        <v>168390</v>
      </c>
      <c r="F17" s="28">
        <v>208056</v>
      </c>
      <c r="G17" s="28">
        <v>368095</v>
      </c>
      <c r="H17" s="28">
        <v>152633</v>
      </c>
      <c r="I17" s="28">
        <v>95707</v>
      </c>
      <c r="J17">
        <f t="shared" si="0"/>
        <v>9.9999999999999995E-7</v>
      </c>
    </row>
    <row r="18" spans="2:10" ht="17">
      <c r="B18" s="87" t="s">
        <v>506</v>
      </c>
      <c r="C18" s="24" t="s">
        <v>507</v>
      </c>
      <c r="D18" t="s">
        <v>190</v>
      </c>
      <c r="E18" s="28">
        <v>56040</v>
      </c>
      <c r="F18" s="28">
        <v>67392</v>
      </c>
      <c r="G18" s="28">
        <v>57616</v>
      </c>
      <c r="H18" s="28">
        <v>62103</v>
      </c>
      <c r="I18" s="28">
        <v>63443</v>
      </c>
      <c r="J18">
        <f t="shared" si="0"/>
        <v>1E-3</v>
      </c>
    </row>
    <row r="19" spans="2:10" ht="17">
      <c r="B19" s="87" t="s">
        <v>508</v>
      </c>
      <c r="C19" s="24" t="s">
        <v>509</v>
      </c>
      <c r="D19" t="s">
        <v>193</v>
      </c>
      <c r="E19" s="28">
        <v>49088905</v>
      </c>
      <c r="F19" s="28">
        <v>41784518</v>
      </c>
      <c r="G19" s="28">
        <v>36297928</v>
      </c>
      <c r="H19" s="28">
        <v>47698819</v>
      </c>
      <c r="I19" s="28">
        <v>51153299</v>
      </c>
      <c r="J19">
        <f t="shared" si="0"/>
        <v>9.9999999999999995E-7</v>
      </c>
    </row>
    <row r="20" spans="2:10" ht="51">
      <c r="B20" s="87" t="s">
        <v>538</v>
      </c>
      <c r="C20" s="24" t="s">
        <v>539</v>
      </c>
      <c r="D20" t="s">
        <v>190</v>
      </c>
      <c r="E20" s="28">
        <v>1038492</v>
      </c>
      <c r="F20" s="28">
        <v>927726</v>
      </c>
      <c r="G20" s="28">
        <v>2321754</v>
      </c>
      <c r="H20" s="28">
        <v>2177298</v>
      </c>
      <c r="I20" s="28">
        <v>1832586</v>
      </c>
      <c r="J20">
        <f t="shared" si="0"/>
        <v>1E-3</v>
      </c>
    </row>
    <row r="21" spans="2:10">
      <c r="J21" t="e">
        <f t="shared" si="0"/>
        <v>#N/A</v>
      </c>
    </row>
    <row r="22" spans="2:10">
      <c r="J22" t="e">
        <f t="shared" si="0"/>
        <v>#N/A</v>
      </c>
    </row>
    <row r="23" spans="2:10">
      <c r="J23" t="e">
        <f t="shared" si="0"/>
        <v>#N/A</v>
      </c>
    </row>
    <row r="24" spans="2:10">
      <c r="J24" t="e">
        <f t="shared" si="0"/>
        <v>#N/A</v>
      </c>
    </row>
    <row r="25" spans="2:10">
      <c r="J25" t="e">
        <f t="shared" si="0"/>
        <v>#N/A</v>
      </c>
    </row>
    <row r="26" spans="2:10">
      <c r="J26" t="e">
        <f t="shared" si="0"/>
        <v>#N/A</v>
      </c>
    </row>
    <row r="27" spans="2:10">
      <c r="J27" t="e">
        <f t="shared" si="0"/>
        <v>#N/A</v>
      </c>
    </row>
    <row r="28" spans="2:10">
      <c r="J28" t="e">
        <f t="shared" si="0"/>
        <v>#N/A</v>
      </c>
    </row>
    <row r="29" spans="2:10">
      <c r="J29" t="e">
        <f t="shared" si="0"/>
        <v>#N/A</v>
      </c>
    </row>
    <row r="30" spans="2:10">
      <c r="J30" t="e">
        <f t="shared" si="0"/>
        <v>#N/A</v>
      </c>
    </row>
    <row r="31" spans="2:10">
      <c r="J31" t="e">
        <f t="shared" si="0"/>
        <v>#N/A</v>
      </c>
    </row>
    <row r="32" spans="2:10">
      <c r="J32" t="e">
        <f t="shared" si="0"/>
        <v>#N/A</v>
      </c>
    </row>
    <row r="33" spans="10:10">
      <c r="J33" t="e">
        <f t="shared" si="0"/>
        <v>#N/A</v>
      </c>
    </row>
    <row r="34" spans="10:10">
      <c r="J34" t="e">
        <f t="shared" si="0"/>
        <v>#N/A</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9A79-50D1-274E-BDBC-368001C4490A}">
  <dimension ref="A1:Y17"/>
  <sheetViews>
    <sheetView workbookViewId="0">
      <selection activeCell="C11" sqref="C11"/>
    </sheetView>
  </sheetViews>
  <sheetFormatPr baseColWidth="10" defaultRowHeight="16"/>
  <cols>
    <col min="1" max="1" width="3.33203125" customWidth="1"/>
    <col min="2" max="2" width="18.33203125" style="87" customWidth="1"/>
    <col min="3" max="3" width="57.33203125" style="24" customWidth="1"/>
    <col min="4" max="25" width="15.83203125" customWidth="1"/>
  </cols>
  <sheetData>
    <row r="1" spans="1:25">
      <c r="A1" s="63"/>
      <c r="B1" s="88"/>
      <c r="C1" s="65"/>
      <c r="D1" s="63"/>
      <c r="E1" s="63"/>
      <c r="F1" s="63"/>
      <c r="G1" s="63"/>
      <c r="H1" s="63"/>
      <c r="I1" s="63"/>
      <c r="J1" s="63"/>
      <c r="K1" s="63"/>
      <c r="L1" s="63"/>
      <c r="M1" s="63"/>
      <c r="N1" s="63"/>
      <c r="O1" s="63"/>
      <c r="P1" s="63"/>
      <c r="Q1" s="63"/>
      <c r="R1" s="63"/>
      <c r="S1" s="63"/>
      <c r="T1" s="63"/>
      <c r="U1" s="63"/>
      <c r="V1" s="63"/>
      <c r="W1" s="63"/>
      <c r="X1" s="63"/>
      <c r="Y1" s="63"/>
    </row>
    <row r="2" spans="1:25" ht="27">
      <c r="B2" s="89" t="s">
        <v>318</v>
      </c>
    </row>
    <row r="3" spans="1:25" ht="20" customHeight="1">
      <c r="B3" s="90" t="s">
        <v>186</v>
      </c>
    </row>
    <row r="5" spans="1:25" ht="17">
      <c r="B5" s="91" t="s">
        <v>187</v>
      </c>
      <c r="C5" s="66" t="s">
        <v>16</v>
      </c>
      <c r="D5" s="64" t="s">
        <v>18</v>
      </c>
      <c r="E5" s="64">
        <v>2021</v>
      </c>
      <c r="F5" s="64">
        <v>2022</v>
      </c>
      <c r="G5" s="64">
        <v>2023</v>
      </c>
      <c r="H5" s="64">
        <v>2024</v>
      </c>
      <c r="I5" s="64">
        <v>2025</v>
      </c>
    </row>
    <row r="6" spans="1:25" ht="17">
      <c r="B6" s="87" t="s">
        <v>316</v>
      </c>
      <c r="C6" s="24" t="s">
        <v>317</v>
      </c>
      <c r="D6" t="s">
        <v>319</v>
      </c>
      <c r="E6" s="28">
        <v>20458388</v>
      </c>
      <c r="F6" s="28">
        <v>22061173</v>
      </c>
      <c r="G6" s="28">
        <v>26783655</v>
      </c>
      <c r="H6" s="28">
        <v>25480468</v>
      </c>
      <c r="I6" s="28">
        <v>24442975</v>
      </c>
    </row>
    <row r="7" spans="1:25" ht="17">
      <c r="B7" s="87" t="s">
        <v>316</v>
      </c>
      <c r="C7" s="24" t="s">
        <v>317</v>
      </c>
      <c r="D7" t="s">
        <v>319</v>
      </c>
      <c r="E7" s="28">
        <v>20458388</v>
      </c>
      <c r="F7" s="28">
        <v>22061173</v>
      </c>
      <c r="G7" s="28">
        <v>26783655</v>
      </c>
      <c r="H7" s="28">
        <v>25480468</v>
      </c>
      <c r="I7" s="28">
        <v>24442975</v>
      </c>
    </row>
    <row r="8" spans="1:25" ht="17">
      <c r="B8" s="87" t="s">
        <v>340</v>
      </c>
      <c r="C8" s="24" t="s">
        <v>341</v>
      </c>
      <c r="D8" t="s">
        <v>344</v>
      </c>
      <c r="E8" s="28">
        <v>29011838</v>
      </c>
      <c r="F8" s="28">
        <v>23403531</v>
      </c>
      <c r="G8" s="28">
        <v>23922471</v>
      </c>
      <c r="H8" s="28">
        <v>32122156</v>
      </c>
      <c r="I8" s="28">
        <v>33293771</v>
      </c>
    </row>
    <row r="9" spans="1:25" ht="34">
      <c r="B9" s="87" t="s">
        <v>362</v>
      </c>
      <c r="C9" s="24" t="s">
        <v>363</v>
      </c>
      <c r="D9" t="s">
        <v>344</v>
      </c>
      <c r="E9" s="28">
        <v>1083669849</v>
      </c>
      <c r="F9" s="28">
        <v>2032985267</v>
      </c>
      <c r="G9" s="28">
        <v>1512521602</v>
      </c>
      <c r="H9" s="28">
        <v>1182270207</v>
      </c>
      <c r="I9" s="28">
        <v>1403180024</v>
      </c>
    </row>
    <row r="10" spans="1:25" ht="17">
      <c r="B10" s="87" t="s">
        <v>391</v>
      </c>
      <c r="C10" s="24" t="s">
        <v>392</v>
      </c>
      <c r="D10" t="s">
        <v>344</v>
      </c>
      <c r="E10" s="28">
        <v>16706683</v>
      </c>
      <c r="F10" s="28">
        <v>18313175</v>
      </c>
      <c r="G10" s="28">
        <v>15579453</v>
      </c>
      <c r="H10" s="28">
        <v>17360829</v>
      </c>
      <c r="I10" s="28">
        <v>17112550</v>
      </c>
    </row>
    <row r="11" spans="1:25" ht="17">
      <c r="B11" s="87" t="s">
        <v>393</v>
      </c>
      <c r="C11" s="24" t="s">
        <v>394</v>
      </c>
      <c r="D11" t="s">
        <v>344</v>
      </c>
      <c r="E11" s="28">
        <v>9556447</v>
      </c>
      <c r="F11" s="28">
        <v>9983457</v>
      </c>
      <c r="G11" s="28">
        <v>13755439</v>
      </c>
      <c r="H11" s="28">
        <v>14020632</v>
      </c>
      <c r="I11" s="28">
        <v>12807541</v>
      </c>
    </row>
    <row r="12" spans="1:25" ht="17">
      <c r="B12" s="87" t="s">
        <v>395</v>
      </c>
      <c r="C12" s="24" t="s">
        <v>396</v>
      </c>
      <c r="D12" t="s">
        <v>344</v>
      </c>
      <c r="E12" s="28">
        <v>9553018</v>
      </c>
      <c r="F12" s="28">
        <v>10044505</v>
      </c>
      <c r="G12" s="28">
        <v>8952369</v>
      </c>
      <c r="H12" s="28">
        <v>9018796</v>
      </c>
      <c r="I12" s="28">
        <v>8055095</v>
      </c>
    </row>
    <row r="13" spans="1:25" ht="17">
      <c r="B13" s="87" t="s">
        <v>412</v>
      </c>
      <c r="C13" s="24" t="s">
        <v>413</v>
      </c>
      <c r="D13" t="s">
        <v>344</v>
      </c>
      <c r="E13" s="28">
        <v>229431</v>
      </c>
      <c r="F13" s="28">
        <v>280389</v>
      </c>
      <c r="G13" s="28">
        <v>786371</v>
      </c>
      <c r="H13" s="28">
        <v>495981</v>
      </c>
      <c r="I13" s="28">
        <v>236282</v>
      </c>
    </row>
    <row r="14" spans="1:25" ht="17">
      <c r="B14" s="87" t="s">
        <v>506</v>
      </c>
      <c r="C14" s="24" t="s">
        <v>507</v>
      </c>
      <c r="D14" t="s">
        <v>319</v>
      </c>
      <c r="E14" s="28">
        <v>9147202</v>
      </c>
      <c r="F14" s="28">
        <v>10897391</v>
      </c>
      <c r="G14" s="28">
        <v>8767076</v>
      </c>
      <c r="H14" s="28">
        <v>8754022</v>
      </c>
      <c r="I14" s="28">
        <v>9162709</v>
      </c>
    </row>
    <row r="15" spans="1:25" ht="17">
      <c r="B15" s="87" t="s">
        <v>508</v>
      </c>
      <c r="C15" s="24" t="s">
        <v>509</v>
      </c>
      <c r="D15" t="s">
        <v>344</v>
      </c>
      <c r="E15" s="28">
        <v>37879357</v>
      </c>
      <c r="F15" s="28">
        <v>42682563</v>
      </c>
      <c r="G15" s="28">
        <v>40501972</v>
      </c>
      <c r="H15" s="28">
        <v>40731195</v>
      </c>
      <c r="I15" s="28">
        <v>42713436</v>
      </c>
    </row>
    <row r="16" spans="1:25" ht="17">
      <c r="B16" s="87" t="s">
        <v>393</v>
      </c>
      <c r="C16" s="24" t="s">
        <v>394</v>
      </c>
      <c r="D16" t="s">
        <v>344</v>
      </c>
      <c r="E16" s="28">
        <v>9556447</v>
      </c>
      <c r="F16" s="28">
        <v>9983457</v>
      </c>
      <c r="G16" s="28">
        <v>13755439</v>
      </c>
      <c r="H16" s="28">
        <v>14020632</v>
      </c>
      <c r="I16" s="28">
        <v>12807541</v>
      </c>
    </row>
    <row r="17" spans="2:9" ht="51">
      <c r="B17" s="87" t="s">
        <v>538</v>
      </c>
      <c r="C17" s="24" t="s">
        <v>539</v>
      </c>
      <c r="D17" t="s">
        <v>319</v>
      </c>
      <c r="E17" s="28">
        <v>206922349</v>
      </c>
      <c r="F17" s="28">
        <v>206013111</v>
      </c>
      <c r="G17" s="28">
        <v>258942576</v>
      </c>
      <c r="H17" s="28">
        <v>259216789</v>
      </c>
      <c r="I17" s="28">
        <v>233434303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5894-C236-F241-8F2C-8EC901C9902F}">
  <dimension ref="A1:E81"/>
  <sheetViews>
    <sheetView zoomScale="94" workbookViewId="0">
      <selection activeCell="B1" sqref="B1:E1"/>
    </sheetView>
  </sheetViews>
  <sheetFormatPr baseColWidth="10" defaultRowHeight="16"/>
  <cols>
    <col min="1" max="1" width="10.83203125" customWidth="1"/>
    <col min="2" max="2" width="32.33203125" customWidth="1"/>
    <col min="3" max="3" width="55.6640625" customWidth="1"/>
  </cols>
  <sheetData>
    <row r="1" spans="1:5">
      <c r="A1" t="s">
        <v>541</v>
      </c>
      <c r="B1" t="s">
        <v>559</v>
      </c>
      <c r="C1" t="s">
        <v>569</v>
      </c>
      <c r="D1" t="s">
        <v>570</v>
      </c>
      <c r="E1" t="s">
        <v>568</v>
      </c>
    </row>
    <row r="2" spans="1:5">
      <c r="A2" t="s">
        <v>547</v>
      </c>
      <c r="B2" t="str" cm="1">
        <f t="array" ref="B2:E3">'B1. B'!B15:E16</f>
        <v>Glass Manufacturing</v>
      </c>
      <c r="C2" t="str">
        <v>Glass and ceramics</v>
      </c>
      <c r="D2" t="str">
        <v>–</v>
      </c>
      <c r="E2">
        <v>0.65</v>
      </c>
    </row>
    <row r="3" spans="1:5">
      <c r="A3" t="s">
        <v>547</v>
      </c>
      <c r="B3" t="str">
        <v>Miscellaneous Manufacturing</v>
      </c>
      <c r="C3" t="str">
        <v>Abrasives, cleaning products, insecticides, insulation, semiconductor production</v>
      </c>
      <c r="D3" t="str">
        <v>–</v>
      </c>
      <c r="E3">
        <v>0.35</v>
      </c>
    </row>
    <row r="4" spans="1:5">
      <c r="A4" t="s">
        <v>548</v>
      </c>
      <c r="B4" t="str" cm="1">
        <f t="array" ref="B4:E5">'B2. BaSO4'!B15:E16</f>
        <v>Oil and Gas Drilling</v>
      </c>
      <c r="C4" t="str">
        <v>Weighting agent in oil and gas drilling fluids</v>
      </c>
      <c r="D4" t="str">
        <v>–</v>
      </c>
      <c r="E4">
        <v>0.9</v>
      </c>
    </row>
    <row r="5" spans="1:5">
      <c r="A5" t="s">
        <v>548</v>
      </c>
      <c r="B5" t="str">
        <v>Miscellaneous Manufacturing</v>
      </c>
      <c r="C5" t="str">
        <v>Filler, extender, weighting agent; metal casting; concrete aggregate; X-ray contrast</v>
      </c>
      <c r="D5" t="str">
        <v>–</v>
      </c>
      <c r="E5">
        <v>0.1</v>
      </c>
    </row>
    <row r="6" spans="1:5">
      <c r="A6" t="s">
        <v>251</v>
      </c>
      <c r="B6" t="str" cm="1">
        <f t="array" ref="B6:E10">'B3. Br'!B15:E19</f>
        <v>Miscellaneous Chemical Manufacturing</v>
      </c>
      <c r="C6" t="str">
        <v>Flame retardant</v>
      </c>
      <c r="D6">
        <v>483000</v>
      </c>
      <c r="E6">
        <v>0.58945569929216501</v>
      </c>
    </row>
    <row r="7" spans="1:5">
      <c r="A7" t="s">
        <v>251</v>
      </c>
      <c r="B7" t="str">
        <v>Oil and Gas Drilling</v>
      </c>
      <c r="C7" t="str">
        <v>Drilling fluids</v>
      </c>
      <c r="D7">
        <v>103500</v>
      </c>
      <c r="E7">
        <v>0.12631193556260678</v>
      </c>
    </row>
    <row r="8" spans="1:5">
      <c r="A8" t="s">
        <v>251</v>
      </c>
      <c r="B8" t="str">
        <v>Organic Chemical Manufacturing</v>
      </c>
      <c r="C8" t="str">
        <v>Organic synthesis</v>
      </c>
      <c r="D8">
        <v>86300</v>
      </c>
      <c r="E8">
        <v>0.10532096656089822</v>
      </c>
    </row>
    <row r="9" spans="1:5">
      <c r="A9" t="s">
        <v>251</v>
      </c>
      <c r="B9" t="str">
        <v>Pharmaceutical Manufacturing</v>
      </c>
      <c r="C9" t="str">
        <v>Pharmaceuticals</v>
      </c>
      <c r="D9">
        <v>77600</v>
      </c>
      <c r="E9">
        <v>9.4703441542592137E-2</v>
      </c>
    </row>
    <row r="10" spans="1:5">
      <c r="A10" t="s">
        <v>251</v>
      </c>
      <c r="B10" t="str">
        <v>Industrial Water Treatment</v>
      </c>
      <c r="C10" t="str">
        <v>Water treatment</v>
      </c>
      <c r="D10">
        <v>69000</v>
      </c>
      <c r="E10">
        <v>8.4207957041737863E-2</v>
      </c>
    </row>
    <row r="11" spans="1:5">
      <c r="A11" t="s">
        <v>561</v>
      </c>
      <c r="B11" t="str" cm="1">
        <f t="array" ref="B11:E15">'B4. CaCO3'!B15:E19</f>
        <v>Other</v>
      </c>
      <c r="C11" t="str">
        <v>Agricultural uses</v>
      </c>
      <c r="D11">
        <v>13004</v>
      </c>
      <c r="E11">
        <v>1.8516250843654155E-2</v>
      </c>
    </row>
    <row r="12" spans="1:5">
      <c r="A12" t="s">
        <v>561</v>
      </c>
      <c r="B12" t="str">
        <v>Cement Manufacturing</v>
      </c>
      <c r="C12" t="str">
        <v>Cement Manufacture</v>
      </c>
      <c r="D12">
        <v>110000</v>
      </c>
      <c r="E12">
        <v>0.15662777551537657</v>
      </c>
    </row>
    <row r="13" spans="1:5">
      <c r="A13" t="s">
        <v>561</v>
      </c>
      <c r="B13" t="str">
        <v>Lime Manufacturing</v>
      </c>
      <c r="C13" t="str">
        <v>Lime Manufacture</v>
      </c>
      <c r="D13">
        <v>32500</v>
      </c>
      <c r="E13">
        <v>4.6276388220452172E-2</v>
      </c>
    </row>
    <row r="14" spans="1:5">
      <c r="A14" t="s">
        <v>561</v>
      </c>
      <c r="B14" t="str">
        <v>Other</v>
      </c>
      <c r="C14" t="str">
        <v>Sulfur oxide removal</v>
      </c>
      <c r="D14">
        <v>4120</v>
      </c>
      <c r="E14">
        <v>5.8664221374850134E-3</v>
      </c>
    </row>
    <row r="15" spans="1:5">
      <c r="A15" t="s">
        <v>561</v>
      </c>
      <c r="B15" t="str">
        <v>Other</v>
      </c>
      <c r="C15" t="str">
        <v>Miscellaneous and unspecified uses</v>
      </c>
      <c r="D15">
        <v>542678</v>
      </c>
      <c r="E15">
        <v>0.77271316328303208</v>
      </c>
    </row>
    <row r="16" spans="1:5">
      <c r="A16" t="s">
        <v>549</v>
      </c>
      <c r="B16" t="str" cm="1">
        <f t="array" ref="B16:E16">'B5. CaF2'!B15:E15</f>
        <v>Hydrofluoric Acid Manufacturing</v>
      </c>
      <c r="C16" t="str">
        <v>HF production</v>
      </c>
      <c r="D16" t="str">
        <v>–</v>
      </c>
      <c r="E16">
        <v>1</v>
      </c>
    </row>
    <row r="17" spans="1:5">
      <c r="A17" t="s">
        <v>550</v>
      </c>
      <c r="B17" t="str" cm="1">
        <f t="array" ref="B17:E25">'B6. Ca(OH)2'!B15:E23</f>
        <v>Miscellaneous Chemical Manufacturing</v>
      </c>
      <c r="C17" t="str">
        <v>Chemical and Industrial</v>
      </c>
      <c r="D17">
        <v>615</v>
      </c>
      <c r="E17">
        <v>0.24949290060851928</v>
      </c>
    </row>
    <row r="18" spans="1:5">
      <c r="A18" t="s">
        <v>550</v>
      </c>
      <c r="B18" t="str">
        <v>Miscellaneous Construction</v>
      </c>
      <c r="C18" t="str">
        <v>Asphalt, building uses, soil stabilization, etc.</v>
      </c>
      <c r="D18">
        <v>878</v>
      </c>
      <c r="E18">
        <v>0.35618661257606493</v>
      </c>
    </row>
    <row r="19" spans="1:5">
      <c r="A19" t="s">
        <v>550</v>
      </c>
      <c r="B19" t="str">
        <v>Flue Gas Desulfurization</v>
      </c>
      <c r="C19" t="str">
        <v>Flue gas treatment</v>
      </c>
      <c r="D19">
        <v>446</v>
      </c>
      <c r="E19">
        <v>0.18093306288032454</v>
      </c>
    </row>
    <row r="20" spans="1:5">
      <c r="A20" t="s">
        <v>550</v>
      </c>
      <c r="B20" t="str">
        <v>Wastewater Treatment</v>
      </c>
      <c r="C20" t="str">
        <v>Sludge treatment</v>
      </c>
      <c r="D20">
        <v>128</v>
      </c>
      <c r="E20">
        <v>5.1926977687626774E-2</v>
      </c>
    </row>
    <row r="21" spans="1:5">
      <c r="A21" t="s">
        <v>550</v>
      </c>
      <c r="B21" t="str">
        <v>Other</v>
      </c>
      <c r="C21" t="str">
        <v>Acid-mine drainage</v>
      </c>
      <c r="D21">
        <v>47</v>
      </c>
      <c r="E21">
        <v>1.9066937119675456E-2</v>
      </c>
    </row>
    <row r="22" spans="1:5">
      <c r="A22" t="s">
        <v>550</v>
      </c>
      <c r="B22" t="str">
        <v>Drinking Water Treatment</v>
      </c>
      <c r="C22" t="str">
        <v>Drinking water treatment</v>
      </c>
      <c r="D22">
        <v>137</v>
      </c>
      <c r="E22">
        <v>5.5578093306288032E-2</v>
      </c>
    </row>
    <row r="23" spans="1:5">
      <c r="A23" t="s">
        <v>550</v>
      </c>
      <c r="B23" t="str">
        <v>Other</v>
      </c>
      <c r="C23" t="str">
        <v>Wastewater treatment</v>
      </c>
      <c r="D23">
        <v>108</v>
      </c>
      <c r="E23">
        <v>4.3813387423935091E-2</v>
      </c>
    </row>
    <row r="24" spans="1:5">
      <c r="A24" t="s">
        <v>550</v>
      </c>
      <c r="B24" t="str">
        <v>Other</v>
      </c>
      <c r="C24" t="str">
        <v>Other environmental</v>
      </c>
      <c r="D24">
        <v>43</v>
      </c>
      <c r="E24">
        <v>1.7444219066937119E-2</v>
      </c>
    </row>
    <row r="25" spans="1:5">
      <c r="A25" t="s">
        <v>550</v>
      </c>
      <c r="B25" t="str">
        <v>Other</v>
      </c>
      <c r="C25" t="str">
        <v>Metallurgy</v>
      </c>
      <c r="D25">
        <v>63</v>
      </c>
      <c r="E25">
        <v>2.5557809330628803E-2</v>
      </c>
    </row>
    <row r="26" spans="1:5">
      <c r="A26" t="s">
        <v>551</v>
      </c>
      <c r="B26" t="str" cm="1">
        <f t="array" ref="B26:E28">'B7. CaSO4'!B15:E17</f>
        <v>Cement Manufacturing</v>
      </c>
      <c r="C26" t="str">
        <v>Portland and masonry cement</v>
      </c>
      <c r="D26">
        <v>4400</v>
      </c>
      <c r="E26">
        <v>0.11859838274932614</v>
      </c>
    </row>
    <row r="27" spans="1:5">
      <c r="A27" t="s">
        <v>551</v>
      </c>
      <c r="B27" t="str">
        <v>Miscellaneous Fertilizer Application</v>
      </c>
      <c r="C27" t="str">
        <v>Agriculture and other</v>
      </c>
      <c r="D27">
        <v>14400</v>
      </c>
      <c r="E27">
        <v>0.38814016172506738</v>
      </c>
    </row>
    <row r="28" spans="1:5">
      <c r="A28" t="s">
        <v>551</v>
      </c>
      <c r="B28" t="str">
        <v>Gypsum-Based Product Manufacturing</v>
      </c>
      <c r="C28" t="str">
        <v>Plaster and prefabricated gypsum products</v>
      </c>
      <c r="D28">
        <v>18300</v>
      </c>
      <c r="E28">
        <v>0.49326145552560646</v>
      </c>
    </row>
    <row r="29" spans="1:5">
      <c r="A29" t="s">
        <v>298</v>
      </c>
      <c r="B29" t="str" cm="1">
        <f t="array" ref="B29:E32">'B8. HCl'!B15:E18</f>
        <v>Oil and Gas Well Acidification</v>
      </c>
      <c r="C29" t="str">
        <v>Oil and gas well acidification</v>
      </c>
      <c r="D29" t="str">
        <v>–</v>
      </c>
      <c r="E29">
        <v>0.3</v>
      </c>
    </row>
    <row r="30" spans="1:5">
      <c r="A30" t="s">
        <v>298</v>
      </c>
      <c r="B30" t="str">
        <v>Steel Pickling</v>
      </c>
      <c r="C30" t="str">
        <v>Steel pickling</v>
      </c>
      <c r="D30" t="str">
        <v>–</v>
      </c>
      <c r="E30">
        <v>0.19</v>
      </c>
    </row>
    <row r="31" spans="1:5">
      <c r="A31" t="s">
        <v>298</v>
      </c>
      <c r="B31" t="str">
        <v>Miscellaneous Manufacturing</v>
      </c>
      <c r="C31" t="str">
        <v>Food processing</v>
      </c>
      <c r="D31" t="str">
        <v>–</v>
      </c>
      <c r="E31">
        <v>0.19</v>
      </c>
    </row>
    <row r="32" spans="1:5">
      <c r="A32" t="s">
        <v>298</v>
      </c>
      <c r="B32" t="str">
        <v>Other</v>
      </c>
      <c r="C32" t="str">
        <v>Other</v>
      </c>
      <c r="D32" t="str">
        <v>–</v>
      </c>
      <c r="E32">
        <v>0.32</v>
      </c>
    </row>
    <row r="33" spans="1:5">
      <c r="A33" t="s">
        <v>329</v>
      </c>
      <c r="B33" t="str" cm="1">
        <f t="array" ref="B33:E38">'B9. HF'!B15:E20</f>
        <v>Organic Chemical Manufacturing</v>
      </c>
      <c r="C33" t="str">
        <v>Fluorocarbon</v>
      </c>
      <c r="D33" t="str">
        <v>–</v>
      </c>
      <c r="E33">
        <v>0.56000000000000005</v>
      </c>
    </row>
    <row r="34" spans="1:5">
      <c r="A34" t="s">
        <v>329</v>
      </c>
      <c r="B34" t="str">
        <v>Organic Chemical Manufacturing</v>
      </c>
      <c r="C34" t="str">
        <v>Fluorinated derivatives</v>
      </c>
      <c r="D34" t="str">
        <v>–</v>
      </c>
      <c r="E34">
        <v>0.18333333333333332</v>
      </c>
    </row>
    <row r="35" spans="1:5">
      <c r="A35" t="s">
        <v>329</v>
      </c>
      <c r="B35" t="str">
        <v>Steel Pickling</v>
      </c>
      <c r="C35" t="str">
        <v>Metal pickling</v>
      </c>
      <c r="D35" t="str">
        <v>–</v>
      </c>
      <c r="E35">
        <v>0.11388888888888889</v>
      </c>
    </row>
    <row r="36" spans="1:5">
      <c r="A36" t="s">
        <v>329</v>
      </c>
      <c r="B36" t="str">
        <v>Semiconductor Manufacturing</v>
      </c>
      <c r="C36" t="str">
        <v>Glass etching</v>
      </c>
      <c r="D36" t="str">
        <v>–</v>
      </c>
      <c r="E36">
        <v>0.06</v>
      </c>
    </row>
    <row r="37" spans="1:5">
      <c r="A37" t="s">
        <v>329</v>
      </c>
      <c r="B37" t="str">
        <v>Other</v>
      </c>
      <c r="C37" t="str">
        <v>Oil refining</v>
      </c>
      <c r="D37" t="str">
        <v>–</v>
      </c>
      <c r="E37">
        <v>0.04</v>
      </c>
    </row>
    <row r="38" spans="1:5">
      <c r="A38" t="s">
        <v>329</v>
      </c>
      <c r="B38" t="str">
        <v>Other</v>
      </c>
      <c r="C38" t="str">
        <v>Others</v>
      </c>
      <c r="D38" t="str">
        <v>–</v>
      </c>
      <c r="E38">
        <v>4.7222222222222221E-2</v>
      </c>
    </row>
    <row r="39" spans="1:5">
      <c r="A39" t="s">
        <v>552</v>
      </c>
      <c r="B39" t="str" cm="1">
        <f t="array" ref="B39:E40">'B10. K2O'!B15:E16</f>
        <v>Potash Fertilizer Application</v>
      </c>
      <c r="C39" t="str">
        <v>Fertilizer industry</v>
      </c>
      <c r="D39" t="str">
        <v>–</v>
      </c>
      <c r="E39">
        <v>0.85</v>
      </c>
    </row>
    <row r="40" spans="1:5">
      <c r="A40" t="s">
        <v>552</v>
      </c>
      <c r="B40" t="str">
        <v>Miscellaneous Chemical Manufacturing</v>
      </c>
      <c r="C40" t="str">
        <v>Chemical and industrial applications</v>
      </c>
      <c r="D40" t="str">
        <v>–</v>
      </c>
      <c r="E40">
        <v>0.15</v>
      </c>
    </row>
    <row r="41" spans="1:5">
      <c r="A41" t="s">
        <v>278</v>
      </c>
      <c r="B41" t="str" cm="1">
        <f t="array" ref="B41:E47">'B11. Li'!B15:E21</f>
        <v>Lithium Battery Manufacturing</v>
      </c>
      <c r="C41" t="str">
        <v>Batteries</v>
      </c>
      <c r="D41" t="str">
        <v>–</v>
      </c>
      <c r="E41">
        <v>0.88</v>
      </c>
    </row>
    <row r="42" spans="1:5">
      <c r="A42" t="s">
        <v>278</v>
      </c>
      <c r="B42" t="str">
        <v>Other</v>
      </c>
      <c r="C42" t="str">
        <v>Ceramics and glass</v>
      </c>
      <c r="D42" t="str">
        <v>–</v>
      </c>
      <c r="E42">
        <v>0.04</v>
      </c>
    </row>
    <row r="43" spans="1:5">
      <c r="A43" t="s">
        <v>278</v>
      </c>
      <c r="B43" t="str">
        <v>Other</v>
      </c>
      <c r="C43" t="str">
        <v>Lubricating greases</v>
      </c>
      <c r="D43" t="str">
        <v>–</v>
      </c>
      <c r="E43">
        <v>0.02</v>
      </c>
    </row>
    <row r="44" spans="1:5">
      <c r="A44" t="s">
        <v>278</v>
      </c>
      <c r="B44" t="str">
        <v>Other</v>
      </c>
      <c r="C44" t="str">
        <v>Air treatment</v>
      </c>
      <c r="D44" t="str">
        <v>–</v>
      </c>
      <c r="E44">
        <v>0.01</v>
      </c>
    </row>
    <row r="45" spans="1:5">
      <c r="A45" t="s">
        <v>278</v>
      </c>
      <c r="B45" t="str">
        <v>Other</v>
      </c>
      <c r="C45" t="str">
        <v>Continuous casting mold flux powders</v>
      </c>
      <c r="D45" t="str">
        <v>–</v>
      </c>
      <c r="E45">
        <v>0.01</v>
      </c>
    </row>
    <row r="46" spans="1:5">
      <c r="A46" t="s">
        <v>278</v>
      </c>
      <c r="B46" t="str">
        <v>Other</v>
      </c>
      <c r="C46" t="str">
        <v>Medical</v>
      </c>
      <c r="D46" t="str">
        <v>–</v>
      </c>
      <c r="E46">
        <v>0.01</v>
      </c>
    </row>
    <row r="47" spans="1:5">
      <c r="A47" t="s">
        <v>278</v>
      </c>
      <c r="B47" t="str">
        <v>Other</v>
      </c>
      <c r="C47" t="str">
        <v>Other</v>
      </c>
      <c r="D47" t="str">
        <v>–</v>
      </c>
      <c r="E47">
        <v>0.03</v>
      </c>
    </row>
    <row r="48" spans="1:5">
      <c r="A48" t="s">
        <v>562</v>
      </c>
      <c r="B48" t="str" cm="1">
        <f t="array" ref="B48:E48">'B12. MgCl2'!B15:E15</f>
        <v>Deicing and Dust Control</v>
      </c>
      <c r="C48" t="str">
        <v>Deicing and dust control</v>
      </c>
      <c r="D48" t="str">
        <v>–</v>
      </c>
      <c r="E48">
        <v>1</v>
      </c>
    </row>
    <row r="49" spans="1:5">
      <c r="A49" t="s">
        <v>381</v>
      </c>
      <c r="B49" t="str" cm="1">
        <f t="array" ref="B49:E51">'B13. Mg(OH)2'!B15:E17</f>
        <v>Wastewater Treatment</v>
      </c>
      <c r="C49" t="str">
        <v>Water treatment</v>
      </c>
      <c r="D49" t="str">
        <v>–</v>
      </c>
      <c r="E49">
        <v>0.8</v>
      </c>
    </row>
    <row r="50" spans="1:5">
      <c r="A50" t="s">
        <v>381</v>
      </c>
      <c r="B50" t="str">
        <v>Miscellaneous Chemical Manufacturing</v>
      </c>
      <c r="C50" t="str">
        <v>Chemical intermediates</v>
      </c>
      <c r="D50" t="str">
        <v>–</v>
      </c>
      <c r="E50">
        <v>0.11</v>
      </c>
    </row>
    <row r="51" spans="1:5">
      <c r="A51" t="s">
        <v>381</v>
      </c>
      <c r="B51" t="str">
        <v>Other</v>
      </c>
      <c r="C51" t="str">
        <v>Other</v>
      </c>
      <c r="D51" t="str">
        <v>–</v>
      </c>
      <c r="E51">
        <v>0.09</v>
      </c>
    </row>
    <row r="52" spans="1:5">
      <c r="A52" t="s">
        <v>553</v>
      </c>
      <c r="B52" t="str" cm="1">
        <f t="array" ref="B52:E56">'B14. MgSO4'!B15:E19</f>
        <v>Cosmetics and Personal Care Product Manufacturing</v>
      </c>
      <c r="C52" t="str">
        <v>Cosmetics and personal care</v>
      </c>
      <c r="D52" t="str">
        <v>–</v>
      </c>
      <c r="E52">
        <v>0.48</v>
      </c>
    </row>
    <row r="53" spans="1:5">
      <c r="A53" t="s">
        <v>553</v>
      </c>
      <c r="B53" t="str">
        <v>Miscellaneous Chemical Manufacturing</v>
      </c>
      <c r="C53" t="str">
        <v>Chemical intermediates</v>
      </c>
      <c r="D53" t="str">
        <v>–</v>
      </c>
      <c r="E53">
        <v>0.22</v>
      </c>
    </row>
    <row r="54" spans="1:5">
      <c r="A54" t="s">
        <v>553</v>
      </c>
      <c r="B54" t="str">
        <v>Pulp and Paper Manufacturing</v>
      </c>
      <c r="C54" t="str">
        <v>Pulp and paper</v>
      </c>
      <c r="D54" t="str">
        <v>–</v>
      </c>
      <c r="E54">
        <v>0.12</v>
      </c>
    </row>
    <row r="55" spans="1:5">
      <c r="A55" t="s">
        <v>553</v>
      </c>
      <c r="B55" t="str">
        <v>Miscellaneous Fertilizer Application</v>
      </c>
      <c r="C55" t="str">
        <v>Fertilizer</v>
      </c>
      <c r="D55" t="str">
        <v>–</v>
      </c>
      <c r="E55">
        <v>0.1</v>
      </c>
    </row>
    <row r="56" spans="1:5">
      <c r="A56" t="s">
        <v>553</v>
      </c>
      <c r="B56" t="str">
        <v>Other</v>
      </c>
      <c r="C56" t="str">
        <v>Other</v>
      </c>
      <c r="D56" t="str">
        <v>–</v>
      </c>
      <c r="E56">
        <v>0.08</v>
      </c>
    </row>
    <row r="57" spans="1:5">
      <c r="A57" t="s">
        <v>532</v>
      </c>
      <c r="B57" t="str" cm="1">
        <f t="array" ref="B57:E59">'B15. NaCl'!B15:E17</f>
        <v>Miscellaneous Chemical Manufacturing</v>
      </c>
      <c r="C57" t="str">
        <v>Chemical industry</v>
      </c>
      <c r="D57">
        <v>0</v>
      </c>
      <c r="E57">
        <v>0.42</v>
      </c>
    </row>
    <row r="58" spans="1:5">
      <c r="A58" t="s">
        <v>532</v>
      </c>
      <c r="B58" t="str">
        <v>Deicing and Dust Control</v>
      </c>
      <c r="C58" t="str">
        <v>Highway deicing</v>
      </c>
      <c r="D58">
        <v>0</v>
      </c>
      <c r="E58">
        <v>0.37</v>
      </c>
    </row>
    <row r="59" spans="1:5">
      <c r="A59" t="s">
        <v>532</v>
      </c>
      <c r="B59" t="str">
        <v>Other</v>
      </c>
      <c r="C59" t="str">
        <v>Other applications</v>
      </c>
      <c r="D59">
        <v>0</v>
      </c>
      <c r="E59">
        <v>0.21</v>
      </c>
    </row>
    <row r="60" spans="1:5">
      <c r="A60" t="s">
        <v>554</v>
      </c>
      <c r="B60" t="str" cm="1">
        <f t="array" ref="B60:E67">'B16. Na2CO3'!B15:E22</f>
        <v>Glass Manufacturing</v>
      </c>
      <c r="C60" t="str">
        <v>Glass</v>
      </c>
      <c r="D60" t="str">
        <v>–</v>
      </c>
      <c r="E60">
        <v>0.45</v>
      </c>
    </row>
    <row r="61" spans="1:5">
      <c r="A61" t="s">
        <v>554</v>
      </c>
      <c r="B61" t="str">
        <v>Miscellaneous Chemical Manufacturing</v>
      </c>
      <c r="C61" t="str">
        <v>Chemicals</v>
      </c>
      <c r="D61" t="str">
        <v>–</v>
      </c>
      <c r="E61">
        <v>0.28000000000000003</v>
      </c>
    </row>
    <row r="62" spans="1:5">
      <c r="A62" t="s">
        <v>554</v>
      </c>
      <c r="B62" t="str">
        <v>Other</v>
      </c>
      <c r="C62" t="str">
        <v>Miscellaneous uses</v>
      </c>
      <c r="D62" t="str">
        <v>–</v>
      </c>
      <c r="E62">
        <v>0.09</v>
      </c>
    </row>
    <row r="63" spans="1:5">
      <c r="A63" t="s">
        <v>554</v>
      </c>
      <c r="B63" t="str">
        <v>Other</v>
      </c>
      <c r="C63" t="str">
        <v>Distributors</v>
      </c>
      <c r="D63" t="str">
        <v>–</v>
      </c>
      <c r="E63">
        <v>7.0000000000000007E-2</v>
      </c>
    </row>
    <row r="64" spans="1:5">
      <c r="A64" t="s">
        <v>554</v>
      </c>
      <c r="B64" t="str">
        <v>Miscellaneous Chemical Manufacturing</v>
      </c>
      <c r="C64" t="str">
        <v>Soaps and detergents</v>
      </c>
      <c r="D64" t="str">
        <v>–</v>
      </c>
      <c r="E64">
        <v>0.05</v>
      </c>
    </row>
    <row r="65" spans="1:5">
      <c r="A65" t="s">
        <v>554</v>
      </c>
      <c r="B65" t="str">
        <v>Other</v>
      </c>
      <c r="C65" t="str">
        <v>Flue gas desulfurization</v>
      </c>
      <c r="D65" t="str">
        <v>–</v>
      </c>
      <c r="E65">
        <v>0.04</v>
      </c>
    </row>
    <row r="66" spans="1:5">
      <c r="A66" t="s">
        <v>554</v>
      </c>
      <c r="B66" t="str">
        <v>Other</v>
      </c>
      <c r="C66" t="str">
        <v>Pulp and paper</v>
      </c>
      <c r="D66" t="str">
        <v>–</v>
      </c>
      <c r="E66">
        <v>0.01</v>
      </c>
    </row>
    <row r="67" spans="1:5">
      <c r="A67" t="s">
        <v>554</v>
      </c>
      <c r="B67" t="str">
        <v>Other</v>
      </c>
      <c r="C67" t="str">
        <v>Water treatment</v>
      </c>
      <c r="D67" t="str">
        <v>–</v>
      </c>
      <c r="E67">
        <v>0.01</v>
      </c>
    </row>
    <row r="68" spans="1:5">
      <c r="A68" t="s">
        <v>360</v>
      </c>
      <c r="B68" t="str" cm="1">
        <f t="array" ref="B68:E72">'B17. NaOH'!B15:E19</f>
        <v>Organic Chemical Manufacturing</v>
      </c>
      <c r="C68" t="str">
        <v>Organic chemical synthesis</v>
      </c>
      <c r="D68">
        <v>0</v>
      </c>
      <c r="E68">
        <v>0.23</v>
      </c>
    </row>
    <row r="69" spans="1:5">
      <c r="A69" t="s">
        <v>360</v>
      </c>
      <c r="B69" t="str">
        <v>Pulp and Paper Manufacturing</v>
      </c>
      <c r="C69" t="str">
        <v>Pulp and paper manufacturing</v>
      </c>
      <c r="D69">
        <v>0</v>
      </c>
      <c r="E69">
        <v>0.22</v>
      </c>
    </row>
    <row r="70" spans="1:5">
      <c r="A70" t="s">
        <v>360</v>
      </c>
      <c r="B70" t="str">
        <v>Miscellaneous Chemical Manufacturing</v>
      </c>
      <c r="C70" t="str">
        <v>Inorganic chemical production</v>
      </c>
      <c r="D70">
        <v>0</v>
      </c>
      <c r="E70">
        <v>0.22</v>
      </c>
    </row>
    <row r="71" spans="1:5">
      <c r="A71" t="s">
        <v>360</v>
      </c>
      <c r="B71" t="str">
        <v>Other</v>
      </c>
      <c r="C71" t="str">
        <v>Special applications</v>
      </c>
      <c r="D71">
        <v>0</v>
      </c>
      <c r="E71">
        <v>0.3</v>
      </c>
    </row>
    <row r="72" spans="1:5">
      <c r="A72" t="s">
        <v>360</v>
      </c>
      <c r="B72" t="str">
        <v>Other</v>
      </c>
      <c r="C72" t="str">
        <v>Water treatment</v>
      </c>
      <c r="D72">
        <v>0</v>
      </c>
      <c r="E72">
        <v>0.03</v>
      </c>
    </row>
    <row r="73" spans="1:5">
      <c r="A73" t="s">
        <v>555</v>
      </c>
      <c r="B73" t="str" cm="1">
        <f t="array" ref="B73:E75">'B18. NH3'!B15:E17</f>
        <v>Nitrogenous Fertilizer Application</v>
      </c>
      <c r="C73" t="str">
        <v>Anhydrous ammonia fertilizer</v>
      </c>
      <c r="D73" t="str">
        <v>–</v>
      </c>
      <c r="E73">
        <v>0.21</v>
      </c>
    </row>
    <row r="74" spans="1:5">
      <c r="A74" t="s">
        <v>555</v>
      </c>
      <c r="B74" t="str">
        <v>Nitrogenous Fertilizer Manufacturing</v>
      </c>
      <c r="C74" t="str">
        <v>Other fertilizer</v>
      </c>
      <c r="D74" t="str">
        <v>–</v>
      </c>
      <c r="E74">
        <v>0.67</v>
      </c>
    </row>
    <row r="75" spans="1:5">
      <c r="A75" t="s">
        <v>555</v>
      </c>
      <c r="B75" t="str">
        <v>Miscellaneous Chemical Manufacturing</v>
      </c>
      <c r="C75" t="str">
        <v>Miscellaneous chemical compounds</v>
      </c>
      <c r="D75" t="str">
        <v>–</v>
      </c>
      <c r="E75">
        <v>0.12</v>
      </c>
    </row>
    <row r="76" spans="1:5">
      <c r="A76" t="s">
        <v>556</v>
      </c>
      <c r="B76" t="str" cm="1">
        <f t="array" ref="B76:E77">'B19. P2O5'!B15:E16</f>
        <v>Phosphoric Acid Manufacturing</v>
      </c>
      <c r="C76" t="str">
        <v>Wet-process phosphoric acid and superphosphoric acid manufacturing</v>
      </c>
      <c r="D76" t="str">
        <v>–</v>
      </c>
      <c r="E76">
        <v>0.95</v>
      </c>
    </row>
    <row r="77" spans="1:5">
      <c r="A77" t="s">
        <v>556</v>
      </c>
      <c r="B77" t="str">
        <v>Other</v>
      </c>
      <c r="C77" t="str">
        <v>Other</v>
      </c>
      <c r="D77" t="str">
        <v>–</v>
      </c>
      <c r="E77">
        <v>0.05</v>
      </c>
    </row>
    <row r="78" spans="1:5">
      <c r="A78" t="s">
        <v>558</v>
      </c>
      <c r="B78" t="str" cm="1">
        <f t="array" ref="B78:E81">'B20. SrSO4'!B15:E18</f>
        <v>Oil and Gas Drilling</v>
      </c>
      <c r="C78" t="str">
        <v>Drilling fluids</v>
      </c>
      <c r="D78" t="str">
        <v>–</v>
      </c>
      <c r="E78">
        <v>0.65</v>
      </c>
    </row>
    <row r="79" spans="1:5">
      <c r="A79" t="s">
        <v>558</v>
      </c>
      <c r="B79" t="str">
        <v>Miscellaneous Manufacturing</v>
      </c>
      <c r="C79" t="str">
        <v>Ceramic ferrite magnets</v>
      </c>
      <c r="D79" t="str">
        <v>–</v>
      </c>
      <c r="E79">
        <v>0.14000000000000001</v>
      </c>
    </row>
    <row r="80" spans="1:5">
      <c r="A80" t="s">
        <v>558</v>
      </c>
      <c r="B80" t="str">
        <v>Miscellaneous Manufacturing</v>
      </c>
      <c r="C80" t="str">
        <v>Pyrotechnics and signals</v>
      </c>
      <c r="D80" t="str">
        <v>–</v>
      </c>
      <c r="E80">
        <v>0.14000000000000001</v>
      </c>
    </row>
    <row r="81" spans="1:5">
      <c r="A81" t="s">
        <v>558</v>
      </c>
      <c r="B81" t="str">
        <v>Other</v>
      </c>
      <c r="C81" t="str">
        <v>Other</v>
      </c>
      <c r="D81" t="str">
        <v>–</v>
      </c>
      <c r="E81">
        <v>7.0000000000000007E-2</v>
      </c>
    </row>
  </sheetData>
  <phoneticPr fontId="3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9D12-38E0-A547-8908-54CCA1ECE1BC}">
  <dimension ref="A1:F71"/>
  <sheetViews>
    <sheetView topLeftCell="A29" workbookViewId="0">
      <selection activeCell="A50" sqref="A50"/>
    </sheetView>
  </sheetViews>
  <sheetFormatPr baseColWidth="10" defaultRowHeight="16"/>
  <cols>
    <col min="1" max="1" width="70.33203125" customWidth="1"/>
    <col min="2" max="2" width="41.33203125" customWidth="1"/>
  </cols>
  <sheetData>
    <row r="1" spans="1:2">
      <c r="A1" t="str" cm="1">
        <f t="array" ref="A1:A71">_xlfn.UNIQUE('X1. Markets'!C:C)</f>
        <v>end_use</v>
      </c>
      <c r="B1" t="str">
        <f>_xlfn.XLOOKUP(A1,'X1. Markets'!C:C,'X1. Markets'!B:B)</f>
        <v>end_use_category</v>
      </c>
    </row>
    <row r="2" spans="1:2">
      <c r="A2" t="str">
        <v>Glass and ceramics</v>
      </c>
      <c r="B2" t="str">
        <f>_xlfn.XLOOKUP(A2,'X1. Markets'!C:C,'X1. Markets'!B:B)</f>
        <v>Glass Manufacturing</v>
      </c>
    </row>
    <row r="3" spans="1:2">
      <c r="A3" t="str">
        <v>Abrasives, cleaning products, insecticides, insulation, semiconductor production</v>
      </c>
      <c r="B3" t="str">
        <f>_xlfn.XLOOKUP(A3,'X1. Markets'!C:C,'X1. Markets'!B:B)</f>
        <v>Miscellaneous Manufacturing</v>
      </c>
    </row>
    <row r="4" spans="1:2">
      <c r="A4" t="str">
        <v>Weighting agent in oil and gas drilling fluids</v>
      </c>
      <c r="B4" t="str">
        <f>_xlfn.XLOOKUP(A4,'X1. Markets'!C:C,'X1. Markets'!B:B)</f>
        <v>Oil and Gas Drilling</v>
      </c>
    </row>
    <row r="5" spans="1:2">
      <c r="A5" t="str">
        <v>Filler, extender, weighting agent; metal casting; concrete aggregate; X-ray contrast</v>
      </c>
      <c r="B5" t="str">
        <f>_xlfn.XLOOKUP(A5,'X1. Markets'!C:C,'X1. Markets'!B:B)</f>
        <v>Miscellaneous Manufacturing</v>
      </c>
    </row>
    <row r="6" spans="1:2">
      <c r="A6" t="str">
        <v>Flame retardant</v>
      </c>
      <c r="B6" t="str">
        <f>_xlfn.XLOOKUP(A6,'X1. Markets'!C:C,'X1. Markets'!B:B)</f>
        <v>Miscellaneous Chemical Manufacturing</v>
      </c>
    </row>
    <row r="7" spans="1:2">
      <c r="A7" t="str">
        <v>Drilling fluids</v>
      </c>
      <c r="B7" t="str">
        <f>_xlfn.XLOOKUP(A7,'X1. Markets'!C:C,'X1. Markets'!B:B)</f>
        <v>Oil and Gas Drilling</v>
      </c>
    </row>
    <row r="8" spans="1:2">
      <c r="A8" t="str">
        <v>Organic synthesis</v>
      </c>
      <c r="B8" t="str">
        <f>_xlfn.XLOOKUP(A8,'X1. Markets'!C:C,'X1. Markets'!B:B)</f>
        <v>Organic Chemical Manufacturing</v>
      </c>
    </row>
    <row r="9" spans="1:2">
      <c r="A9" t="str">
        <v>Pharmaceuticals</v>
      </c>
      <c r="B9" t="str">
        <f>_xlfn.XLOOKUP(A9,'X1. Markets'!C:C,'X1. Markets'!B:B)</f>
        <v>Pharmaceutical Manufacturing</v>
      </c>
    </row>
    <row r="10" spans="1:2">
      <c r="A10" t="str">
        <v>Water treatment</v>
      </c>
      <c r="B10" t="str">
        <f>_xlfn.XLOOKUP(A10,'X1. Markets'!C:C,'X1. Markets'!B:B)</f>
        <v>Industrial Water Treatment</v>
      </c>
    </row>
    <row r="11" spans="1:2">
      <c r="A11" t="str">
        <v>Agricultural uses</v>
      </c>
      <c r="B11" t="str">
        <f>_xlfn.XLOOKUP(A11,'X1. Markets'!C:C,'X1. Markets'!B:B)</f>
        <v>Other</v>
      </c>
    </row>
    <row r="12" spans="1:2">
      <c r="A12" t="str">
        <v>Cement Manufacture</v>
      </c>
      <c r="B12" t="str">
        <f>_xlfn.XLOOKUP(A12,'X1. Markets'!C:C,'X1. Markets'!B:B)</f>
        <v>Cement Manufacturing</v>
      </c>
    </row>
    <row r="13" spans="1:2">
      <c r="A13" t="str">
        <v>Lime Manufacture</v>
      </c>
      <c r="B13" t="str">
        <f>_xlfn.XLOOKUP(A13,'X1. Markets'!C:C,'X1. Markets'!B:B)</f>
        <v>Lime Manufacturing</v>
      </c>
    </row>
    <row r="14" spans="1:2">
      <c r="A14" t="str">
        <v>Sulfur oxide removal</v>
      </c>
      <c r="B14" t="str">
        <f>_xlfn.XLOOKUP(A14,'X1. Markets'!C:C,'X1. Markets'!B:B)</f>
        <v>Other</v>
      </c>
    </row>
    <row r="15" spans="1:2">
      <c r="A15" t="str">
        <v>Miscellaneous and unspecified uses</v>
      </c>
      <c r="B15" t="str">
        <f>_xlfn.XLOOKUP(A15,'X1. Markets'!C:C,'X1. Markets'!B:B)</f>
        <v>Other</v>
      </c>
    </row>
    <row r="16" spans="1:2">
      <c r="A16" t="str">
        <v>HF production</v>
      </c>
      <c r="B16" t="str">
        <f>_xlfn.XLOOKUP(A16,'X1. Markets'!C:C,'X1. Markets'!B:B)</f>
        <v>Hydrofluoric Acid Manufacturing</v>
      </c>
    </row>
    <row r="17" spans="1:2">
      <c r="A17" t="str">
        <v>Chemical and Industrial</v>
      </c>
      <c r="B17" t="str">
        <f>_xlfn.XLOOKUP(A17,'X1. Markets'!C:C,'X1. Markets'!B:B)</f>
        <v>Miscellaneous Chemical Manufacturing</v>
      </c>
    </row>
    <row r="18" spans="1:2">
      <c r="A18" t="str">
        <v>Asphalt, building uses, soil stabilization, etc.</v>
      </c>
      <c r="B18" t="str">
        <f>_xlfn.XLOOKUP(A18,'X1. Markets'!C:C,'X1. Markets'!B:B)</f>
        <v>Miscellaneous Construction</v>
      </c>
    </row>
    <row r="19" spans="1:2">
      <c r="A19" t="str">
        <v>Flue gas treatment</v>
      </c>
      <c r="B19" t="str">
        <f>_xlfn.XLOOKUP(A19,'X1. Markets'!C:C,'X1. Markets'!B:B)</f>
        <v>Flue Gas Desulfurization</v>
      </c>
    </row>
    <row r="20" spans="1:2">
      <c r="A20" t="str">
        <v>Sludge treatment</v>
      </c>
      <c r="B20" t="str">
        <f>_xlfn.XLOOKUP(A20,'X1. Markets'!C:C,'X1. Markets'!B:B)</f>
        <v>Wastewater Treatment</v>
      </c>
    </row>
    <row r="21" spans="1:2">
      <c r="A21" t="str">
        <v>Acid-mine drainage</v>
      </c>
      <c r="B21" t="str">
        <f>_xlfn.XLOOKUP(A21,'X1. Markets'!C:C,'X1. Markets'!B:B)</f>
        <v>Other</v>
      </c>
    </row>
    <row r="22" spans="1:2">
      <c r="A22" t="str">
        <v>Drinking water treatment</v>
      </c>
      <c r="B22" t="str">
        <f>_xlfn.XLOOKUP(A22,'X1. Markets'!C:C,'X1. Markets'!B:B)</f>
        <v>Drinking Water Treatment</v>
      </c>
    </row>
    <row r="23" spans="1:2">
      <c r="A23" t="str">
        <v>Wastewater treatment</v>
      </c>
      <c r="B23" t="str">
        <f>_xlfn.XLOOKUP(A23,'X1. Markets'!C:C,'X1. Markets'!B:B)</f>
        <v>Other</v>
      </c>
    </row>
    <row r="24" spans="1:2">
      <c r="A24" t="str">
        <v>Other environmental</v>
      </c>
      <c r="B24" t="str">
        <f>_xlfn.XLOOKUP(A24,'X1. Markets'!C:C,'X1. Markets'!B:B)</f>
        <v>Other</v>
      </c>
    </row>
    <row r="25" spans="1:2">
      <c r="A25" t="str">
        <v>Metallurgy</v>
      </c>
      <c r="B25" t="str">
        <f>_xlfn.XLOOKUP(A25,'X1. Markets'!C:C,'X1. Markets'!B:B)</f>
        <v>Other</v>
      </c>
    </row>
    <row r="26" spans="1:2">
      <c r="A26" t="str">
        <v>Portland and masonry cement</v>
      </c>
      <c r="B26" t="str">
        <f>_xlfn.XLOOKUP(A26,'X1. Markets'!C:C,'X1. Markets'!B:B)</f>
        <v>Cement Manufacturing</v>
      </c>
    </row>
    <row r="27" spans="1:2">
      <c r="A27" t="str">
        <v>Agriculture and other</v>
      </c>
      <c r="B27" t="str">
        <f>_xlfn.XLOOKUP(A27,'X1. Markets'!C:C,'X1. Markets'!B:B)</f>
        <v>Miscellaneous Fertilizer Application</v>
      </c>
    </row>
    <row r="28" spans="1:2">
      <c r="A28" t="str">
        <v>Plaster and prefabricated gypsum products</v>
      </c>
      <c r="B28" t="str">
        <f>_xlfn.XLOOKUP(A28,'X1. Markets'!C:C,'X1. Markets'!B:B)</f>
        <v>Gypsum-Based Product Manufacturing</v>
      </c>
    </row>
    <row r="29" spans="1:2">
      <c r="A29" t="str">
        <v>Oil and gas well acidification</v>
      </c>
      <c r="B29" t="str">
        <f>_xlfn.XLOOKUP(A29,'X1. Markets'!C:C,'X1. Markets'!B:B)</f>
        <v>Oil and Gas Well Acidification</v>
      </c>
    </row>
    <row r="30" spans="1:2">
      <c r="A30" t="str">
        <v>Steel pickling</v>
      </c>
      <c r="B30" t="str">
        <f>_xlfn.XLOOKUP(A30,'X1. Markets'!C:C,'X1. Markets'!B:B)</f>
        <v>Steel Pickling</v>
      </c>
    </row>
    <row r="31" spans="1:2">
      <c r="A31" t="str">
        <v>Food processing</v>
      </c>
      <c r="B31" t="str">
        <f>_xlfn.XLOOKUP(A31,'X1. Markets'!C:C,'X1. Markets'!B:B)</f>
        <v>Miscellaneous Manufacturing</v>
      </c>
    </row>
    <row r="32" spans="1:2">
      <c r="A32" t="str">
        <v>Other</v>
      </c>
      <c r="B32" t="str">
        <f>_xlfn.XLOOKUP(A32,'X1. Markets'!C:C,'X1. Markets'!B:B)</f>
        <v>Other</v>
      </c>
    </row>
    <row r="33" spans="1:6">
      <c r="A33" t="str">
        <v>Fluorocarbon</v>
      </c>
      <c r="B33" t="str">
        <f>_xlfn.XLOOKUP(A33,'X1. Markets'!C:C,'X1. Markets'!B:B)</f>
        <v>Organic Chemical Manufacturing</v>
      </c>
      <c r="F33" s="16" t="s">
        <v>575</v>
      </c>
    </row>
    <row r="34" spans="1:6">
      <c r="A34" t="str">
        <v>Fluorinated derivatives</v>
      </c>
      <c r="B34" t="str">
        <f>_xlfn.XLOOKUP(A34,'X1. Markets'!C:C,'X1. Markets'!B:B)</f>
        <v>Organic Chemical Manufacturing</v>
      </c>
      <c r="F34" t="s">
        <v>161</v>
      </c>
    </row>
    <row r="35" spans="1:6">
      <c r="A35" t="str">
        <v>Metal pickling</v>
      </c>
      <c r="B35" t="str">
        <f>_xlfn.XLOOKUP(A35,'X1. Markets'!C:C,'X1. Markets'!B:B)</f>
        <v>Steel Pickling</v>
      </c>
      <c r="F35" t="s">
        <v>81</v>
      </c>
    </row>
    <row r="36" spans="1:6">
      <c r="A36" t="str">
        <v>Glass etching</v>
      </c>
      <c r="B36" t="str">
        <f>_xlfn.XLOOKUP(A36,'X1. Markets'!C:C,'X1. Markets'!B:B)</f>
        <v>Semiconductor Manufacturing</v>
      </c>
      <c r="F36" t="s">
        <v>57</v>
      </c>
    </row>
    <row r="37" spans="1:6">
      <c r="A37" t="str">
        <v>Oil refining</v>
      </c>
      <c r="B37" t="str">
        <f>_xlfn.XLOOKUP(A37,'X1. Markets'!C:C,'X1. Markets'!B:B)</f>
        <v>Other</v>
      </c>
      <c r="F37" t="s">
        <v>254</v>
      </c>
    </row>
    <row r="38" spans="1:6">
      <c r="A38" t="str">
        <v>Others</v>
      </c>
      <c r="B38" t="str">
        <f>_xlfn.XLOOKUP(A38,'X1. Markets'!C:C,'X1. Markets'!B:B)</f>
        <v>Other</v>
      </c>
      <c r="F38" t="s">
        <v>256</v>
      </c>
    </row>
    <row r="39" spans="1:6">
      <c r="A39" t="str">
        <v>Fertilizer industry</v>
      </c>
      <c r="B39" t="str">
        <f>_xlfn.XLOOKUP(A39,'X1. Markets'!C:C,'X1. Markets'!B:B)</f>
        <v>Potash Fertilizer Application</v>
      </c>
      <c r="F39" t="s">
        <v>39</v>
      </c>
    </row>
    <row r="40" spans="1:6">
      <c r="A40" t="str">
        <v>Chemical and industrial applications</v>
      </c>
      <c r="B40" t="str">
        <f>_xlfn.XLOOKUP(A40,'X1. Markets'!C:C,'X1. Markets'!B:B)</f>
        <v>Miscellaneous Chemical Manufacturing</v>
      </c>
      <c r="F40" t="s">
        <v>436</v>
      </c>
    </row>
    <row r="41" spans="1:6">
      <c r="A41" t="str">
        <v>Batteries</v>
      </c>
      <c r="B41" t="str">
        <f>_xlfn.XLOOKUP(A41,'X1. Markets'!C:C,'X1. Markets'!B:B)</f>
        <v>Lithium Battery Manufacturing</v>
      </c>
      <c r="F41" t="s">
        <v>27</v>
      </c>
    </row>
    <row r="42" spans="1:6">
      <c r="A42" t="str">
        <v>Ceramics and glass</v>
      </c>
      <c r="B42" t="str">
        <f>_xlfn.XLOOKUP(A42,'X1. Markets'!C:C,'X1. Markets'!B:B)</f>
        <v>Other</v>
      </c>
      <c r="F42" t="s">
        <v>43</v>
      </c>
    </row>
    <row r="43" spans="1:6">
      <c r="A43" t="str">
        <v>Lubricating greases</v>
      </c>
      <c r="B43" t="str">
        <f>_xlfn.XLOOKUP(A43,'X1. Markets'!C:C,'X1. Markets'!B:B)</f>
        <v>Other</v>
      </c>
      <c r="F43" t="s">
        <v>335</v>
      </c>
    </row>
    <row r="44" spans="1:6">
      <c r="A44" t="str">
        <v>Air treatment</v>
      </c>
      <c r="B44" t="str">
        <f>_xlfn.XLOOKUP(A44,'X1. Markets'!C:C,'X1. Markets'!B:B)</f>
        <v>Other</v>
      </c>
      <c r="F44" t="s">
        <v>279</v>
      </c>
    </row>
    <row r="45" spans="1:6">
      <c r="A45" t="str">
        <v>Continuous casting mold flux powders</v>
      </c>
      <c r="B45" t="str">
        <f>_xlfn.XLOOKUP(A45,'X1. Markets'!C:C,'X1. Markets'!B:B)</f>
        <v>Other</v>
      </c>
      <c r="F45" t="s">
        <v>406</v>
      </c>
    </row>
    <row r="46" spans="1:6">
      <c r="A46" t="str">
        <v>Medical</v>
      </c>
      <c r="B46" t="str">
        <f>_xlfn.XLOOKUP(A46,'X1. Markets'!C:C,'X1. Markets'!B:B)</f>
        <v>Other</v>
      </c>
      <c r="F46" t="s">
        <v>371</v>
      </c>
    </row>
    <row r="47" spans="1:6">
      <c r="A47" t="str">
        <v>Deicing and dust control</v>
      </c>
      <c r="B47" t="str">
        <f>_xlfn.XLOOKUP(A47,'X1. Markets'!C:C,'X1. Markets'!B:B)</f>
        <v>Deicing and Dust Control</v>
      </c>
      <c r="F47" t="s">
        <v>64</v>
      </c>
    </row>
    <row r="48" spans="1:6">
      <c r="A48" t="str">
        <v>Chemical intermediates</v>
      </c>
      <c r="B48" t="str">
        <f>_xlfn.XLOOKUP(A48,'X1. Markets'!C:C,'X1. Markets'!B:B)</f>
        <v>Miscellaneous Chemical Manufacturing</v>
      </c>
      <c r="F48" t="s">
        <v>573</v>
      </c>
    </row>
    <row r="49" spans="1:6">
      <c r="A49" t="str">
        <v>Cosmetics and personal care</v>
      </c>
      <c r="B49" t="str">
        <f>_xlfn.XLOOKUP(A49,'X1. Markets'!C:C,'X1. Markets'!B:B)</f>
        <v>Cosmetics and Personal Care Product Manufacturing</v>
      </c>
      <c r="F49" t="s">
        <v>129</v>
      </c>
    </row>
    <row r="50" spans="1:6">
      <c r="A50" t="str">
        <v>Pulp and paper</v>
      </c>
      <c r="B50" t="str">
        <f>_xlfn.XLOOKUP(A50,'X1. Markets'!C:C,'X1. Markets'!B:B)</f>
        <v>Pulp and Paper Manufacturing</v>
      </c>
      <c r="F50" t="s">
        <v>303</v>
      </c>
    </row>
    <row r="51" spans="1:6">
      <c r="A51" t="str">
        <v>Fertilizer</v>
      </c>
      <c r="B51" t="str">
        <f>_xlfn.XLOOKUP(A51,'X1. Markets'!C:C,'X1. Markets'!B:B)</f>
        <v>Miscellaneous Fertilizer Application</v>
      </c>
    </row>
    <row r="52" spans="1:6">
      <c r="A52" t="str">
        <v>Chemical industry</v>
      </c>
      <c r="B52" t="str">
        <f>_xlfn.XLOOKUP(A52,'X1. Markets'!C:C,'X1. Markets'!B:B)</f>
        <v>Miscellaneous Chemical Manufacturing</v>
      </c>
      <c r="F52" s="16" t="s">
        <v>576</v>
      </c>
    </row>
    <row r="53" spans="1:6">
      <c r="A53" t="str">
        <v>Highway deicing</v>
      </c>
      <c r="B53" t="str">
        <f>_xlfn.XLOOKUP(A53,'X1. Markets'!C:C,'X1. Markets'!B:B)</f>
        <v>Deicing and Dust Control</v>
      </c>
      <c r="F53" t="s">
        <v>574</v>
      </c>
    </row>
    <row r="54" spans="1:6">
      <c r="A54" t="str">
        <v>Other applications</v>
      </c>
      <c r="B54" t="str">
        <f>_xlfn.XLOOKUP(A54,'X1. Markets'!C:C,'X1. Markets'!B:B)</f>
        <v>Other</v>
      </c>
      <c r="F54" t="s">
        <v>55</v>
      </c>
    </row>
    <row r="55" spans="1:6">
      <c r="A55" t="str">
        <v>Glass</v>
      </c>
      <c r="B55" t="str">
        <f>_xlfn.XLOOKUP(A55,'X1. Markets'!C:C,'X1. Markets'!B:B)</f>
        <v>Glass Manufacturing</v>
      </c>
      <c r="F55" t="s">
        <v>41</v>
      </c>
    </row>
    <row r="56" spans="1:6">
      <c r="A56" t="str">
        <v>Chemicals</v>
      </c>
      <c r="B56" t="str">
        <f>_xlfn.XLOOKUP(A56,'X1. Markets'!C:C,'X1. Markets'!B:B)</f>
        <v>Miscellaneous Chemical Manufacturing</v>
      </c>
    </row>
    <row r="57" spans="1:6">
      <c r="A57" t="str">
        <v>Miscellaneous uses</v>
      </c>
      <c r="B57" t="str">
        <f>_xlfn.XLOOKUP(A57,'X1. Markets'!C:C,'X1. Markets'!B:B)</f>
        <v>Other</v>
      </c>
      <c r="F57" s="16" t="s">
        <v>577</v>
      </c>
    </row>
    <row r="58" spans="1:6">
      <c r="A58" t="str">
        <v>Distributors</v>
      </c>
      <c r="B58" t="str">
        <f>_xlfn.XLOOKUP(A58,'X1. Markets'!C:C,'X1. Markets'!B:B)</f>
        <v>Other</v>
      </c>
      <c r="F58" s="39" t="s">
        <v>301</v>
      </c>
    </row>
    <row r="59" spans="1:6">
      <c r="A59" t="str">
        <v>Soaps and detergents</v>
      </c>
      <c r="B59" t="str">
        <f>_xlfn.XLOOKUP(A59,'X1. Markets'!C:C,'X1. Markets'!B:B)</f>
        <v>Miscellaneous Chemical Manufacturing</v>
      </c>
      <c r="F59" t="s">
        <v>79</v>
      </c>
    </row>
    <row r="60" spans="1:6">
      <c r="A60" t="str">
        <v>Flue gas desulfurization</v>
      </c>
      <c r="B60" t="str">
        <f>_xlfn.XLOOKUP(A60,'X1. Markets'!C:C,'X1. Markets'!B:B)</f>
        <v>Other</v>
      </c>
      <c r="F60" t="s">
        <v>94</v>
      </c>
    </row>
    <row r="61" spans="1:6">
      <c r="A61" t="str">
        <v>Organic chemical synthesis</v>
      </c>
      <c r="B61" t="str">
        <f>_xlfn.XLOOKUP(A61,'X1. Markets'!C:C,'X1. Markets'!B:B)</f>
        <v>Organic Chemical Manufacturing</v>
      </c>
    </row>
    <row r="62" spans="1:6">
      <c r="A62" t="str">
        <v>Pulp and paper manufacturing</v>
      </c>
      <c r="B62" t="str">
        <f>_xlfn.XLOOKUP(A62,'X1. Markets'!C:C,'X1. Markets'!B:B)</f>
        <v>Pulp and Paper Manufacturing</v>
      </c>
      <c r="F62" s="16" t="s">
        <v>578</v>
      </c>
    </row>
    <row r="63" spans="1:6">
      <c r="A63" t="str">
        <v>Inorganic chemical production</v>
      </c>
      <c r="B63" t="str">
        <f>_xlfn.XLOOKUP(A63,'X1. Markets'!C:C,'X1. Markets'!B:B)</f>
        <v>Miscellaneous Chemical Manufacturing</v>
      </c>
      <c r="F63" t="s">
        <v>258</v>
      </c>
    </row>
    <row r="64" spans="1:6">
      <c r="A64" t="str">
        <v>Special applications</v>
      </c>
      <c r="B64" t="str">
        <f>_xlfn.XLOOKUP(A64,'X1. Markets'!C:C,'X1. Markets'!B:B)</f>
        <v>Other</v>
      </c>
      <c r="F64" t="s">
        <v>92</v>
      </c>
    </row>
    <row r="65" spans="1:6">
      <c r="A65" t="str">
        <v>Anhydrous ammonia fertilizer</v>
      </c>
      <c r="B65" t="str">
        <f>_xlfn.XLOOKUP(A65,'X1. Markets'!C:C,'X1. Markets'!B:B)</f>
        <v>Nitrogenous Fertilizer Application</v>
      </c>
      <c r="F65" t="s">
        <v>515</v>
      </c>
    </row>
    <row r="66" spans="1:6">
      <c r="A66" t="str">
        <v>Other fertilizer</v>
      </c>
      <c r="B66" t="str">
        <f>_xlfn.XLOOKUP(A66,'X1. Markets'!C:C,'X1. Markets'!B:B)</f>
        <v>Nitrogenous Fertilizer Manufacturing</v>
      </c>
      <c r="F66" t="s">
        <v>96</v>
      </c>
    </row>
    <row r="67" spans="1:6">
      <c r="A67" t="str">
        <v>Miscellaneous chemical compounds</v>
      </c>
      <c r="B67" t="str">
        <f>_xlfn.XLOOKUP(A67,'X1. Markets'!C:C,'X1. Markets'!B:B)</f>
        <v>Miscellaneous Chemical Manufacturing</v>
      </c>
      <c r="F67" t="s">
        <v>99</v>
      </c>
    </row>
    <row r="68" spans="1:6">
      <c r="A68" t="str">
        <v>Wet-process phosphoric acid and superphosphoric acid manufacturing</v>
      </c>
      <c r="B68" t="str">
        <f>_xlfn.XLOOKUP(A68,'X1. Markets'!C:C,'X1. Markets'!B:B)</f>
        <v>Phosphoric Acid Manufacturing</v>
      </c>
    </row>
    <row r="69" spans="1:6">
      <c r="A69" t="str">
        <v>Ceramic ferrite magnets</v>
      </c>
      <c r="B69" t="str">
        <f>_xlfn.XLOOKUP(A69,'X1. Markets'!C:C,'X1. Markets'!B:B)</f>
        <v>Miscellaneous Manufacturing</v>
      </c>
    </row>
    <row r="70" spans="1:6">
      <c r="A70" t="str">
        <v>Pyrotechnics and signals</v>
      </c>
      <c r="B70" t="str">
        <f>_xlfn.XLOOKUP(A70,'X1. Markets'!C:C,'X1. Markets'!B:B)</f>
        <v>Miscellaneous Manufacturing</v>
      </c>
    </row>
    <row r="71" spans="1:6">
      <c r="A71">
        <v>0</v>
      </c>
      <c r="B71" t="e">
        <f>_xlfn.XLOOKUP(A71,'X1. Markets'!C:C,'X1. Markets'!B:B)</f>
        <v>#N/A</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4BF1-90EA-3A4E-BC03-6CAC28D54638}">
  <dimension ref="A1:F19"/>
  <sheetViews>
    <sheetView workbookViewId="0">
      <selection activeCell="C23" sqref="C23"/>
    </sheetView>
  </sheetViews>
  <sheetFormatPr baseColWidth="10" defaultRowHeight="16"/>
  <cols>
    <col min="2" max="6" width="16.1640625" customWidth="1"/>
  </cols>
  <sheetData>
    <row r="1" spans="1:6">
      <c r="A1" t="s">
        <v>541</v>
      </c>
      <c r="B1" t="s">
        <v>542</v>
      </c>
      <c r="C1" t="s">
        <v>543</v>
      </c>
      <c r="D1" t="s">
        <v>544</v>
      </c>
      <c r="E1" t="s">
        <v>545</v>
      </c>
      <c r="F1" t="s">
        <v>546</v>
      </c>
    </row>
    <row r="2" spans="1:6">
      <c r="A2" t="s">
        <v>547</v>
      </c>
      <c r="B2" s="28" cm="1">
        <f t="array" ref="B2:F2">'B1. B'!D27:H27</f>
        <v>536.49620714000002</v>
      </c>
      <c r="C2" s="28">
        <v>565.14661464000005</v>
      </c>
      <c r="D2" s="28">
        <v>496.16751374</v>
      </c>
      <c r="E2" s="28">
        <v>510.43194557999999</v>
      </c>
      <c r="F2" s="28">
        <v>536.41411754000001</v>
      </c>
    </row>
    <row r="3" spans="1:6">
      <c r="A3" t="s">
        <v>548</v>
      </c>
      <c r="B3" s="28" cm="1">
        <f t="array" ref="B3:F3">'B2. BaSO4'!D27:H27</f>
        <v>2810.6580479999998</v>
      </c>
      <c r="C3">
        <v>3816.6511519999999</v>
      </c>
      <c r="D3">
        <v>3598.7060489999999</v>
      </c>
      <c r="E3">
        <v>3655.2133979999999</v>
      </c>
      <c r="F3">
        <v>3701.8464959999997</v>
      </c>
    </row>
    <row r="4" spans="1:6">
      <c r="A4" t="s">
        <v>251</v>
      </c>
      <c r="B4" s="28" cm="1">
        <f t="array" ref="B4:F4">'B3. Br'!D30:H30</f>
        <v>200.29999999999998</v>
      </c>
      <c r="C4">
        <v>220.1</v>
      </c>
      <c r="D4">
        <v>206.9</v>
      </c>
      <c r="E4">
        <v>219.5</v>
      </c>
      <c r="F4">
        <v>206</v>
      </c>
    </row>
    <row r="5" spans="1:6">
      <c r="A5" t="s">
        <v>549</v>
      </c>
      <c r="B5" s="28" cm="1">
        <f t="array" ref="B5:F5">'B5. CaF2'!D23:H23</f>
        <v>391</v>
      </c>
      <c r="C5">
        <v>448</v>
      </c>
      <c r="D5">
        <v>378</v>
      </c>
      <c r="E5">
        <v>372</v>
      </c>
      <c r="F5">
        <v>360</v>
      </c>
    </row>
    <row r="6" spans="1:6">
      <c r="A6" t="s">
        <v>550</v>
      </c>
      <c r="B6" s="28" cm="1">
        <f t="array" ref="B6:F6">'B6. Ca(OH)2'!D33:H33</f>
        <v>2490</v>
      </c>
      <c r="C6">
        <v>2520</v>
      </c>
      <c r="D6">
        <v>2370</v>
      </c>
      <c r="E6">
        <v>2250</v>
      </c>
      <c r="F6">
        <v>2250</v>
      </c>
    </row>
    <row r="7" spans="1:6">
      <c r="A7" t="s">
        <v>551</v>
      </c>
      <c r="B7" s="28" cm="1">
        <f t="array" ref="B7:F7">'B7. CaSO4'!D25:H25</f>
        <v>3200</v>
      </c>
      <c r="C7">
        <v>44600</v>
      </c>
      <c r="D7">
        <v>5800</v>
      </c>
      <c r="E7">
        <v>44900</v>
      </c>
      <c r="F7">
        <v>44000</v>
      </c>
    </row>
    <row r="8" spans="1:6">
      <c r="A8" t="s">
        <v>298</v>
      </c>
      <c r="B8" s="28" cm="1">
        <f t="array" ref="B8:F8">'B8. HCl'!D29:H29</f>
        <v>1479.5800000000002</v>
      </c>
      <c r="C8">
        <v>1390.826</v>
      </c>
      <c r="D8">
        <v>1415.663</v>
      </c>
      <c r="E8">
        <v>1400.357</v>
      </c>
      <c r="F8">
        <v>1354.5430000000001</v>
      </c>
    </row>
    <row r="9" spans="1:6">
      <c r="A9" t="s">
        <v>329</v>
      </c>
      <c r="B9" s="28" cm="1">
        <f t="array" ref="B9:F9">'B9. HF'!D31:H31</f>
        <v>287.04376099263527</v>
      </c>
      <c r="C9">
        <v>319.1420435209734</v>
      </c>
      <c r="D9">
        <v>270.01463334582132</v>
      </c>
      <c r="E9">
        <v>245.64341181652253</v>
      </c>
      <c r="F9">
        <v>248.34077275792509</v>
      </c>
    </row>
    <row r="10" spans="1:6">
      <c r="A10" t="s">
        <v>552</v>
      </c>
      <c r="B10" s="28" cm="1">
        <f t="array" ref="B10:F10">'B10. K2O'!D24:H24</f>
        <v>6900</v>
      </c>
      <c r="C10">
        <v>5100</v>
      </c>
      <c r="D10">
        <v>5900</v>
      </c>
      <c r="E10">
        <v>6200</v>
      </c>
      <c r="F10">
        <v>5900</v>
      </c>
    </row>
    <row r="11" spans="1:6">
      <c r="A11" t="s">
        <v>278</v>
      </c>
      <c r="B11" s="122" cm="1">
        <f t="array" ref="B11:F11">'B11. Li'!D34:H34</f>
        <v>3.08</v>
      </c>
      <c r="C11">
        <v>3.2799999999999994</v>
      </c>
      <c r="D11">
        <v>2.8600000000000003</v>
      </c>
      <c r="E11">
        <v>2.66</v>
      </c>
      <c r="F11">
        <v>3.5999999999999996</v>
      </c>
    </row>
    <row r="12" spans="1:6">
      <c r="A12" t="s">
        <v>381</v>
      </c>
      <c r="B12" s="28" cm="1">
        <f t="array" ref="B12:F12">'B13. Mg(OH)2'!D28:H28</f>
        <v>183.054992</v>
      </c>
      <c r="C12">
        <v>194.02840100000003</v>
      </c>
      <c r="D12">
        <v>168.46271300000001</v>
      </c>
      <c r="E12">
        <v>193.33911000000001</v>
      </c>
      <c r="F12">
        <v>195.618787</v>
      </c>
    </row>
    <row r="13" spans="1:6">
      <c r="A13" t="s">
        <v>553</v>
      </c>
      <c r="B13" s="28" cm="1">
        <f t="array" ref="B13:F13">'B14. MgSO4'!D30:H30</f>
        <v>115.70006799999963</v>
      </c>
      <c r="C13">
        <v>112.48901499999847</v>
      </c>
      <c r="D13">
        <v>109.07759799999913</v>
      </c>
      <c r="E13">
        <v>135.83815399999975</v>
      </c>
      <c r="F13">
        <v>142.67511799999863</v>
      </c>
    </row>
    <row r="14" spans="1:6">
      <c r="A14" t="s">
        <v>532</v>
      </c>
      <c r="B14" s="28" cm="1">
        <f t="array" ref="B14:F14">'B15. NaCl'!D25:H25</f>
        <v>63400</v>
      </c>
      <c r="C14">
        <v>62300</v>
      </c>
      <c r="D14">
        <v>53200</v>
      </c>
      <c r="E14">
        <v>51300</v>
      </c>
      <c r="F14">
        <v>57000</v>
      </c>
    </row>
    <row r="15" spans="1:6">
      <c r="A15" t="s">
        <v>554</v>
      </c>
      <c r="B15" s="28" cm="1">
        <f t="array" ref="B15:F15">'B16. Na2CO3'!D30:H30</f>
        <v>4550</v>
      </c>
      <c r="C15">
        <v>4760</v>
      </c>
      <c r="D15">
        <v>4360</v>
      </c>
      <c r="E15">
        <v>4350</v>
      </c>
      <c r="F15">
        <v>4700</v>
      </c>
    </row>
    <row r="16" spans="1:6">
      <c r="A16" t="s">
        <v>360</v>
      </c>
      <c r="B16" s="28" cm="1">
        <f t="array" ref="B16:F16">'B17. NaOH'!D30:H30</f>
        <v>12396.818405000002</v>
      </c>
      <c r="C16">
        <v>12590.512291000003</v>
      </c>
      <c r="D16">
        <v>12837.002922999998</v>
      </c>
      <c r="E16">
        <v>12294.335889000002</v>
      </c>
      <c r="F16">
        <v>11445.754019</v>
      </c>
    </row>
    <row r="17" spans="1:6">
      <c r="A17" t="s">
        <v>555</v>
      </c>
      <c r="B17" s="28" cm="1">
        <f t="array" ref="B17:F17">'B18. NH3'!D28:H28</f>
        <v>17751.502820018562</v>
      </c>
      <c r="C17">
        <v>17994.674091525663</v>
      </c>
      <c r="D17">
        <v>17873.088455772115</v>
      </c>
      <c r="E17">
        <v>17508.331548511458</v>
      </c>
      <c r="F17">
        <v>18237.845363032768</v>
      </c>
    </row>
    <row r="18" spans="1:6">
      <c r="A18" t="s">
        <v>556</v>
      </c>
      <c r="B18" s="28" cm="1">
        <f t="array" ref="B18:F18">'B19. P2O5'!D26:H26</f>
        <v>6832.0000000000009</v>
      </c>
      <c r="C18">
        <v>6244.0000000000009</v>
      </c>
      <c r="D18">
        <v>6328.0000000000009</v>
      </c>
      <c r="E18">
        <v>6300.0000000000009</v>
      </c>
      <c r="F18">
        <v>5880.0000000000009</v>
      </c>
    </row>
    <row r="19" spans="1:6">
      <c r="A19" t="s">
        <v>558</v>
      </c>
      <c r="B19" cm="1">
        <f t="array" ref="B19:F19">'B20. SrSO4'!D28:H28</f>
        <v>0.22221338187628395</v>
      </c>
      <c r="C19">
        <v>19.202590358365669</v>
      </c>
      <c r="D19">
        <v>4.3184864779730647</v>
      </c>
      <c r="E19">
        <v>6.0794227117096554E-2</v>
      </c>
      <c r="F19">
        <v>16.98045653960283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A0EE-C6D3-CB42-A64E-32A16473FC26}">
  <dimension ref="A1:H155"/>
  <sheetViews>
    <sheetView topLeftCell="A51" workbookViewId="0">
      <selection activeCell="A51" sqref="A51:XFD52"/>
    </sheetView>
  </sheetViews>
  <sheetFormatPr baseColWidth="10" defaultRowHeight="16"/>
  <cols>
    <col min="2" max="2" width="22.5" customWidth="1"/>
    <col min="3" max="3" width="18" customWidth="1"/>
    <col min="4" max="8" width="16.1640625" customWidth="1"/>
  </cols>
  <sheetData>
    <row r="1" spans="1:8">
      <c r="A1" t="s">
        <v>541</v>
      </c>
      <c r="B1" t="s">
        <v>559</v>
      </c>
      <c r="C1" t="s">
        <v>560</v>
      </c>
      <c r="D1" t="s">
        <v>542</v>
      </c>
      <c r="E1" t="s">
        <v>543</v>
      </c>
      <c r="F1" t="s">
        <v>544</v>
      </c>
      <c r="G1" t="s">
        <v>545</v>
      </c>
      <c r="H1" t="s">
        <v>546</v>
      </c>
    </row>
    <row r="2" spans="1:8">
      <c r="A2" t="s">
        <v>561</v>
      </c>
      <c r="B2" t="s">
        <v>39</v>
      </c>
      <c r="C2" t="str" cm="1">
        <f t="array" ref="C2:H52">_xlfn.HSTACK('B4. CaCO3'!B34:B84,'B4. CaCO3'!D34:H84)</f>
        <v>Alabama</v>
      </c>
      <c r="D2" s="28">
        <v>5200</v>
      </c>
      <c r="E2" s="28">
        <v>4180</v>
      </c>
      <c r="F2" s="28">
        <v>4660</v>
      </c>
      <c r="G2" s="28" t="str">
        <v>W</v>
      </c>
      <c r="H2" s="28" t="str">
        <v>W</v>
      </c>
    </row>
    <row r="3" spans="1:8">
      <c r="A3" t="s">
        <v>561</v>
      </c>
      <c r="B3" t="s">
        <v>39</v>
      </c>
      <c r="C3" t="str">
        <v>Alaska</v>
      </c>
      <c r="D3" s="28">
        <v>0</v>
      </c>
      <c r="E3">
        <v>0</v>
      </c>
      <c r="F3">
        <v>0</v>
      </c>
      <c r="G3" t="str">
        <v>W</v>
      </c>
      <c r="H3" t="str">
        <v>W</v>
      </c>
    </row>
    <row r="4" spans="1:8">
      <c r="A4" t="s">
        <v>561</v>
      </c>
      <c r="B4" t="s">
        <v>39</v>
      </c>
      <c r="C4" t="str">
        <v>Arizona</v>
      </c>
      <c r="D4" s="28" t="str">
        <v>W</v>
      </c>
      <c r="E4">
        <v>3540</v>
      </c>
      <c r="F4" t="str">
        <v>W</v>
      </c>
      <c r="G4" t="str">
        <v>W</v>
      </c>
      <c r="H4" t="str">
        <v>W</v>
      </c>
    </row>
    <row r="5" spans="1:8">
      <c r="A5" t="s">
        <v>561</v>
      </c>
      <c r="B5" t="s">
        <v>39</v>
      </c>
      <c r="C5" t="str">
        <v>Arkansas</v>
      </c>
      <c r="D5" s="28" t="str">
        <v>W</v>
      </c>
      <c r="E5" t="str">
        <v>W</v>
      </c>
      <c r="F5" t="str">
        <v>W</v>
      </c>
      <c r="G5" t="str">
        <v>W</v>
      </c>
      <c r="H5" t="str">
        <v>W</v>
      </c>
    </row>
    <row r="6" spans="1:8">
      <c r="A6" t="s">
        <v>561</v>
      </c>
      <c r="B6" t="s">
        <v>39</v>
      </c>
      <c r="C6" t="str">
        <v>California</v>
      </c>
      <c r="D6" s="28">
        <v>12300</v>
      </c>
      <c r="E6">
        <v>12800</v>
      </c>
      <c r="F6">
        <v>12300</v>
      </c>
      <c r="G6" t="str">
        <v>W</v>
      </c>
      <c r="H6" t="str">
        <v>W</v>
      </c>
    </row>
    <row r="7" spans="1:8">
      <c r="A7" t="s">
        <v>561</v>
      </c>
      <c r="B7" t="s">
        <v>39</v>
      </c>
      <c r="C7" t="str">
        <v>Colorado</v>
      </c>
      <c r="D7" s="28">
        <v>1780</v>
      </c>
      <c r="E7" t="str">
        <v>W</v>
      </c>
      <c r="F7">
        <v>3140</v>
      </c>
      <c r="G7" t="str">
        <v>W</v>
      </c>
      <c r="H7" t="str">
        <v>W</v>
      </c>
    </row>
    <row r="8" spans="1:8">
      <c r="A8" t="s">
        <v>561</v>
      </c>
      <c r="B8" t="s">
        <v>39</v>
      </c>
      <c r="C8" t="str">
        <v>Connecticut</v>
      </c>
      <c r="D8" s="28">
        <v>0</v>
      </c>
      <c r="E8">
        <v>0</v>
      </c>
      <c r="F8">
        <v>0</v>
      </c>
      <c r="G8" t="str">
        <v>W</v>
      </c>
      <c r="H8" t="str">
        <v>W</v>
      </c>
    </row>
    <row r="9" spans="1:8">
      <c r="A9" t="s">
        <v>561</v>
      </c>
      <c r="B9" t="s">
        <v>39</v>
      </c>
      <c r="C9" t="str">
        <v>Delaware</v>
      </c>
      <c r="D9" s="28">
        <v>0</v>
      </c>
      <c r="E9">
        <v>0</v>
      </c>
      <c r="F9">
        <v>0</v>
      </c>
      <c r="G9" t="str">
        <v>W</v>
      </c>
      <c r="H9" t="str">
        <v>W</v>
      </c>
    </row>
    <row r="10" spans="1:8">
      <c r="A10" t="s">
        <v>561</v>
      </c>
      <c r="B10" t="s">
        <v>39</v>
      </c>
      <c r="C10" t="str">
        <v>Florida</v>
      </c>
      <c r="D10" s="28">
        <v>8580</v>
      </c>
      <c r="E10">
        <v>7370</v>
      </c>
      <c r="F10">
        <v>5370</v>
      </c>
      <c r="G10" t="str">
        <v>W</v>
      </c>
      <c r="H10" t="str">
        <v>W</v>
      </c>
    </row>
    <row r="11" spans="1:8">
      <c r="A11" t="s">
        <v>561</v>
      </c>
      <c r="B11" t="s">
        <v>39</v>
      </c>
      <c r="C11" t="str">
        <v>Georgia</v>
      </c>
      <c r="D11" s="122">
        <v>801</v>
      </c>
      <c r="E11">
        <v>617</v>
      </c>
      <c r="F11">
        <v>530</v>
      </c>
      <c r="G11" t="str">
        <v>W</v>
      </c>
      <c r="H11" t="str">
        <v>W</v>
      </c>
    </row>
    <row r="12" spans="1:8">
      <c r="A12" t="s">
        <v>561</v>
      </c>
      <c r="B12" t="s">
        <v>39</v>
      </c>
      <c r="C12" t="str">
        <v>Hawaii</v>
      </c>
      <c r="D12" s="28">
        <v>0</v>
      </c>
      <c r="E12">
        <v>0</v>
      </c>
      <c r="F12">
        <v>0</v>
      </c>
      <c r="G12" t="str">
        <v>W</v>
      </c>
      <c r="H12" t="str">
        <v>W</v>
      </c>
    </row>
    <row r="13" spans="1:8">
      <c r="A13" t="s">
        <v>561</v>
      </c>
      <c r="B13" t="s">
        <v>39</v>
      </c>
      <c r="C13" t="str">
        <v>Idaho</v>
      </c>
      <c r="D13" s="28">
        <v>0</v>
      </c>
      <c r="E13">
        <v>0</v>
      </c>
      <c r="F13">
        <v>0</v>
      </c>
      <c r="G13" t="str">
        <v>W</v>
      </c>
      <c r="H13" t="str">
        <v>W</v>
      </c>
    </row>
    <row r="14" spans="1:8">
      <c r="A14" t="s">
        <v>561</v>
      </c>
      <c r="B14" t="s">
        <v>39</v>
      </c>
      <c r="C14" t="str">
        <v>Illinois</v>
      </c>
      <c r="D14" s="28" t="str">
        <v>W</v>
      </c>
      <c r="E14" t="str">
        <v>W</v>
      </c>
      <c r="F14" t="str">
        <v>W</v>
      </c>
      <c r="G14" t="str">
        <v>W</v>
      </c>
      <c r="H14" t="str">
        <v>W</v>
      </c>
    </row>
    <row r="15" spans="1:8">
      <c r="A15" t="s">
        <v>561</v>
      </c>
      <c r="B15" t="s">
        <v>39</v>
      </c>
      <c r="C15" t="str">
        <v>Indiana</v>
      </c>
      <c r="D15" s="28" t="str">
        <v>W</v>
      </c>
      <c r="E15">
        <v>3250</v>
      </c>
      <c r="F15">
        <v>3520</v>
      </c>
      <c r="G15" t="str">
        <v>W</v>
      </c>
      <c r="H15" t="str">
        <v>W</v>
      </c>
    </row>
    <row r="16" spans="1:8">
      <c r="A16" t="s">
        <v>561</v>
      </c>
      <c r="B16" t="s">
        <v>39</v>
      </c>
      <c r="C16" t="str">
        <v>Iowa</v>
      </c>
      <c r="D16" s="28">
        <v>2170</v>
      </c>
      <c r="E16">
        <v>2130</v>
      </c>
      <c r="F16">
        <v>2150</v>
      </c>
      <c r="G16" t="str">
        <v>W</v>
      </c>
      <c r="H16" t="str">
        <v>W</v>
      </c>
    </row>
    <row r="17" spans="1:8">
      <c r="A17" t="s">
        <v>561</v>
      </c>
      <c r="B17" t="s">
        <v>39</v>
      </c>
      <c r="C17" t="str">
        <v>Kansas</v>
      </c>
      <c r="D17" s="28" t="str">
        <v>W</v>
      </c>
      <c r="E17" t="str">
        <v>W</v>
      </c>
      <c r="F17" t="str">
        <v>W</v>
      </c>
      <c r="G17" t="str">
        <v>W</v>
      </c>
      <c r="H17" t="str">
        <v>W</v>
      </c>
    </row>
    <row r="18" spans="1:8">
      <c r="A18" t="s">
        <v>561</v>
      </c>
      <c r="B18" t="s">
        <v>39</v>
      </c>
      <c r="C18" t="str">
        <v>Kentucky</v>
      </c>
      <c r="D18">
        <v>2040</v>
      </c>
      <c r="E18">
        <v>2000</v>
      </c>
      <c r="F18">
        <v>1770</v>
      </c>
      <c r="G18" t="str">
        <v>W</v>
      </c>
      <c r="H18" t="str">
        <v>W</v>
      </c>
    </row>
    <row r="19" spans="1:8">
      <c r="A19" t="s">
        <v>561</v>
      </c>
      <c r="B19" t="s">
        <v>39</v>
      </c>
      <c r="C19" t="str">
        <v>Louisiana</v>
      </c>
      <c r="D19" t="str">
        <v>W</v>
      </c>
      <c r="E19">
        <v>0</v>
      </c>
      <c r="F19">
        <v>0</v>
      </c>
      <c r="G19" t="str">
        <v>W</v>
      </c>
      <c r="H19" t="str">
        <v>W</v>
      </c>
    </row>
    <row r="20" spans="1:8">
      <c r="A20" t="s">
        <v>561</v>
      </c>
      <c r="B20" t="s">
        <v>39</v>
      </c>
      <c r="C20" t="str">
        <v>Maine</v>
      </c>
      <c r="D20">
        <v>466</v>
      </c>
      <c r="E20">
        <v>466</v>
      </c>
      <c r="F20">
        <v>394</v>
      </c>
      <c r="G20" t="str">
        <v>W</v>
      </c>
      <c r="H20" t="str">
        <v>W</v>
      </c>
    </row>
    <row r="21" spans="1:8">
      <c r="A21" t="s">
        <v>561</v>
      </c>
      <c r="B21" t="s">
        <v>39</v>
      </c>
      <c r="C21" t="str">
        <v>Maryland</v>
      </c>
      <c r="D21">
        <v>4010</v>
      </c>
      <c r="E21">
        <v>3910</v>
      </c>
      <c r="F21">
        <v>3660</v>
      </c>
      <c r="G21" t="str">
        <v>W</v>
      </c>
      <c r="H21" t="str">
        <v>W</v>
      </c>
    </row>
    <row r="22" spans="1:8">
      <c r="A22" t="s">
        <v>561</v>
      </c>
      <c r="B22" t="s">
        <v>39</v>
      </c>
      <c r="C22" t="str">
        <v>Massachusetts</v>
      </c>
      <c r="D22">
        <v>0</v>
      </c>
      <c r="E22">
        <v>0</v>
      </c>
      <c r="F22">
        <v>0</v>
      </c>
      <c r="G22" t="str">
        <v>W</v>
      </c>
      <c r="H22" t="str">
        <v>W</v>
      </c>
    </row>
    <row r="23" spans="1:8">
      <c r="A23" t="s">
        <v>561</v>
      </c>
      <c r="B23" t="s">
        <v>39</v>
      </c>
      <c r="C23" t="str">
        <v>Michigan</v>
      </c>
      <c r="D23">
        <v>4780</v>
      </c>
      <c r="E23">
        <v>5980</v>
      </c>
      <c r="F23" t="str">
        <v>W</v>
      </c>
      <c r="G23" t="str">
        <v>W</v>
      </c>
      <c r="H23" t="str">
        <v>W</v>
      </c>
    </row>
    <row r="24" spans="1:8">
      <c r="A24" t="s">
        <v>561</v>
      </c>
      <c r="B24" t="s">
        <v>39</v>
      </c>
      <c r="C24" t="str">
        <v>Minnesota</v>
      </c>
      <c r="D24">
        <v>0</v>
      </c>
      <c r="E24">
        <v>0</v>
      </c>
      <c r="F24">
        <v>0</v>
      </c>
      <c r="G24" t="str">
        <v>W</v>
      </c>
      <c r="H24" t="str">
        <v>W</v>
      </c>
    </row>
    <row r="25" spans="1:8">
      <c r="A25" t="s">
        <v>561</v>
      </c>
      <c r="B25" t="s">
        <v>39</v>
      </c>
      <c r="C25" t="str">
        <v>Mississippi</v>
      </c>
      <c r="D25">
        <v>0</v>
      </c>
      <c r="E25">
        <v>0</v>
      </c>
      <c r="F25">
        <v>0</v>
      </c>
      <c r="G25" t="str">
        <v>W</v>
      </c>
      <c r="H25" t="str">
        <v>W</v>
      </c>
    </row>
    <row r="26" spans="1:8">
      <c r="A26" t="s">
        <v>561</v>
      </c>
      <c r="B26" t="s">
        <v>39</v>
      </c>
      <c r="C26" t="str">
        <v>Missouri</v>
      </c>
      <c r="D26">
        <v>12100</v>
      </c>
      <c r="E26">
        <v>12300</v>
      </c>
      <c r="F26">
        <v>11900</v>
      </c>
      <c r="G26" t="str">
        <v>W</v>
      </c>
      <c r="H26" t="str">
        <v>W</v>
      </c>
    </row>
    <row r="27" spans="1:8">
      <c r="A27" t="s">
        <v>561</v>
      </c>
      <c r="B27" t="s">
        <v>39</v>
      </c>
      <c r="C27" t="str">
        <v>Montana</v>
      </c>
      <c r="D27">
        <v>781</v>
      </c>
      <c r="E27">
        <v>750</v>
      </c>
      <c r="F27">
        <v>718</v>
      </c>
      <c r="G27" t="str">
        <v>W</v>
      </c>
      <c r="H27" t="str">
        <v>W</v>
      </c>
    </row>
    <row r="28" spans="1:8">
      <c r="A28" t="s">
        <v>561</v>
      </c>
      <c r="B28" t="s">
        <v>39</v>
      </c>
      <c r="C28" t="str">
        <v>Nebraska</v>
      </c>
      <c r="D28">
        <v>0</v>
      </c>
      <c r="E28" t="str">
        <v>W</v>
      </c>
      <c r="F28" t="str">
        <v>W</v>
      </c>
      <c r="G28" t="str">
        <v>W</v>
      </c>
      <c r="H28" t="str">
        <v>W</v>
      </c>
    </row>
    <row r="29" spans="1:8">
      <c r="A29" t="s">
        <v>561</v>
      </c>
      <c r="B29" t="s">
        <v>39</v>
      </c>
      <c r="C29" t="str">
        <v>Nevada</v>
      </c>
      <c r="D29" t="str">
        <v>W</v>
      </c>
      <c r="E29">
        <v>464</v>
      </c>
      <c r="F29">
        <v>599</v>
      </c>
      <c r="G29" t="str">
        <v>W</v>
      </c>
      <c r="H29" t="str">
        <v>W</v>
      </c>
    </row>
    <row r="30" spans="1:8">
      <c r="A30" t="s">
        <v>561</v>
      </c>
      <c r="B30" t="s">
        <v>39</v>
      </c>
      <c r="C30" t="str">
        <v>New Hampshire</v>
      </c>
      <c r="D30">
        <v>0</v>
      </c>
      <c r="E30">
        <v>0</v>
      </c>
      <c r="F30">
        <v>0</v>
      </c>
      <c r="G30" t="str">
        <v>W</v>
      </c>
      <c r="H30" t="str">
        <v>W</v>
      </c>
    </row>
    <row r="31" spans="1:8">
      <c r="A31" t="s">
        <v>561</v>
      </c>
      <c r="B31" t="s">
        <v>39</v>
      </c>
      <c r="C31" t="str">
        <v>New Jersey</v>
      </c>
      <c r="D31">
        <v>0</v>
      </c>
      <c r="E31">
        <v>0</v>
      </c>
      <c r="F31">
        <v>0</v>
      </c>
      <c r="G31" t="str">
        <v>W</v>
      </c>
      <c r="H31" t="str">
        <v>W</v>
      </c>
    </row>
    <row r="32" spans="1:8">
      <c r="A32" t="s">
        <v>561</v>
      </c>
      <c r="B32" t="s">
        <v>39</v>
      </c>
      <c r="C32" t="str">
        <v>New Mexico</v>
      </c>
      <c r="D32">
        <v>494</v>
      </c>
      <c r="E32">
        <v>514</v>
      </c>
      <c r="F32">
        <v>514</v>
      </c>
      <c r="G32" t="str">
        <v>W</v>
      </c>
      <c r="H32" t="str">
        <v>W</v>
      </c>
    </row>
    <row r="33" spans="1:8">
      <c r="A33" t="s">
        <v>561</v>
      </c>
      <c r="B33" t="s">
        <v>39</v>
      </c>
      <c r="C33" t="str">
        <v>New York</v>
      </c>
      <c r="D33">
        <v>1910</v>
      </c>
      <c r="E33">
        <v>1940</v>
      </c>
      <c r="F33">
        <v>2150</v>
      </c>
      <c r="G33" t="str">
        <v>W</v>
      </c>
      <c r="H33" t="str">
        <v>W</v>
      </c>
    </row>
    <row r="34" spans="1:8">
      <c r="A34" t="s">
        <v>561</v>
      </c>
      <c r="B34" t="s">
        <v>39</v>
      </c>
      <c r="C34" t="str">
        <v>North Carolina</v>
      </c>
      <c r="D34">
        <v>0</v>
      </c>
      <c r="E34">
        <v>0</v>
      </c>
      <c r="F34">
        <v>0</v>
      </c>
      <c r="G34" t="str">
        <v>W</v>
      </c>
      <c r="H34" t="str">
        <v>W</v>
      </c>
    </row>
    <row r="35" spans="1:8">
      <c r="A35" t="s">
        <v>561</v>
      </c>
      <c r="B35" t="s">
        <v>39</v>
      </c>
      <c r="C35" t="str">
        <v>North Dakota</v>
      </c>
      <c r="D35">
        <v>0</v>
      </c>
      <c r="E35">
        <v>0</v>
      </c>
      <c r="F35">
        <v>0</v>
      </c>
      <c r="G35" t="str">
        <v>W</v>
      </c>
      <c r="H35" t="str">
        <v>W</v>
      </c>
    </row>
    <row r="36" spans="1:8">
      <c r="A36" t="s">
        <v>561</v>
      </c>
      <c r="B36" t="s">
        <v>39</v>
      </c>
      <c r="C36" t="str">
        <v>Ohio</v>
      </c>
      <c r="D36" t="str">
        <v>W</v>
      </c>
      <c r="E36">
        <v>1280</v>
      </c>
      <c r="F36">
        <v>1140</v>
      </c>
      <c r="G36" t="str">
        <v>W</v>
      </c>
      <c r="H36" t="str">
        <v>W</v>
      </c>
    </row>
    <row r="37" spans="1:8">
      <c r="A37" t="s">
        <v>561</v>
      </c>
      <c r="B37" t="s">
        <v>39</v>
      </c>
      <c r="C37" t="str">
        <v>Oklahoma</v>
      </c>
      <c r="D37">
        <v>2090</v>
      </c>
      <c r="E37">
        <v>1040</v>
      </c>
      <c r="F37">
        <v>1890</v>
      </c>
      <c r="G37" t="str">
        <v>W</v>
      </c>
      <c r="H37" t="str">
        <v>W</v>
      </c>
    </row>
    <row r="38" spans="1:8">
      <c r="A38" t="s">
        <v>561</v>
      </c>
      <c r="B38" t="s">
        <v>39</v>
      </c>
      <c r="C38" t="str">
        <v>Oregon</v>
      </c>
      <c r="D38">
        <v>1070</v>
      </c>
      <c r="E38">
        <v>1180</v>
      </c>
      <c r="F38" t="str">
        <v>W</v>
      </c>
      <c r="G38" t="str">
        <v>W</v>
      </c>
      <c r="H38" t="str">
        <v>W</v>
      </c>
    </row>
    <row r="39" spans="1:8">
      <c r="A39" t="s">
        <v>561</v>
      </c>
      <c r="B39" t="s">
        <v>39</v>
      </c>
      <c r="C39" t="str">
        <v>Pennsylvania</v>
      </c>
      <c r="D39">
        <v>5810</v>
      </c>
      <c r="E39">
        <v>5990</v>
      </c>
      <c r="F39">
        <v>5190</v>
      </c>
      <c r="G39" t="str">
        <v>W</v>
      </c>
      <c r="H39" t="str">
        <v>W</v>
      </c>
    </row>
    <row r="40" spans="1:8">
      <c r="A40" t="s">
        <v>561</v>
      </c>
      <c r="B40" t="s">
        <v>39</v>
      </c>
      <c r="C40" t="str">
        <v>Rhode Island</v>
      </c>
      <c r="D40">
        <v>0</v>
      </c>
      <c r="E40">
        <v>0</v>
      </c>
      <c r="F40">
        <v>0</v>
      </c>
      <c r="G40" t="str">
        <v>W</v>
      </c>
      <c r="H40" t="str">
        <v>W</v>
      </c>
    </row>
    <row r="41" spans="1:8">
      <c r="A41" t="s">
        <v>561</v>
      </c>
      <c r="B41" t="s">
        <v>39</v>
      </c>
      <c r="C41" t="str">
        <v>South Carolina</v>
      </c>
      <c r="D41">
        <v>2010</v>
      </c>
      <c r="E41">
        <v>2310</v>
      </c>
      <c r="F41">
        <v>2060</v>
      </c>
      <c r="G41" t="str">
        <v>W</v>
      </c>
      <c r="H41" t="str">
        <v>W</v>
      </c>
    </row>
    <row r="42" spans="1:8">
      <c r="A42" t="s">
        <v>561</v>
      </c>
      <c r="B42" t="s">
        <v>39</v>
      </c>
      <c r="C42" t="str">
        <v>South Dakota</v>
      </c>
      <c r="D42">
        <v>971</v>
      </c>
      <c r="E42">
        <v>1100</v>
      </c>
      <c r="F42" t="str">
        <v>W</v>
      </c>
      <c r="G42" t="str">
        <v>W</v>
      </c>
      <c r="H42" t="str">
        <v>W</v>
      </c>
    </row>
    <row r="43" spans="1:8">
      <c r="A43" t="s">
        <v>561</v>
      </c>
      <c r="B43" t="s">
        <v>39</v>
      </c>
      <c r="C43" t="str">
        <v>Tennessee</v>
      </c>
      <c r="D43" t="str">
        <v>W</v>
      </c>
      <c r="E43" t="str">
        <v>W</v>
      </c>
      <c r="F43" t="str">
        <v>W</v>
      </c>
      <c r="G43" t="str">
        <v>W</v>
      </c>
      <c r="H43" t="str">
        <v>W</v>
      </c>
    </row>
    <row r="44" spans="1:8">
      <c r="A44" t="s">
        <v>561</v>
      </c>
      <c r="B44" t="s">
        <v>39</v>
      </c>
      <c r="C44" t="str">
        <v>Texas</v>
      </c>
      <c r="D44">
        <v>17400</v>
      </c>
      <c r="E44">
        <v>17700</v>
      </c>
      <c r="F44">
        <v>20300</v>
      </c>
      <c r="G44" t="str">
        <v>W</v>
      </c>
      <c r="H44" t="str">
        <v>W</v>
      </c>
    </row>
    <row r="45" spans="1:8">
      <c r="A45" t="s">
        <v>561</v>
      </c>
      <c r="B45" t="s">
        <v>39</v>
      </c>
      <c r="C45" t="str">
        <v>Utah</v>
      </c>
      <c r="D45" t="str">
        <v>W</v>
      </c>
      <c r="E45" t="str">
        <v>W</v>
      </c>
      <c r="F45" t="str">
        <v>W</v>
      </c>
      <c r="G45" t="str">
        <v>W</v>
      </c>
      <c r="H45" t="str">
        <v>W</v>
      </c>
    </row>
    <row r="46" spans="1:8">
      <c r="A46" t="s">
        <v>561</v>
      </c>
      <c r="B46" t="s">
        <v>39</v>
      </c>
      <c r="C46" t="str">
        <v>Vermont</v>
      </c>
      <c r="D46">
        <v>0</v>
      </c>
      <c r="E46">
        <v>0</v>
      </c>
      <c r="F46">
        <v>0</v>
      </c>
      <c r="G46" t="str">
        <v>W</v>
      </c>
      <c r="H46" t="str">
        <v>W</v>
      </c>
    </row>
    <row r="47" spans="1:8">
      <c r="A47" t="s">
        <v>561</v>
      </c>
      <c r="B47" t="s">
        <v>39</v>
      </c>
      <c r="C47" t="str">
        <v>Virginia</v>
      </c>
      <c r="D47">
        <v>1340</v>
      </c>
      <c r="E47">
        <v>1410</v>
      </c>
      <c r="F47">
        <v>1460</v>
      </c>
      <c r="G47" t="str">
        <v>W</v>
      </c>
      <c r="H47" t="str">
        <v>W</v>
      </c>
    </row>
    <row r="48" spans="1:8">
      <c r="A48" t="s">
        <v>561</v>
      </c>
      <c r="B48" t="s">
        <v>39</v>
      </c>
      <c r="C48" t="str">
        <v>Washington</v>
      </c>
      <c r="D48" t="str">
        <v>W</v>
      </c>
      <c r="E48">
        <v>599</v>
      </c>
      <c r="F48">
        <v>637</v>
      </c>
      <c r="G48" t="str">
        <v>W</v>
      </c>
      <c r="H48" t="str">
        <v>W</v>
      </c>
    </row>
    <row r="49" spans="1:8">
      <c r="A49" t="s">
        <v>561</v>
      </c>
      <c r="B49" t="s">
        <v>39</v>
      </c>
      <c r="C49" t="str">
        <v>West Virginia</v>
      </c>
      <c r="D49" t="str">
        <v>W</v>
      </c>
      <c r="E49" t="str">
        <v>W</v>
      </c>
      <c r="F49" t="str">
        <v>W</v>
      </c>
      <c r="G49" t="str">
        <v>W</v>
      </c>
      <c r="H49" t="str">
        <v>W</v>
      </c>
    </row>
    <row r="50" spans="1:8">
      <c r="A50" t="s">
        <v>561</v>
      </c>
      <c r="B50" t="s">
        <v>39</v>
      </c>
      <c r="C50" t="str">
        <v>Wisconsin</v>
      </c>
      <c r="D50">
        <v>0</v>
      </c>
      <c r="E50">
        <v>0</v>
      </c>
      <c r="F50">
        <v>0</v>
      </c>
      <c r="G50" t="str">
        <v>W</v>
      </c>
      <c r="H50" t="str">
        <v>W</v>
      </c>
    </row>
    <row r="51" spans="1:8">
      <c r="A51" t="s">
        <v>561</v>
      </c>
      <c r="B51" t="s">
        <v>39</v>
      </c>
      <c r="C51" t="str">
        <v>Wyoming</v>
      </c>
      <c r="D51">
        <v>826</v>
      </c>
      <c r="E51" t="str">
        <v>W</v>
      </c>
      <c r="F51" t="str">
        <v>W</v>
      </c>
      <c r="G51" t="str">
        <v>W</v>
      </c>
      <c r="H51" t="str">
        <v>W</v>
      </c>
    </row>
    <row r="52" spans="1:8">
      <c r="A52" t="s">
        <v>561</v>
      </c>
      <c r="B52" t="s">
        <v>39</v>
      </c>
      <c r="C52" t="str">
        <v>Total Withheld</v>
      </c>
      <c r="D52">
        <v>20800</v>
      </c>
      <c r="E52">
        <v>14400</v>
      </c>
      <c r="F52">
        <v>23500</v>
      </c>
      <c r="G52">
        <v>164459.1642911454</v>
      </c>
      <c r="H52">
        <v>164459.1642911454</v>
      </c>
    </row>
    <row r="53" spans="1:8">
      <c r="A53" t="s">
        <v>561</v>
      </c>
      <c r="B53" t="s">
        <v>436</v>
      </c>
      <c r="C53" t="str" cm="1">
        <f t="array" ref="C53:H103">_xlfn.HSTACK('B4. CaCO3'!B91:B141,'B4. CaCO3'!D91:H141)</f>
        <v>Alabama</v>
      </c>
      <c r="D53">
        <v>7920</v>
      </c>
      <c r="E53">
        <v>8190</v>
      </c>
      <c r="F53">
        <v>6360</v>
      </c>
      <c r="G53" t="str">
        <v>W</v>
      </c>
      <c r="H53" t="str">
        <v>W</v>
      </c>
    </row>
    <row r="54" spans="1:8">
      <c r="A54" t="s">
        <v>561</v>
      </c>
      <c r="B54" t="s">
        <v>436</v>
      </c>
      <c r="C54" t="str">
        <v>Alaska</v>
      </c>
      <c r="D54">
        <v>0</v>
      </c>
      <c r="E54">
        <v>0</v>
      </c>
      <c r="F54">
        <v>0</v>
      </c>
      <c r="G54" t="str">
        <v>W</v>
      </c>
      <c r="H54" t="str">
        <v>W</v>
      </c>
    </row>
    <row r="55" spans="1:8">
      <c r="A55" t="s">
        <v>561</v>
      </c>
      <c r="B55" t="s">
        <v>436</v>
      </c>
      <c r="C55" t="str">
        <v>Arizona</v>
      </c>
      <c r="D55">
        <v>330</v>
      </c>
      <c r="E55">
        <v>506</v>
      </c>
      <c r="F55">
        <v>1440</v>
      </c>
      <c r="G55" t="str">
        <v>W</v>
      </c>
      <c r="H55" t="str">
        <v>W</v>
      </c>
    </row>
    <row r="56" spans="1:8">
      <c r="A56" t="s">
        <v>561</v>
      </c>
      <c r="B56" t="s">
        <v>436</v>
      </c>
      <c r="C56" t="str">
        <v>Arkansas</v>
      </c>
      <c r="D56" t="str">
        <v>W</v>
      </c>
      <c r="E56" t="str">
        <v>W</v>
      </c>
      <c r="F56" t="str">
        <v>W</v>
      </c>
      <c r="G56" t="str">
        <v>W</v>
      </c>
      <c r="H56" t="str">
        <v>W</v>
      </c>
    </row>
    <row r="57" spans="1:8">
      <c r="A57" t="s">
        <v>561</v>
      </c>
      <c r="B57" t="s">
        <v>436</v>
      </c>
      <c r="C57" t="str">
        <v>California</v>
      </c>
      <c r="D57">
        <v>555</v>
      </c>
      <c r="E57" t="str">
        <v>W</v>
      </c>
      <c r="F57" t="str">
        <v>W</v>
      </c>
      <c r="G57" t="str">
        <v>W</v>
      </c>
      <c r="H57" t="str">
        <v>W</v>
      </c>
    </row>
    <row r="58" spans="1:8">
      <c r="A58" t="s">
        <v>561</v>
      </c>
      <c r="B58" t="s">
        <v>436</v>
      </c>
      <c r="C58" t="str">
        <v>Colorado</v>
      </c>
      <c r="D58">
        <v>0</v>
      </c>
      <c r="E58">
        <v>0</v>
      </c>
      <c r="F58">
        <v>0</v>
      </c>
      <c r="G58" t="str">
        <v>W</v>
      </c>
      <c r="H58" t="str">
        <v>W</v>
      </c>
    </row>
    <row r="59" spans="1:8">
      <c r="A59" t="s">
        <v>561</v>
      </c>
      <c r="B59" t="s">
        <v>436</v>
      </c>
      <c r="C59" t="str">
        <v>Connecticut</v>
      </c>
      <c r="D59">
        <v>0</v>
      </c>
      <c r="E59">
        <v>0</v>
      </c>
      <c r="F59">
        <v>0</v>
      </c>
      <c r="G59" t="str">
        <v>W</v>
      </c>
      <c r="H59" t="str">
        <v>W</v>
      </c>
    </row>
    <row r="60" spans="1:8">
      <c r="A60" t="s">
        <v>561</v>
      </c>
      <c r="B60" t="s">
        <v>436</v>
      </c>
      <c r="C60" t="str">
        <v>Delaware</v>
      </c>
      <c r="D60">
        <v>0</v>
      </c>
      <c r="E60">
        <v>0</v>
      </c>
      <c r="F60">
        <v>0</v>
      </c>
      <c r="G60" t="str">
        <v>W</v>
      </c>
      <c r="H60" t="str">
        <v>W</v>
      </c>
    </row>
    <row r="61" spans="1:8">
      <c r="A61" t="s">
        <v>561</v>
      </c>
      <c r="B61" t="s">
        <v>436</v>
      </c>
      <c r="C61" t="str">
        <v>Florida</v>
      </c>
      <c r="D61">
        <v>1890</v>
      </c>
      <c r="E61">
        <v>519</v>
      </c>
      <c r="F61">
        <v>2790</v>
      </c>
      <c r="G61" t="str">
        <v>W</v>
      </c>
      <c r="H61" t="str">
        <v>W</v>
      </c>
    </row>
    <row r="62" spans="1:8">
      <c r="A62" t="s">
        <v>561</v>
      </c>
      <c r="B62" t="s">
        <v>436</v>
      </c>
      <c r="C62" t="str">
        <v>Georgia</v>
      </c>
      <c r="D62">
        <v>0</v>
      </c>
      <c r="E62">
        <v>0</v>
      </c>
      <c r="F62">
        <v>0</v>
      </c>
      <c r="G62" t="str">
        <v>W</v>
      </c>
      <c r="H62" t="str">
        <v>W</v>
      </c>
    </row>
    <row r="63" spans="1:8">
      <c r="A63" t="s">
        <v>561</v>
      </c>
      <c r="B63" t="s">
        <v>436</v>
      </c>
      <c r="C63" t="str">
        <v>Hawaii</v>
      </c>
      <c r="D63">
        <v>0</v>
      </c>
      <c r="E63">
        <v>0</v>
      </c>
      <c r="F63">
        <v>0</v>
      </c>
      <c r="G63" t="str">
        <v>W</v>
      </c>
      <c r="H63" t="str">
        <v>W</v>
      </c>
    </row>
    <row r="64" spans="1:8">
      <c r="A64" t="s">
        <v>561</v>
      </c>
      <c r="B64" t="s">
        <v>436</v>
      </c>
      <c r="C64" t="str">
        <v>Idaho</v>
      </c>
      <c r="D64">
        <v>0</v>
      </c>
      <c r="E64">
        <v>0</v>
      </c>
      <c r="F64">
        <v>0</v>
      </c>
      <c r="G64" t="str">
        <v>W</v>
      </c>
      <c r="H64" t="str">
        <v>W</v>
      </c>
    </row>
    <row r="65" spans="1:8">
      <c r="A65" t="s">
        <v>561</v>
      </c>
      <c r="B65" t="s">
        <v>436</v>
      </c>
      <c r="C65" t="str">
        <v>Illinois</v>
      </c>
      <c r="D65">
        <v>0</v>
      </c>
      <c r="E65">
        <v>0</v>
      </c>
      <c r="F65">
        <v>0</v>
      </c>
      <c r="G65" t="str">
        <v>W</v>
      </c>
      <c r="H65" t="str">
        <v>W</v>
      </c>
    </row>
    <row r="66" spans="1:8">
      <c r="A66" t="s">
        <v>561</v>
      </c>
      <c r="B66" t="s">
        <v>436</v>
      </c>
      <c r="C66" t="str">
        <v>Indiana</v>
      </c>
      <c r="D66">
        <v>0</v>
      </c>
      <c r="E66">
        <v>0</v>
      </c>
      <c r="F66">
        <v>0</v>
      </c>
      <c r="G66" t="str">
        <v>W</v>
      </c>
      <c r="H66" t="str">
        <v>W</v>
      </c>
    </row>
    <row r="67" spans="1:8">
      <c r="A67" t="s">
        <v>561</v>
      </c>
      <c r="B67" t="s">
        <v>436</v>
      </c>
      <c r="C67" t="str">
        <v>Iowa</v>
      </c>
      <c r="D67">
        <v>406</v>
      </c>
      <c r="E67" t="str">
        <v>W</v>
      </c>
      <c r="F67" t="str">
        <v>W</v>
      </c>
      <c r="G67" t="str">
        <v>W</v>
      </c>
      <c r="H67" t="str">
        <v>W</v>
      </c>
    </row>
    <row r="68" spans="1:8">
      <c r="A68" t="s">
        <v>561</v>
      </c>
      <c r="B68" t="s">
        <v>436</v>
      </c>
      <c r="C68" t="str">
        <v>Kansas</v>
      </c>
      <c r="D68">
        <v>0</v>
      </c>
      <c r="E68">
        <v>0</v>
      </c>
      <c r="F68">
        <v>0</v>
      </c>
      <c r="G68" t="str">
        <v>W</v>
      </c>
      <c r="H68" t="str">
        <v>W</v>
      </c>
    </row>
    <row r="69" spans="1:8">
      <c r="A69" t="s">
        <v>561</v>
      </c>
      <c r="B69" t="s">
        <v>436</v>
      </c>
      <c r="C69" t="str">
        <v>Kentucky</v>
      </c>
      <c r="D69">
        <v>2210</v>
      </c>
      <c r="E69" t="str">
        <v>W</v>
      </c>
      <c r="F69">
        <v>6</v>
      </c>
      <c r="G69" t="str">
        <v>W</v>
      </c>
      <c r="H69" t="str">
        <v>W</v>
      </c>
    </row>
    <row r="70" spans="1:8">
      <c r="A70" t="s">
        <v>561</v>
      </c>
      <c r="B70" t="s">
        <v>436</v>
      </c>
      <c r="C70" t="str">
        <v>Louisiana</v>
      </c>
      <c r="D70">
        <v>0</v>
      </c>
      <c r="E70">
        <v>0</v>
      </c>
      <c r="F70">
        <v>0</v>
      </c>
      <c r="G70" t="str">
        <v>W</v>
      </c>
      <c r="H70" t="str">
        <v>W</v>
      </c>
    </row>
    <row r="71" spans="1:8">
      <c r="A71" t="s">
        <v>561</v>
      </c>
      <c r="B71" t="s">
        <v>436</v>
      </c>
      <c r="C71" t="str">
        <v>Maine</v>
      </c>
      <c r="D71">
        <v>0</v>
      </c>
      <c r="E71">
        <v>0</v>
      </c>
      <c r="F71">
        <v>0</v>
      </c>
      <c r="G71" t="str">
        <v>W</v>
      </c>
      <c r="H71" t="str">
        <v>W</v>
      </c>
    </row>
    <row r="72" spans="1:8">
      <c r="A72" t="s">
        <v>561</v>
      </c>
      <c r="B72" t="s">
        <v>436</v>
      </c>
      <c r="C72" t="str">
        <v>Maryland</v>
      </c>
      <c r="D72">
        <v>0</v>
      </c>
      <c r="E72">
        <v>0</v>
      </c>
      <c r="F72">
        <v>0</v>
      </c>
      <c r="G72" t="str">
        <v>W</v>
      </c>
      <c r="H72" t="str">
        <v>W</v>
      </c>
    </row>
    <row r="73" spans="1:8">
      <c r="A73" t="s">
        <v>561</v>
      </c>
      <c r="B73" t="s">
        <v>436</v>
      </c>
      <c r="C73" t="str">
        <v>Massachusetts</v>
      </c>
      <c r="D73">
        <v>212</v>
      </c>
      <c r="E73">
        <v>425</v>
      </c>
      <c r="F73">
        <v>418</v>
      </c>
      <c r="G73" t="str">
        <v>W</v>
      </c>
      <c r="H73" t="str">
        <v>W</v>
      </c>
    </row>
    <row r="74" spans="1:8">
      <c r="A74" t="s">
        <v>561</v>
      </c>
      <c r="B74" t="s">
        <v>436</v>
      </c>
      <c r="C74" t="str">
        <v>Michigan</v>
      </c>
      <c r="D74" t="str">
        <v>W</v>
      </c>
      <c r="E74" t="str">
        <v>W</v>
      </c>
      <c r="F74">
        <v>0</v>
      </c>
      <c r="G74" t="str">
        <v>W</v>
      </c>
      <c r="H74" t="str">
        <v>W</v>
      </c>
    </row>
    <row r="75" spans="1:8">
      <c r="A75" t="s">
        <v>561</v>
      </c>
      <c r="B75" t="s">
        <v>436</v>
      </c>
      <c r="C75" t="str">
        <v>Minnesota</v>
      </c>
      <c r="D75">
        <v>0</v>
      </c>
      <c r="E75">
        <v>0</v>
      </c>
      <c r="F75">
        <v>0</v>
      </c>
      <c r="G75" t="str">
        <v>W</v>
      </c>
      <c r="H75" t="str">
        <v>W</v>
      </c>
    </row>
    <row r="76" spans="1:8">
      <c r="A76" t="s">
        <v>561</v>
      </c>
      <c r="B76" t="s">
        <v>436</v>
      </c>
      <c r="C76" t="str">
        <v>Mississippi</v>
      </c>
      <c r="D76">
        <v>0</v>
      </c>
      <c r="E76">
        <v>0</v>
      </c>
      <c r="F76">
        <v>0</v>
      </c>
      <c r="G76" t="str">
        <v>W</v>
      </c>
      <c r="H76" t="str">
        <v>W</v>
      </c>
    </row>
    <row r="77" spans="1:8">
      <c r="A77" t="s">
        <v>561</v>
      </c>
      <c r="B77" t="s">
        <v>436</v>
      </c>
      <c r="C77" t="str">
        <v>Missouri</v>
      </c>
      <c r="D77">
        <v>9130</v>
      </c>
      <c r="E77">
        <v>8540</v>
      </c>
      <c r="F77">
        <v>8150</v>
      </c>
      <c r="G77" t="str">
        <v>W</v>
      </c>
      <c r="H77" t="str">
        <v>W</v>
      </c>
    </row>
    <row r="78" spans="1:8">
      <c r="A78" t="s">
        <v>561</v>
      </c>
      <c r="B78" t="s">
        <v>436</v>
      </c>
      <c r="C78" t="str">
        <v>Montana</v>
      </c>
      <c r="D78" t="str">
        <v>W</v>
      </c>
      <c r="E78" t="str">
        <v>W</v>
      </c>
      <c r="F78" t="str">
        <v>W</v>
      </c>
      <c r="G78" t="str">
        <v>W</v>
      </c>
      <c r="H78" t="str">
        <v>W</v>
      </c>
    </row>
    <row r="79" spans="1:8">
      <c r="A79" t="s">
        <v>561</v>
      </c>
      <c r="B79" t="s">
        <v>436</v>
      </c>
      <c r="C79" t="str">
        <v>Nebraska</v>
      </c>
      <c r="D79">
        <v>0</v>
      </c>
      <c r="E79">
        <v>0</v>
      </c>
      <c r="F79">
        <v>0</v>
      </c>
      <c r="G79" t="str">
        <v>W</v>
      </c>
      <c r="H79" t="str">
        <v>W</v>
      </c>
    </row>
    <row r="80" spans="1:8">
      <c r="A80" t="s">
        <v>561</v>
      </c>
      <c r="B80" t="s">
        <v>436</v>
      </c>
      <c r="C80" t="str">
        <v>Nevada</v>
      </c>
      <c r="D80" t="str">
        <v>W</v>
      </c>
      <c r="E80" t="str">
        <v>W</v>
      </c>
      <c r="F80" t="str">
        <v>W</v>
      </c>
      <c r="G80" t="str">
        <v>W</v>
      </c>
      <c r="H80" t="str">
        <v>W</v>
      </c>
    </row>
    <row r="81" spans="1:8">
      <c r="A81" t="s">
        <v>561</v>
      </c>
      <c r="B81" t="s">
        <v>436</v>
      </c>
      <c r="C81" t="str">
        <v>New Hampshire</v>
      </c>
      <c r="D81">
        <v>0</v>
      </c>
      <c r="E81">
        <v>0</v>
      </c>
      <c r="F81">
        <v>0</v>
      </c>
      <c r="G81" t="str">
        <v>W</v>
      </c>
      <c r="H81" t="str">
        <v>W</v>
      </c>
    </row>
    <row r="82" spans="1:8">
      <c r="A82" t="s">
        <v>561</v>
      </c>
      <c r="B82" t="s">
        <v>436</v>
      </c>
      <c r="C82" t="str">
        <v>New Jersey</v>
      </c>
      <c r="D82">
        <v>0</v>
      </c>
      <c r="E82">
        <v>0</v>
      </c>
      <c r="F82">
        <v>0</v>
      </c>
      <c r="G82" t="str">
        <v>W</v>
      </c>
      <c r="H82" t="str">
        <v>W</v>
      </c>
    </row>
    <row r="83" spans="1:8">
      <c r="A83" t="s">
        <v>561</v>
      </c>
      <c r="B83" t="s">
        <v>436</v>
      </c>
      <c r="C83" t="str">
        <v>New Mexico</v>
      </c>
      <c r="D83">
        <v>0</v>
      </c>
      <c r="E83">
        <v>0</v>
      </c>
      <c r="F83">
        <v>0</v>
      </c>
      <c r="G83" t="str">
        <v>W</v>
      </c>
      <c r="H83" t="str">
        <v>W</v>
      </c>
    </row>
    <row r="84" spans="1:8">
      <c r="A84" t="s">
        <v>561</v>
      </c>
      <c r="B84" t="s">
        <v>436</v>
      </c>
      <c r="C84" t="str">
        <v>New York</v>
      </c>
      <c r="D84" t="str">
        <v>W</v>
      </c>
      <c r="E84" t="str">
        <v>W</v>
      </c>
      <c r="F84">
        <v>0</v>
      </c>
      <c r="G84" t="str">
        <v>W</v>
      </c>
      <c r="H84" t="str">
        <v>W</v>
      </c>
    </row>
    <row r="85" spans="1:8">
      <c r="A85" t="s">
        <v>561</v>
      </c>
      <c r="B85" t="s">
        <v>436</v>
      </c>
      <c r="C85" t="str">
        <v>North Carolina</v>
      </c>
      <c r="D85">
        <v>0</v>
      </c>
      <c r="E85">
        <v>0</v>
      </c>
      <c r="F85">
        <v>0</v>
      </c>
      <c r="G85" t="str">
        <v>W</v>
      </c>
      <c r="H85" t="str">
        <v>W</v>
      </c>
    </row>
    <row r="86" spans="1:8">
      <c r="A86" t="s">
        <v>561</v>
      </c>
      <c r="B86" t="s">
        <v>436</v>
      </c>
      <c r="C86" t="str">
        <v>North Dakota</v>
      </c>
      <c r="D86">
        <v>0</v>
      </c>
      <c r="E86">
        <v>0</v>
      </c>
      <c r="F86">
        <v>0</v>
      </c>
      <c r="G86" t="str">
        <v>W</v>
      </c>
      <c r="H86" t="str">
        <v>W</v>
      </c>
    </row>
    <row r="87" spans="1:8">
      <c r="A87" t="s">
        <v>561</v>
      </c>
      <c r="B87" t="s">
        <v>436</v>
      </c>
      <c r="C87" t="str">
        <v>Ohio</v>
      </c>
      <c r="D87" t="str">
        <v>W</v>
      </c>
      <c r="E87">
        <v>2030</v>
      </c>
      <c r="F87">
        <v>255</v>
      </c>
      <c r="G87" t="str">
        <v>W</v>
      </c>
      <c r="H87" t="str">
        <v>W</v>
      </c>
    </row>
    <row r="88" spans="1:8">
      <c r="A88" t="s">
        <v>561</v>
      </c>
      <c r="B88" t="s">
        <v>436</v>
      </c>
      <c r="C88" t="str">
        <v>Oklahoma</v>
      </c>
      <c r="D88" t="str">
        <v>W</v>
      </c>
      <c r="E88">
        <v>349</v>
      </c>
      <c r="F88">
        <v>395</v>
      </c>
      <c r="G88" t="str">
        <v>W</v>
      </c>
      <c r="H88" t="str">
        <v>W</v>
      </c>
    </row>
    <row r="89" spans="1:8">
      <c r="A89" t="s">
        <v>561</v>
      </c>
      <c r="B89" t="s">
        <v>436</v>
      </c>
      <c r="C89" t="str">
        <v>Oregon</v>
      </c>
      <c r="D89">
        <v>0</v>
      </c>
      <c r="E89">
        <v>0</v>
      </c>
      <c r="F89">
        <v>0</v>
      </c>
      <c r="G89" t="str">
        <v>W</v>
      </c>
      <c r="H89" t="str">
        <v>W</v>
      </c>
    </row>
    <row r="90" spans="1:8">
      <c r="A90" t="s">
        <v>561</v>
      </c>
      <c r="B90" t="s">
        <v>436</v>
      </c>
      <c r="C90" t="str">
        <v>Pennsylvania</v>
      </c>
      <c r="D90">
        <v>3980</v>
      </c>
      <c r="E90">
        <v>3690</v>
      </c>
      <c r="F90" t="str">
        <v>W</v>
      </c>
      <c r="G90" t="str">
        <v>W</v>
      </c>
      <c r="H90" t="str">
        <v>W</v>
      </c>
    </row>
    <row r="91" spans="1:8">
      <c r="A91" t="s">
        <v>561</v>
      </c>
      <c r="B91" t="s">
        <v>436</v>
      </c>
      <c r="C91" t="str">
        <v>Rhode Island</v>
      </c>
      <c r="D91">
        <v>0</v>
      </c>
      <c r="E91">
        <v>0</v>
      </c>
      <c r="F91">
        <v>0</v>
      </c>
      <c r="G91" t="str">
        <v>W</v>
      </c>
      <c r="H91" t="str">
        <v>W</v>
      </c>
    </row>
    <row r="92" spans="1:8">
      <c r="A92" t="s">
        <v>561</v>
      </c>
      <c r="B92" t="s">
        <v>436</v>
      </c>
      <c r="C92" t="str">
        <v>South Carolina</v>
      </c>
      <c r="D92">
        <v>0</v>
      </c>
      <c r="E92">
        <v>0</v>
      </c>
      <c r="F92">
        <v>0</v>
      </c>
      <c r="G92" t="str">
        <v>W</v>
      </c>
      <c r="H92" t="str">
        <v>W</v>
      </c>
    </row>
    <row r="93" spans="1:8">
      <c r="A93" t="s">
        <v>561</v>
      </c>
      <c r="B93" t="s">
        <v>436</v>
      </c>
      <c r="C93" t="str">
        <v>South Dakota</v>
      </c>
      <c r="D93">
        <v>1060</v>
      </c>
      <c r="E93">
        <v>933</v>
      </c>
      <c r="F93">
        <v>895</v>
      </c>
      <c r="G93" t="str">
        <v>W</v>
      </c>
      <c r="H93" t="str">
        <v>W</v>
      </c>
    </row>
    <row r="94" spans="1:8">
      <c r="A94" t="s">
        <v>561</v>
      </c>
      <c r="B94" t="s">
        <v>436</v>
      </c>
      <c r="C94" t="str">
        <v>Tennessee</v>
      </c>
      <c r="D94">
        <v>252</v>
      </c>
      <c r="E94">
        <v>226</v>
      </c>
      <c r="F94">
        <v>0</v>
      </c>
      <c r="G94" t="str">
        <v>W</v>
      </c>
      <c r="H94" t="str">
        <v>W</v>
      </c>
    </row>
    <row r="95" spans="1:8">
      <c r="A95" t="s">
        <v>561</v>
      </c>
      <c r="B95" t="s">
        <v>436</v>
      </c>
      <c r="C95" t="str">
        <v>Texas</v>
      </c>
      <c r="D95">
        <v>2460</v>
      </c>
      <c r="E95">
        <v>4550</v>
      </c>
      <c r="F95">
        <v>3960</v>
      </c>
      <c r="G95" t="str">
        <v>W</v>
      </c>
      <c r="H95" t="str">
        <v>W</v>
      </c>
    </row>
    <row r="96" spans="1:8">
      <c r="A96" t="s">
        <v>561</v>
      </c>
      <c r="B96" t="s">
        <v>436</v>
      </c>
      <c r="C96" t="str">
        <v>Utah</v>
      </c>
      <c r="D96" t="str">
        <v>W</v>
      </c>
      <c r="E96" t="str">
        <v>W</v>
      </c>
      <c r="F96" t="str">
        <v>W</v>
      </c>
      <c r="G96" t="str">
        <v>W</v>
      </c>
      <c r="H96" t="str">
        <v>W</v>
      </c>
    </row>
    <row r="97" spans="1:8">
      <c r="A97" t="s">
        <v>561</v>
      </c>
      <c r="B97" t="s">
        <v>436</v>
      </c>
      <c r="C97" t="str">
        <v>Vermont</v>
      </c>
      <c r="D97">
        <v>0</v>
      </c>
      <c r="E97">
        <v>0</v>
      </c>
      <c r="F97">
        <v>0</v>
      </c>
      <c r="G97" t="str">
        <v>W</v>
      </c>
      <c r="H97" t="str">
        <v>W</v>
      </c>
    </row>
    <row r="98" spans="1:8">
      <c r="A98" t="s">
        <v>561</v>
      </c>
      <c r="B98" t="s">
        <v>436</v>
      </c>
      <c r="C98" t="str">
        <v>Virginia</v>
      </c>
      <c r="D98">
        <v>0</v>
      </c>
      <c r="E98">
        <v>394</v>
      </c>
      <c r="F98" t="str">
        <v>W</v>
      </c>
      <c r="G98" t="str">
        <v>W</v>
      </c>
      <c r="H98" t="str">
        <v>W</v>
      </c>
    </row>
    <row r="99" spans="1:8">
      <c r="A99" t="s">
        <v>561</v>
      </c>
      <c r="B99" t="s">
        <v>436</v>
      </c>
      <c r="C99" t="str">
        <v>Washington</v>
      </c>
      <c r="D99">
        <v>6</v>
      </c>
      <c r="E99">
        <v>8</v>
      </c>
      <c r="F99">
        <v>8</v>
      </c>
      <c r="G99" t="str">
        <v>W</v>
      </c>
      <c r="H99" t="str">
        <v>W</v>
      </c>
    </row>
    <row r="100" spans="1:8">
      <c r="A100" t="s">
        <v>561</v>
      </c>
      <c r="B100" t="s">
        <v>436</v>
      </c>
      <c r="C100" t="str">
        <v>West Virginia</v>
      </c>
      <c r="D100">
        <v>0</v>
      </c>
      <c r="E100">
        <v>0</v>
      </c>
      <c r="F100">
        <v>0</v>
      </c>
      <c r="G100" t="str">
        <v>W</v>
      </c>
      <c r="H100" t="str">
        <v>W</v>
      </c>
    </row>
    <row r="101" spans="1:8">
      <c r="A101" t="s">
        <v>561</v>
      </c>
      <c r="B101" t="s">
        <v>436</v>
      </c>
      <c r="C101" t="str">
        <v>Wisconsin</v>
      </c>
      <c r="D101">
        <v>262</v>
      </c>
      <c r="E101">
        <v>256</v>
      </c>
      <c r="F101">
        <v>0</v>
      </c>
      <c r="G101" t="str">
        <v>W</v>
      </c>
      <c r="H101" t="str">
        <v>W</v>
      </c>
    </row>
    <row r="102" spans="1:8">
      <c r="A102" t="s">
        <v>561</v>
      </c>
      <c r="B102" t="s">
        <v>436</v>
      </c>
      <c r="C102" t="str">
        <v>Wyoming</v>
      </c>
      <c r="D102">
        <v>0</v>
      </c>
      <c r="E102">
        <v>0</v>
      </c>
      <c r="F102">
        <v>0</v>
      </c>
      <c r="G102" t="str">
        <v>W</v>
      </c>
      <c r="H102" t="str">
        <v>W</v>
      </c>
    </row>
    <row r="103" spans="1:8">
      <c r="A103" t="s">
        <v>561</v>
      </c>
      <c r="B103" t="s">
        <v>436</v>
      </c>
      <c r="C103" t="str">
        <v>Total Withheld</v>
      </c>
      <c r="D103">
        <v>10000</v>
      </c>
      <c r="E103">
        <v>10100</v>
      </c>
      <c r="F103">
        <v>8360</v>
      </c>
      <c r="G103">
        <v>48590.207631474783</v>
      </c>
      <c r="H103">
        <v>48590.207631474783</v>
      </c>
    </row>
    <row r="104" spans="1:8">
      <c r="A104" t="s">
        <v>562</v>
      </c>
      <c r="B104" t="s">
        <v>515</v>
      </c>
      <c r="C104" t="str" cm="1">
        <f t="array" ref="C104:H155">_xlfn.HSTACK('B12. MgCl2'!B29:B80,'B12. MgCl2'!D29:H80)</f>
        <v>Alabama</v>
      </c>
      <c r="D104">
        <v>0</v>
      </c>
      <c r="E104">
        <v>10.477986750000001</v>
      </c>
      <c r="F104">
        <v>10.477986750000001</v>
      </c>
      <c r="G104">
        <v>10.477986750000001</v>
      </c>
      <c r="H104">
        <v>10.477986750000001</v>
      </c>
    </row>
    <row r="105" spans="1:8">
      <c r="A105" t="s">
        <v>562</v>
      </c>
      <c r="B105" t="s">
        <v>515</v>
      </c>
      <c r="C105" t="str">
        <v>Alaska</v>
      </c>
      <c r="D105">
        <v>13616.84685</v>
      </c>
      <c r="E105">
        <v>13616.84685</v>
      </c>
      <c r="F105">
        <v>13616.84685</v>
      </c>
      <c r="G105">
        <v>13616.84685</v>
      </c>
      <c r="H105">
        <v>27.941298</v>
      </c>
    </row>
    <row r="106" spans="1:8">
      <c r="A106" t="s">
        <v>562</v>
      </c>
      <c r="B106" t="s">
        <v>515</v>
      </c>
      <c r="C106" t="str">
        <v>Arizona</v>
      </c>
      <c r="D106">
        <v>13.970649</v>
      </c>
      <c r="E106">
        <v>223.4794909215</v>
      </c>
      <c r="F106">
        <v>469.01464500000003</v>
      </c>
      <c r="G106">
        <v>295.28862678150006</v>
      </c>
      <c r="H106">
        <v>149.30341867800001</v>
      </c>
    </row>
    <row r="107" spans="1:8">
      <c r="A107" t="s">
        <v>562</v>
      </c>
      <c r="B107" t="s">
        <v>515</v>
      </c>
      <c r="C107" t="str">
        <v>Arkansas</v>
      </c>
      <c r="D107">
        <v>14.669181450000002</v>
      </c>
      <c r="E107">
        <v>14.669181450000002</v>
      </c>
      <c r="F107">
        <v>14.669181450000002</v>
      </c>
      <c r="G107">
        <v>14.669181450000002</v>
      </c>
      <c r="H107">
        <v>14.669181450000002</v>
      </c>
    </row>
    <row r="108" spans="1:8">
      <c r="A108" t="s">
        <v>562</v>
      </c>
      <c r="B108" t="s">
        <v>515</v>
      </c>
      <c r="C108" t="str">
        <v>California</v>
      </c>
      <c r="D108">
        <v>18235.325685</v>
      </c>
      <c r="E108">
        <v>18235.325685</v>
      </c>
      <c r="F108">
        <v>0</v>
      </c>
      <c r="G108">
        <v>0</v>
      </c>
      <c r="H108">
        <v>0</v>
      </c>
    </row>
    <row r="109" spans="1:8">
      <c r="A109" t="s">
        <v>562</v>
      </c>
      <c r="B109" t="s">
        <v>515</v>
      </c>
      <c r="C109" t="str">
        <v>Colorado</v>
      </c>
      <c r="D109">
        <v>12207.962055198001</v>
      </c>
      <c r="E109">
        <v>10165.645766773501</v>
      </c>
      <c r="F109">
        <v>11718.855802566002</v>
      </c>
      <c r="G109">
        <v>8605.3569664259994</v>
      </c>
      <c r="H109">
        <v>20641.305859404001</v>
      </c>
    </row>
    <row r="110" spans="1:8">
      <c r="A110" t="s">
        <v>562</v>
      </c>
      <c r="B110" t="s">
        <v>515</v>
      </c>
      <c r="C110" t="str">
        <v>Connecticut</v>
      </c>
      <c r="D110">
        <v>945.2012224545</v>
      </c>
      <c r="E110">
        <v>603.33744561750007</v>
      </c>
      <c r="F110">
        <v>184813.40449644299</v>
      </c>
      <c r="G110">
        <v>695.8391084535001</v>
      </c>
      <c r="H110">
        <v>682.53705479850009</v>
      </c>
    </row>
    <row r="111" spans="1:8">
      <c r="A111" t="s">
        <v>562</v>
      </c>
      <c r="B111" t="s">
        <v>515</v>
      </c>
      <c r="C111" t="str">
        <v>Delaware</v>
      </c>
      <c r="D111">
        <v>0</v>
      </c>
      <c r="E111">
        <v>0</v>
      </c>
      <c r="F111">
        <v>0</v>
      </c>
      <c r="G111">
        <v>0</v>
      </c>
      <c r="H111">
        <v>0</v>
      </c>
    </row>
    <row r="112" spans="1:8">
      <c r="A112" t="s">
        <v>562</v>
      </c>
      <c r="B112" t="s">
        <v>515</v>
      </c>
      <c r="C112" t="str">
        <v>District of Columbia</v>
      </c>
      <c r="D112">
        <v>0</v>
      </c>
      <c r="E112">
        <v>0</v>
      </c>
      <c r="F112">
        <v>0</v>
      </c>
      <c r="G112">
        <v>0</v>
      </c>
      <c r="H112">
        <v>0</v>
      </c>
    </row>
    <row r="113" spans="1:8">
      <c r="A113" t="s">
        <v>562</v>
      </c>
      <c r="B113" t="s">
        <v>515</v>
      </c>
      <c r="C113" t="str">
        <v>Florida</v>
      </c>
      <c r="D113">
        <v>0</v>
      </c>
      <c r="E113">
        <v>0</v>
      </c>
      <c r="F113">
        <v>0</v>
      </c>
      <c r="G113">
        <v>0</v>
      </c>
      <c r="H113">
        <v>0</v>
      </c>
    </row>
    <row r="114" spans="1:8">
      <c r="A114" t="s">
        <v>562</v>
      </c>
      <c r="B114" t="s">
        <v>515</v>
      </c>
      <c r="C114" t="str">
        <v>Georgia</v>
      </c>
      <c r="D114">
        <v>0</v>
      </c>
      <c r="E114">
        <v>0</v>
      </c>
      <c r="F114">
        <v>0</v>
      </c>
      <c r="G114">
        <v>0</v>
      </c>
      <c r="H114">
        <v>0</v>
      </c>
    </row>
    <row r="115" spans="1:8">
      <c r="A115" t="s">
        <v>562</v>
      </c>
      <c r="B115" t="s">
        <v>515</v>
      </c>
      <c r="C115" t="str">
        <v>Hawaii</v>
      </c>
      <c r="D115">
        <v>0</v>
      </c>
      <c r="E115">
        <v>0</v>
      </c>
      <c r="F115">
        <v>0</v>
      </c>
      <c r="G115">
        <v>0</v>
      </c>
      <c r="H115">
        <v>0</v>
      </c>
    </row>
    <row r="116" spans="1:8">
      <c r="A116" t="s">
        <v>562</v>
      </c>
      <c r="B116" t="s">
        <v>515</v>
      </c>
      <c r="C116" t="str">
        <v>Idaho</v>
      </c>
      <c r="D116">
        <v>1186.876485795</v>
      </c>
      <c r="E116">
        <v>840.57403419000002</v>
      </c>
      <c r="F116">
        <v>1059.3394289774999</v>
      </c>
      <c r="G116">
        <v>753.28442133450005</v>
      </c>
      <c r="H116">
        <v>550.99341542850004</v>
      </c>
    </row>
    <row r="117" spans="1:8">
      <c r="A117" t="s">
        <v>562</v>
      </c>
      <c r="B117" t="s">
        <v>515</v>
      </c>
      <c r="C117" t="str">
        <v>Illinois</v>
      </c>
      <c r="D117">
        <v>0</v>
      </c>
      <c r="E117">
        <v>0</v>
      </c>
      <c r="F117">
        <v>0</v>
      </c>
      <c r="G117">
        <v>0</v>
      </c>
      <c r="H117">
        <v>0</v>
      </c>
    </row>
    <row r="118" spans="1:8">
      <c r="A118" t="s">
        <v>562</v>
      </c>
      <c r="B118" t="s">
        <v>515</v>
      </c>
      <c r="C118" t="str">
        <v>Indiana</v>
      </c>
      <c r="D118">
        <v>14.170229700000002</v>
      </c>
      <c r="E118">
        <v>17.6878395375</v>
      </c>
      <c r="F118">
        <v>9.9790349999999997</v>
      </c>
      <c r="G118">
        <v>14.587353362999998</v>
      </c>
      <c r="H118">
        <v>21.715378063500001</v>
      </c>
    </row>
    <row r="119" spans="1:8">
      <c r="A119" t="s">
        <v>562</v>
      </c>
      <c r="B119" t="s">
        <v>515</v>
      </c>
      <c r="C119" t="str">
        <v>Iowa</v>
      </c>
      <c r="D119">
        <v>0</v>
      </c>
      <c r="E119">
        <v>0</v>
      </c>
      <c r="F119">
        <v>0</v>
      </c>
      <c r="G119">
        <v>0</v>
      </c>
      <c r="H119">
        <v>0</v>
      </c>
    </row>
    <row r="120" spans="1:8">
      <c r="A120" t="s">
        <v>562</v>
      </c>
      <c r="B120" t="s">
        <v>515</v>
      </c>
      <c r="C120" t="str">
        <v>Kansas</v>
      </c>
      <c r="D120">
        <v>39.666664125000004</v>
      </c>
      <c r="E120">
        <v>42.909850500000005</v>
      </c>
      <c r="F120">
        <v>13.970649</v>
      </c>
      <c r="G120">
        <v>17.962263</v>
      </c>
      <c r="H120">
        <v>2.7941298000000003</v>
      </c>
    </row>
    <row r="121" spans="1:8">
      <c r="A121" t="s">
        <v>562</v>
      </c>
      <c r="B121" t="s">
        <v>515</v>
      </c>
      <c r="C121" t="str">
        <v>Kentucky</v>
      </c>
      <c r="D121">
        <v>0.49895175000000003</v>
      </c>
      <c r="E121">
        <v>0.49895175000000003</v>
      </c>
      <c r="F121">
        <v>0</v>
      </c>
      <c r="G121">
        <v>0</v>
      </c>
      <c r="H121">
        <v>0</v>
      </c>
    </row>
    <row r="122" spans="1:8">
      <c r="A122" t="s">
        <v>562</v>
      </c>
      <c r="B122" t="s">
        <v>515</v>
      </c>
      <c r="C122" t="str">
        <v>Louisiana</v>
      </c>
      <c r="D122">
        <v>0</v>
      </c>
      <c r="E122">
        <v>0</v>
      </c>
      <c r="F122">
        <v>0</v>
      </c>
      <c r="G122">
        <v>0</v>
      </c>
      <c r="H122">
        <v>0</v>
      </c>
    </row>
    <row r="123" spans="1:8">
      <c r="A123" t="s">
        <v>562</v>
      </c>
      <c r="B123" t="s">
        <v>515</v>
      </c>
      <c r="C123" t="str">
        <v>Maine</v>
      </c>
      <c r="D123">
        <v>225.402450966</v>
      </c>
      <c r="E123">
        <v>264.66396627</v>
      </c>
      <c r="F123">
        <v>243.72695293650003</v>
      </c>
      <c r="G123">
        <v>195.01728729450002</v>
      </c>
      <c r="H123">
        <v>250.9278245925</v>
      </c>
    </row>
    <row r="124" spans="1:8">
      <c r="A124" t="s">
        <v>562</v>
      </c>
      <c r="B124" t="s">
        <v>515</v>
      </c>
      <c r="C124" t="str">
        <v>Maryland</v>
      </c>
      <c r="D124">
        <v>0</v>
      </c>
      <c r="E124">
        <v>4885.1912250000005</v>
      </c>
      <c r="F124">
        <v>0</v>
      </c>
      <c r="G124">
        <v>0</v>
      </c>
      <c r="H124">
        <v>7.4912615745000002</v>
      </c>
    </row>
    <row r="125" spans="1:8">
      <c r="A125" t="s">
        <v>562</v>
      </c>
      <c r="B125" t="s">
        <v>515</v>
      </c>
      <c r="C125" t="str">
        <v>Massachusetts</v>
      </c>
      <c r="D125">
        <v>1260.7373112509999</v>
      </c>
      <c r="E125">
        <v>1460.2591349445001</v>
      </c>
      <c r="F125">
        <v>1234.5064198499999</v>
      </c>
      <c r="G125">
        <v>1040.6906083695001</v>
      </c>
      <c r="H125">
        <v>1528.7881620000001</v>
      </c>
    </row>
    <row r="126" spans="1:8">
      <c r="A126" t="s">
        <v>562</v>
      </c>
      <c r="B126" t="s">
        <v>515</v>
      </c>
      <c r="C126" t="str">
        <v>Michigan</v>
      </c>
      <c r="D126">
        <v>0</v>
      </c>
      <c r="E126">
        <v>0</v>
      </c>
      <c r="F126">
        <v>0</v>
      </c>
      <c r="G126">
        <v>0</v>
      </c>
      <c r="H126">
        <v>0</v>
      </c>
    </row>
    <row r="127" spans="1:8">
      <c r="A127" t="s">
        <v>562</v>
      </c>
      <c r="B127" t="s">
        <v>515</v>
      </c>
      <c r="C127" t="str">
        <v>Minnesota</v>
      </c>
      <c r="D127">
        <v>1.5856686615</v>
      </c>
      <c r="E127">
        <v>1.2623479275000002</v>
      </c>
      <c r="F127">
        <v>5.270926287</v>
      </c>
      <c r="G127">
        <v>14.305944576</v>
      </c>
      <c r="H127">
        <v>17.5102127145</v>
      </c>
    </row>
    <row r="128" spans="1:8">
      <c r="A128" t="s">
        <v>562</v>
      </c>
      <c r="B128" t="s">
        <v>515</v>
      </c>
      <c r="C128" t="str">
        <v>Mississippi</v>
      </c>
      <c r="D128">
        <v>0</v>
      </c>
      <c r="E128">
        <v>0</v>
      </c>
      <c r="F128">
        <v>0</v>
      </c>
      <c r="G128">
        <v>0</v>
      </c>
      <c r="H128">
        <v>0</v>
      </c>
    </row>
    <row r="129" spans="1:8">
      <c r="A129" t="s">
        <v>562</v>
      </c>
      <c r="B129" t="s">
        <v>515</v>
      </c>
      <c r="C129" t="str">
        <v>Missouri</v>
      </c>
      <c r="D129">
        <v>97.508144695500008</v>
      </c>
      <c r="E129">
        <v>0</v>
      </c>
      <c r="F129">
        <v>180.62053349999999</v>
      </c>
      <c r="G129">
        <v>0</v>
      </c>
      <c r="H129">
        <v>180.62053349999999</v>
      </c>
    </row>
    <row r="130" spans="1:8">
      <c r="A130" t="s">
        <v>562</v>
      </c>
      <c r="B130" t="s">
        <v>515</v>
      </c>
      <c r="C130" t="str">
        <v>Montana</v>
      </c>
      <c r="D130">
        <v>2306.5950639435005</v>
      </c>
      <c r="E130">
        <v>1951.9241935875</v>
      </c>
      <c r="F130">
        <v>2151.6735392790001</v>
      </c>
      <c r="G130">
        <v>1930.0731006479998</v>
      </c>
      <c r="H130">
        <v>2367.3673870934999</v>
      </c>
    </row>
    <row r="131" spans="1:8">
      <c r="A131" t="s">
        <v>562</v>
      </c>
      <c r="B131" t="s">
        <v>515</v>
      </c>
      <c r="C131" t="str">
        <v>Nebraska</v>
      </c>
      <c r="D131">
        <v>10060.68165</v>
      </c>
      <c r="E131">
        <v>10060.68165</v>
      </c>
      <c r="F131">
        <v>1988.8216755000003</v>
      </c>
      <c r="G131">
        <v>2794.1298000000002</v>
      </c>
      <c r="H131">
        <v>1482.8846010000002</v>
      </c>
    </row>
    <row r="132" spans="1:8">
      <c r="A132" t="s">
        <v>562</v>
      </c>
      <c r="B132" t="s">
        <v>515</v>
      </c>
      <c r="C132" t="str">
        <v>Nevada</v>
      </c>
      <c r="D132">
        <v>5.5433539425000005</v>
      </c>
      <c r="E132">
        <v>1.5966456</v>
      </c>
      <c r="F132">
        <v>1.9538950529999999</v>
      </c>
      <c r="G132">
        <v>5.5433539425000005</v>
      </c>
      <c r="H132">
        <v>0</v>
      </c>
    </row>
    <row r="133" spans="1:8">
      <c r="A133" t="s">
        <v>562</v>
      </c>
      <c r="B133" t="s">
        <v>515</v>
      </c>
      <c r="C133" t="str">
        <v>New Hampshire</v>
      </c>
      <c r="D133">
        <v>23.087495376</v>
      </c>
      <c r="E133">
        <v>23.495637907500001</v>
      </c>
      <c r="F133">
        <v>33.4607022585</v>
      </c>
      <c r="G133">
        <v>28.502119767000003</v>
      </c>
      <c r="H133">
        <v>34.216115207999998</v>
      </c>
    </row>
    <row r="134" spans="1:8">
      <c r="A134" t="s">
        <v>562</v>
      </c>
      <c r="B134" t="s">
        <v>515</v>
      </c>
      <c r="C134" t="str">
        <v>New Jersey</v>
      </c>
      <c r="D134">
        <v>0</v>
      </c>
      <c r="E134">
        <v>0</v>
      </c>
      <c r="F134">
        <v>0</v>
      </c>
      <c r="G134">
        <v>0</v>
      </c>
      <c r="H134">
        <v>0</v>
      </c>
    </row>
    <row r="135" spans="1:8">
      <c r="A135" t="s">
        <v>562</v>
      </c>
      <c r="B135" t="s">
        <v>515</v>
      </c>
      <c r="C135" t="str">
        <v>New Mexico</v>
      </c>
      <c r="D135">
        <v>2429.9403817500001</v>
      </c>
      <c r="E135">
        <v>2429.9403817500001</v>
      </c>
      <c r="F135">
        <v>2429.9403817500001</v>
      </c>
      <c r="G135">
        <v>2429.9403817500001</v>
      </c>
      <c r="H135">
        <v>2429.9403817500001</v>
      </c>
    </row>
    <row r="136" spans="1:8">
      <c r="A136" t="s">
        <v>562</v>
      </c>
      <c r="B136" t="s">
        <v>515</v>
      </c>
      <c r="C136" t="str">
        <v>New York</v>
      </c>
      <c r="D136">
        <v>109.08182948850001</v>
      </c>
      <c r="E136">
        <v>110.64055475550001</v>
      </c>
      <c r="F136">
        <v>116.01526300650001</v>
      </c>
      <c r="G136">
        <v>101.05469373450001</v>
      </c>
      <c r="H136">
        <v>109.769385</v>
      </c>
    </row>
    <row r="137" spans="1:8">
      <c r="A137" t="s">
        <v>562</v>
      </c>
      <c r="B137" t="s">
        <v>515</v>
      </c>
      <c r="C137" t="str">
        <v>North Carolina</v>
      </c>
      <c r="D137">
        <v>0</v>
      </c>
      <c r="E137">
        <v>0</v>
      </c>
      <c r="F137">
        <v>0</v>
      </c>
      <c r="G137">
        <v>0</v>
      </c>
      <c r="H137">
        <v>0</v>
      </c>
    </row>
    <row r="138" spans="1:8">
      <c r="A138" t="s">
        <v>562</v>
      </c>
      <c r="B138" t="s">
        <v>515</v>
      </c>
      <c r="C138" t="str">
        <v>North Dakota</v>
      </c>
      <c r="D138">
        <v>0</v>
      </c>
      <c r="E138">
        <v>0</v>
      </c>
      <c r="F138">
        <v>0</v>
      </c>
      <c r="G138">
        <v>0</v>
      </c>
      <c r="H138">
        <v>0</v>
      </c>
    </row>
    <row r="139" spans="1:8">
      <c r="A139" t="s">
        <v>562</v>
      </c>
      <c r="B139" t="s">
        <v>515</v>
      </c>
      <c r="C139" t="str">
        <v>Ohio</v>
      </c>
      <c r="D139">
        <v>0</v>
      </c>
      <c r="E139">
        <v>0</v>
      </c>
      <c r="F139">
        <v>0</v>
      </c>
      <c r="G139">
        <v>0</v>
      </c>
      <c r="H139">
        <v>0</v>
      </c>
    </row>
    <row r="140" spans="1:8">
      <c r="A140" t="s">
        <v>562</v>
      </c>
      <c r="B140" t="s">
        <v>515</v>
      </c>
      <c r="C140" t="str">
        <v>Oklahoma</v>
      </c>
      <c r="D140">
        <v>0</v>
      </c>
      <c r="E140">
        <v>0</v>
      </c>
      <c r="F140">
        <v>0</v>
      </c>
      <c r="G140">
        <v>0</v>
      </c>
      <c r="H140">
        <v>0</v>
      </c>
    </row>
    <row r="141" spans="1:8">
      <c r="A141" t="s">
        <v>562</v>
      </c>
      <c r="B141" t="s">
        <v>515</v>
      </c>
      <c r="C141" t="str">
        <v>Oregon</v>
      </c>
      <c r="D141">
        <v>3928.8478656570005</v>
      </c>
      <c r="E141">
        <v>3928.8478656570005</v>
      </c>
      <c r="F141">
        <v>5376.4775339055004</v>
      </c>
      <c r="G141">
        <v>19.195671726</v>
      </c>
      <c r="H141">
        <v>3892.1659309005004</v>
      </c>
    </row>
    <row r="142" spans="1:8">
      <c r="A142" t="s">
        <v>562</v>
      </c>
      <c r="B142" t="s">
        <v>515</v>
      </c>
      <c r="C142" t="str">
        <v>Pennsylvania</v>
      </c>
      <c r="D142">
        <v>0</v>
      </c>
      <c r="E142">
        <v>0</v>
      </c>
      <c r="F142">
        <v>0</v>
      </c>
      <c r="G142">
        <v>0</v>
      </c>
      <c r="H142">
        <v>0</v>
      </c>
    </row>
    <row r="143" spans="1:8">
      <c r="A143" t="s">
        <v>562</v>
      </c>
      <c r="B143" t="s">
        <v>515</v>
      </c>
      <c r="C143" t="str">
        <v>Rhode Island</v>
      </c>
      <c r="D143">
        <v>4.9895174999999998</v>
      </c>
      <c r="E143">
        <v>0</v>
      </c>
      <c r="F143">
        <v>1.4968552500000001</v>
      </c>
      <c r="G143">
        <v>0.43907753999999999</v>
      </c>
      <c r="H143">
        <v>4.1712366300000001</v>
      </c>
    </row>
    <row r="144" spans="1:8">
      <c r="A144" t="s">
        <v>562</v>
      </c>
      <c r="B144" t="s">
        <v>515</v>
      </c>
      <c r="C144" t="str">
        <v>South Carolina</v>
      </c>
      <c r="D144">
        <v>0</v>
      </c>
      <c r="E144">
        <v>0</v>
      </c>
      <c r="F144">
        <v>0</v>
      </c>
      <c r="G144">
        <v>0</v>
      </c>
      <c r="H144">
        <v>0</v>
      </c>
    </row>
    <row r="145" spans="1:8">
      <c r="A145" t="s">
        <v>562</v>
      </c>
      <c r="B145" t="s">
        <v>515</v>
      </c>
      <c r="C145" t="str">
        <v>South Dakota</v>
      </c>
      <c r="D145">
        <v>148.555898238</v>
      </c>
      <c r="E145">
        <v>106.41742714350001</v>
      </c>
      <c r="F145">
        <v>304.0562069325</v>
      </c>
      <c r="G145">
        <v>142.17630116250001</v>
      </c>
      <c r="H145">
        <v>193.84075906800001</v>
      </c>
    </row>
    <row r="146" spans="1:8">
      <c r="A146" t="s">
        <v>562</v>
      </c>
      <c r="B146" t="s">
        <v>515</v>
      </c>
      <c r="C146" t="str">
        <v>Tennessee</v>
      </c>
      <c r="D146">
        <v>7235.7075599999998</v>
      </c>
      <c r="E146">
        <v>7235.7075599999998</v>
      </c>
      <c r="F146">
        <v>7235.7075599999998</v>
      </c>
      <c r="G146">
        <v>7235.7075599999998</v>
      </c>
      <c r="H146">
        <v>7235.7075599999998</v>
      </c>
    </row>
    <row r="147" spans="1:8">
      <c r="A147" t="s">
        <v>562</v>
      </c>
      <c r="B147" t="s">
        <v>515</v>
      </c>
      <c r="C147" t="str">
        <v>Texas</v>
      </c>
      <c r="D147">
        <v>4216.2375419249993</v>
      </c>
      <c r="E147">
        <v>3004.7963006999998</v>
      </c>
      <c r="F147">
        <v>1041.44838</v>
      </c>
      <c r="G147">
        <v>796.50842999999998</v>
      </c>
      <c r="H147">
        <v>7783.6473000000005</v>
      </c>
    </row>
    <row r="148" spans="1:8">
      <c r="A148" t="s">
        <v>562</v>
      </c>
      <c r="B148" t="s">
        <v>515</v>
      </c>
      <c r="C148" t="str">
        <v>Utah</v>
      </c>
      <c r="D148">
        <v>46534.550895913504</v>
      </c>
      <c r="E148">
        <v>44216.384324421</v>
      </c>
      <c r="F148">
        <v>399.43083394499996</v>
      </c>
      <c r="G148">
        <v>226.52409450000002</v>
      </c>
      <c r="H148">
        <v>223.84372569900003</v>
      </c>
    </row>
    <row r="149" spans="1:8">
      <c r="A149" t="s">
        <v>562</v>
      </c>
      <c r="B149" t="s">
        <v>515</v>
      </c>
      <c r="C149" t="str">
        <v>Vermont</v>
      </c>
      <c r="D149">
        <v>34.922630886</v>
      </c>
      <c r="E149">
        <v>50.140659261000003</v>
      </c>
      <c r="F149">
        <v>74.451584327999996</v>
      </c>
      <c r="G149">
        <v>57.382444960500003</v>
      </c>
      <c r="H149">
        <v>60.812239289999994</v>
      </c>
    </row>
    <row r="150" spans="1:8">
      <c r="A150" t="s">
        <v>562</v>
      </c>
      <c r="B150" t="s">
        <v>515</v>
      </c>
      <c r="C150" t="str">
        <v>Virginia</v>
      </c>
      <c r="D150">
        <v>53016.275139255005</v>
      </c>
      <c r="E150">
        <v>53016.275139255005</v>
      </c>
      <c r="F150">
        <v>53016.275139255005</v>
      </c>
      <c r="G150">
        <v>53016.275139255005</v>
      </c>
      <c r="H150">
        <v>53016.275139255005</v>
      </c>
    </row>
    <row r="151" spans="1:8">
      <c r="A151" t="s">
        <v>562</v>
      </c>
      <c r="B151" t="s">
        <v>515</v>
      </c>
      <c r="C151" t="str">
        <v>Washington</v>
      </c>
      <c r="D151">
        <v>698.53245000000004</v>
      </c>
      <c r="E151">
        <v>664.60373100000004</v>
      </c>
      <c r="F151">
        <v>896.9456029050001</v>
      </c>
      <c r="G151">
        <v>663.60582750000003</v>
      </c>
      <c r="H151">
        <v>808.30183499999998</v>
      </c>
    </row>
    <row r="152" spans="1:8">
      <c r="A152" t="s">
        <v>562</v>
      </c>
      <c r="B152" t="s">
        <v>515</v>
      </c>
      <c r="C152" t="str">
        <v>West Virginia</v>
      </c>
      <c r="D152">
        <v>0</v>
      </c>
      <c r="E152">
        <v>0</v>
      </c>
      <c r="F152">
        <v>0</v>
      </c>
      <c r="G152">
        <v>0</v>
      </c>
      <c r="H152">
        <v>0</v>
      </c>
    </row>
    <row r="153" spans="1:8">
      <c r="A153" t="s">
        <v>562</v>
      </c>
      <c r="B153" t="s">
        <v>515</v>
      </c>
      <c r="C153" t="str">
        <v>Wisconsin</v>
      </c>
      <c r="D153">
        <v>9.190691235000001</v>
      </c>
      <c r="E153">
        <v>12.911873386500002</v>
      </c>
      <c r="F153">
        <v>21.235386480000003</v>
      </c>
      <c r="G153">
        <v>16.324703356500002</v>
      </c>
      <c r="H153">
        <v>17.515202232000004</v>
      </c>
    </row>
    <row r="154" spans="1:8">
      <c r="A154" t="s">
        <v>562</v>
      </c>
      <c r="B154" t="s">
        <v>515</v>
      </c>
      <c r="C154" t="str">
        <v>Wyoming</v>
      </c>
      <c r="D154">
        <v>3847.0097996220002</v>
      </c>
      <c r="E154">
        <v>54.862738622999998</v>
      </c>
      <c r="F154">
        <v>45.271888084499999</v>
      </c>
      <c r="G154">
        <v>45.830714044499999</v>
      </c>
      <c r="H154">
        <v>150.72134883300001</v>
      </c>
    </row>
    <row r="155" spans="1:8">
      <c r="A155" t="s">
        <v>562</v>
      </c>
      <c r="B155" t="s">
        <v>515</v>
      </c>
      <c r="C155" t="str">
        <v>Total Withheld</v>
      </c>
      <c r="D155">
        <v>0</v>
      </c>
      <c r="E155">
        <v>0</v>
      </c>
      <c r="F155">
        <v>0</v>
      </c>
      <c r="G155">
        <v>0</v>
      </c>
      <c r="H155">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4464-E008-264A-BFCE-A324AB17BA90}">
  <dimension ref="A1:F21"/>
  <sheetViews>
    <sheetView workbookViewId="0">
      <selection activeCell="M42" sqref="M42"/>
    </sheetView>
  </sheetViews>
  <sheetFormatPr baseColWidth="10" defaultRowHeight="16"/>
  <cols>
    <col min="2" max="6" width="15.83203125" customWidth="1"/>
  </cols>
  <sheetData>
    <row r="1" spans="1:6">
      <c r="A1" t="s">
        <v>541</v>
      </c>
      <c r="B1" t="s">
        <v>563</v>
      </c>
      <c r="C1" t="s">
        <v>564</v>
      </c>
      <c r="D1" t="s">
        <v>565</v>
      </c>
      <c r="E1" t="s">
        <v>566</v>
      </c>
      <c r="F1" t="s">
        <v>567</v>
      </c>
    </row>
    <row r="2" spans="1:6">
      <c r="A2" t="s">
        <v>547</v>
      </c>
      <c r="B2" cm="1">
        <f t="array" ref="B2:F2">'B1. B'!D72:H72</f>
        <v>394</v>
      </c>
      <c r="C2">
        <v>485</v>
      </c>
      <c r="D2">
        <v>606</v>
      </c>
      <c r="E2">
        <v>574</v>
      </c>
      <c r="F2">
        <v>540</v>
      </c>
    </row>
    <row r="3" spans="1:6">
      <c r="A3" t="s">
        <v>548</v>
      </c>
      <c r="B3" cm="1">
        <f t="array" ref="B3:F3">'B2. BaSO4'!D62:H62</f>
        <v>167</v>
      </c>
      <c r="C3">
        <v>145</v>
      </c>
      <c r="D3">
        <v>218</v>
      </c>
      <c r="E3">
        <v>210</v>
      </c>
      <c r="F3">
        <v>210</v>
      </c>
    </row>
    <row r="4" spans="1:6">
      <c r="A4" t="s">
        <v>251</v>
      </c>
      <c r="B4" s="84" cm="1">
        <f t="array" ref="B4:F4">'B3. Br'!D68:H68</f>
        <v>2585.5200000000004</v>
      </c>
      <c r="C4">
        <v>2984.6880000000001</v>
      </c>
      <c r="D4">
        <v>2649.0239999999999</v>
      </c>
      <c r="E4">
        <v>2449.4400000000005</v>
      </c>
      <c r="F4">
        <v>2721.6000000000004</v>
      </c>
    </row>
    <row r="5" spans="1:6">
      <c r="A5" t="s">
        <v>561</v>
      </c>
      <c r="B5" s="84" cm="1">
        <f t="array" ref="B5:F5">'B4. CaCO3'!E152:I152</f>
        <v>163.22630264097074</v>
      </c>
      <c r="C5">
        <v>161.70155211301045</v>
      </c>
      <c r="D5">
        <v>152.16391280199946</v>
      </c>
      <c r="E5">
        <v>140.95972819348501</v>
      </c>
      <c r="F5">
        <v>144.42427060511011</v>
      </c>
    </row>
    <row r="6" spans="1:6">
      <c r="A6" t="s">
        <v>549</v>
      </c>
      <c r="B6" cm="1">
        <f t="array" ref="B6:F6">'B5. CaF2'!D30:H30</f>
        <v>322</v>
      </c>
      <c r="C6">
        <v>387</v>
      </c>
      <c r="D6">
        <v>428</v>
      </c>
      <c r="E6">
        <v>464</v>
      </c>
      <c r="F6">
        <v>470</v>
      </c>
    </row>
    <row r="7" spans="1:6">
      <c r="A7" t="s">
        <v>550</v>
      </c>
      <c r="B7" cm="1">
        <f t="array" ref="B7:F7">'B6. Ca(OH)2'!D41:H41</f>
        <v>158</v>
      </c>
      <c r="C7">
        <v>179.1</v>
      </c>
      <c r="D7">
        <v>234.6</v>
      </c>
      <c r="E7">
        <v>274.2</v>
      </c>
      <c r="F7">
        <v>280</v>
      </c>
    </row>
    <row r="8" spans="1:6">
      <c r="A8" t="s">
        <v>551</v>
      </c>
      <c r="B8" cm="1">
        <f t="array" ref="B8:F8">'B7. CaSO4'!D32:H32</f>
        <v>42</v>
      </c>
      <c r="C8">
        <v>50</v>
      </c>
      <c r="D8">
        <v>60</v>
      </c>
      <c r="E8">
        <v>60</v>
      </c>
      <c r="F8">
        <v>62</v>
      </c>
    </row>
    <row r="9" spans="1:6">
      <c r="A9" t="s">
        <v>298</v>
      </c>
      <c r="B9" s="84" cm="1">
        <f t="array" ref="B9:F9">'B8. HCl'!E65:I65</f>
        <v>324.23709526601897</v>
      </c>
      <c r="C9">
        <v>261.72010724496698</v>
      </c>
      <c r="D9">
        <v>213.57043752840704</v>
      </c>
      <c r="E9">
        <v>212.28239371495698</v>
      </c>
      <c r="F9">
        <v>211.36214276449479</v>
      </c>
    </row>
    <row r="10" spans="1:6">
      <c r="A10" t="s">
        <v>329</v>
      </c>
      <c r="B10" s="28" cm="1">
        <f t="array" ref="B10:F10">'B9. HF'!E71:I71</f>
        <v>1746.8320879889993</v>
      </c>
      <c r="C10">
        <v>2366.6704756896693</v>
      </c>
      <c r="D10">
        <v>2287.0203776176604</v>
      </c>
      <c r="E10">
        <v>2302.8432828914029</v>
      </c>
      <c r="F10">
        <v>2728.2643460007757</v>
      </c>
    </row>
    <row r="11" spans="1:6">
      <c r="A11" t="s">
        <v>552</v>
      </c>
      <c r="B11" s="28" cm="1">
        <f t="array" ref="B11:F11">'B10. K2O'!D31:H31</f>
        <v>1120</v>
      </c>
      <c r="C11">
        <v>1790</v>
      </c>
      <c r="D11">
        <v>1250</v>
      </c>
      <c r="E11">
        <v>1150</v>
      </c>
      <c r="F11">
        <v>1200</v>
      </c>
    </row>
    <row r="12" spans="1:6">
      <c r="A12" t="s">
        <v>278</v>
      </c>
      <c r="B12" s="28" cm="1">
        <f t="array" ref="B12:F12">'B11. Li'!D44:H44</f>
        <v>62283.917399135447</v>
      </c>
      <c r="C12">
        <v>339101.32806195965</v>
      </c>
      <c r="D12">
        <v>207613.05799711816</v>
      </c>
      <c r="E12">
        <v>62816.25857348703</v>
      </c>
      <c r="F12">
        <v>47910.705691642652</v>
      </c>
    </row>
    <row r="13" spans="1:6">
      <c r="A13" t="s">
        <v>562</v>
      </c>
      <c r="B13" s="84" cm="1">
        <f t="array" ref="B13:F13">'B12. MgCl2'!E255:I255</f>
        <v>713.9338334720394</v>
      </c>
      <c r="C13">
        <v>619.08323693220871</v>
      </c>
      <c r="D13">
        <v>413.04750657439246</v>
      </c>
      <c r="E13">
        <v>249.9011357601585</v>
      </c>
      <c r="F13">
        <v>229.0307116906969</v>
      </c>
    </row>
    <row r="14" spans="1:6">
      <c r="A14" t="s">
        <v>381</v>
      </c>
      <c r="B14" s="84" cm="1">
        <f t="array" ref="B14:F14">'B13. Mg(OH)2'!E64:I64</f>
        <v>943.33624502476255</v>
      </c>
      <c r="C14">
        <v>1141.2279278295678</v>
      </c>
      <c r="D14">
        <v>1073.0938243417359</v>
      </c>
      <c r="E14">
        <v>974.70585051600801</v>
      </c>
      <c r="F14">
        <v>978.80726170195351</v>
      </c>
    </row>
    <row r="15" spans="1:6">
      <c r="A15" t="s">
        <v>553</v>
      </c>
      <c r="B15" s="84" cm="1">
        <f t="array" ref="B15:F15">'B14. MgSO4'!E71:I71</f>
        <v>672.56132384713658</v>
      </c>
      <c r="C15">
        <v>663.64620634989751</v>
      </c>
      <c r="D15">
        <v>656.35234462532492</v>
      </c>
      <c r="E15">
        <v>702.16203687808229</v>
      </c>
      <c r="F15">
        <v>761.22479104602291</v>
      </c>
    </row>
    <row r="16" spans="1:6">
      <c r="A16" t="s">
        <v>532</v>
      </c>
      <c r="B16" s="28" cm="1">
        <f t="array" ref="B16:F16">'B15. NaCl'!E34:I34</f>
        <v>199.25271355003215</v>
      </c>
      <c r="C16">
        <v>222.06245270694149</v>
      </c>
      <c r="D16">
        <v>111.52885964662923</v>
      </c>
      <c r="E16">
        <v>119.05434579924291</v>
      </c>
      <c r="F16">
        <v>127.37972624477105</v>
      </c>
    </row>
    <row r="17" spans="1:6">
      <c r="A17" t="s">
        <v>554</v>
      </c>
      <c r="B17" cm="1">
        <f t="array" ref="B17:F17">'B16. Na2CO3'!D37:H37</f>
        <v>133.37</v>
      </c>
      <c r="C17">
        <v>178.52</v>
      </c>
      <c r="D17">
        <v>211.48</v>
      </c>
      <c r="E17">
        <v>169.35</v>
      </c>
      <c r="F17">
        <v>150</v>
      </c>
    </row>
    <row r="18" spans="1:6">
      <c r="A18" t="s">
        <v>360</v>
      </c>
      <c r="B18" s="84" cm="1">
        <f t="array" ref="B18:F18">'B17. NaOH'!E66:I66</f>
        <v>188.53128853466595</v>
      </c>
      <c r="C18">
        <v>359.50890382658406</v>
      </c>
      <c r="D18">
        <v>286.13721363688819</v>
      </c>
      <c r="E18">
        <v>205.5602970363872</v>
      </c>
      <c r="F18">
        <v>216.79090988138302</v>
      </c>
    </row>
    <row r="19" spans="1:6">
      <c r="A19" t="s">
        <v>555</v>
      </c>
      <c r="B19" s="28" cm="1">
        <f t="array" ref="B19:F19">'B18. NH3'!D37:H37</f>
        <v>524.02175310531106</v>
      </c>
      <c r="C19">
        <v>970.07487166554108</v>
      </c>
      <c r="D19">
        <v>426.10765390916299</v>
      </c>
      <c r="E19">
        <v>398.90929302134407</v>
      </c>
      <c r="F19">
        <v>407.97541331728371</v>
      </c>
    </row>
    <row r="20" spans="1:6">
      <c r="A20" t="s">
        <v>556</v>
      </c>
      <c r="B20" s="84" cm="1">
        <f t="array" ref="B20:F20">'B19. P2O5'!D35:H35</f>
        <v>296.42857142857139</v>
      </c>
      <c r="C20">
        <v>353.57142857142856</v>
      </c>
      <c r="D20">
        <v>360.71428571428567</v>
      </c>
      <c r="E20">
        <v>342.85714285714283</v>
      </c>
      <c r="F20">
        <v>357.14285714285711</v>
      </c>
    </row>
    <row r="21" spans="1:6">
      <c r="A21" t="s">
        <v>558</v>
      </c>
      <c r="B21" cm="1">
        <f t="array" ref="B21:F21">'B20. SrSO4'!D36:H36</f>
        <v>210</v>
      </c>
      <c r="C21">
        <v>143</v>
      </c>
      <c r="D21">
        <v>82</v>
      </c>
      <c r="E21">
        <v>807</v>
      </c>
      <c r="F21">
        <v>160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4963-78B9-FD44-BDA2-974102C11B15}">
  <dimension ref="A1:Z63"/>
  <sheetViews>
    <sheetView topLeftCell="A32" workbookViewId="0">
      <selection activeCell="H69" sqref="H6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v>
      </c>
    </row>
    <row r="3" spans="1:26" ht="16" customHeight="1">
      <c r="B3" t="s">
        <v>145</v>
      </c>
    </row>
    <row r="5" spans="1:26" ht="24">
      <c r="B5" s="3" t="s">
        <v>0</v>
      </c>
    </row>
    <row r="6" spans="1:26">
      <c r="B6" s="4" t="s">
        <v>1</v>
      </c>
      <c r="C6" s="86"/>
    </row>
    <row r="7" spans="1:26">
      <c r="B7" s="6" t="s">
        <v>2</v>
      </c>
      <c r="C7" s="7"/>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51"/>
      <c r="H14" s="51"/>
      <c r="I14" s="51"/>
      <c r="J14" s="51"/>
    </row>
    <row r="15" spans="1:26">
      <c r="B15" s="31"/>
      <c r="C15" s="24"/>
      <c r="D15" s="24"/>
      <c r="E15" s="73"/>
      <c r="G15" s="51"/>
      <c r="H15" s="51"/>
      <c r="I15" s="51"/>
      <c r="J15" s="51"/>
    </row>
    <row r="16" spans="1:26">
      <c r="B16" s="23"/>
      <c r="C16" s="25"/>
      <c r="D16" s="25"/>
      <c r="E16" s="20"/>
      <c r="G16" s="51"/>
      <c r="H16" s="51"/>
      <c r="I16" s="51"/>
      <c r="J16" s="51"/>
    </row>
    <row r="17" spans="1:26">
      <c r="B17" s="104" t="s">
        <v>87</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138</v>
      </c>
    </row>
    <row r="23" spans="1:26">
      <c r="B23" s="36" t="s">
        <v>16</v>
      </c>
      <c r="C23" s="37" t="s">
        <v>18</v>
      </c>
      <c r="D23" s="37">
        <v>2021</v>
      </c>
      <c r="E23" s="37">
        <v>2022</v>
      </c>
      <c r="F23" s="37">
        <v>2023</v>
      </c>
      <c r="G23" s="37">
        <v>2024</v>
      </c>
      <c r="H23" s="38">
        <v>2025</v>
      </c>
    </row>
    <row r="24" spans="1:26" ht="20">
      <c r="B24" s="40" t="s">
        <v>139</v>
      </c>
      <c r="C24" s="39" t="s">
        <v>34</v>
      </c>
      <c r="D24" s="48"/>
      <c r="E24" s="48"/>
      <c r="F24" s="48"/>
      <c r="G24" s="48"/>
      <c r="H24" s="41"/>
    </row>
    <row r="25" spans="1:26" ht="19">
      <c r="B25" s="42" t="s">
        <v>140</v>
      </c>
      <c r="C25" s="39" t="s">
        <v>34</v>
      </c>
      <c r="D25" s="48"/>
      <c r="E25" s="48"/>
      <c r="F25" s="48"/>
      <c r="G25" s="48"/>
      <c r="H25" s="41"/>
    </row>
    <row r="26" spans="1:26" ht="20">
      <c r="B26" s="40" t="s">
        <v>141</v>
      </c>
      <c r="C26" s="39" t="s">
        <v>34</v>
      </c>
      <c r="D26" s="48"/>
      <c r="E26" s="48"/>
      <c r="F26" s="48"/>
      <c r="G26" s="48"/>
      <c r="H26" s="41"/>
    </row>
    <row r="27" spans="1:26" ht="19">
      <c r="B27" s="49" t="s">
        <v>142</v>
      </c>
      <c r="C27" s="44" t="s">
        <v>34</v>
      </c>
      <c r="D27" s="45"/>
      <c r="E27" s="45"/>
      <c r="F27" s="45"/>
      <c r="G27" s="45"/>
      <c r="H27" s="46"/>
    </row>
    <row r="28" spans="1:26">
      <c r="B28" s="39" t="s">
        <v>218</v>
      </c>
      <c r="C28" s="39"/>
      <c r="D28" s="39"/>
      <c r="E28" s="39"/>
      <c r="F28" s="39"/>
      <c r="G28" s="39"/>
      <c r="H28" s="39"/>
    </row>
    <row r="29" spans="1:26">
      <c r="B29" s="39" t="s">
        <v>219</v>
      </c>
      <c r="C29" s="39"/>
      <c r="D29" s="39"/>
      <c r="E29" s="39"/>
      <c r="F29" s="39"/>
      <c r="G29" s="39"/>
      <c r="H29" s="39"/>
    </row>
    <row r="30" spans="1:26">
      <c r="B30" s="39" t="s">
        <v>220</v>
      </c>
      <c r="C30" s="16"/>
      <c r="D30" s="16"/>
      <c r="E30" s="16"/>
      <c r="F30" s="16"/>
      <c r="G30" s="16"/>
      <c r="H30" s="16"/>
    </row>
    <row r="31" spans="1:26">
      <c r="B31" s="39" t="s">
        <v>221</v>
      </c>
      <c r="C31" s="16"/>
      <c r="D31" s="16"/>
      <c r="E31" s="16"/>
      <c r="F31" s="16"/>
      <c r="G31" s="16"/>
      <c r="H31" s="16"/>
    </row>
    <row r="32" spans="1:26">
      <c r="B32" s="16"/>
      <c r="C32" s="16"/>
      <c r="D32" s="16"/>
      <c r="E32" s="16"/>
      <c r="F32" s="16"/>
      <c r="G32" s="16"/>
      <c r="H32" s="16"/>
    </row>
    <row r="33" spans="2:9" ht="24">
      <c r="B33" s="3" t="s">
        <v>156</v>
      </c>
      <c r="C33" s="16"/>
      <c r="D33" s="16"/>
      <c r="E33" s="16"/>
      <c r="F33" s="16"/>
      <c r="G33" s="16"/>
      <c r="H33" s="16"/>
    </row>
    <row r="34" spans="2:9" ht="19">
      <c r="B34" s="18" t="s">
        <v>158</v>
      </c>
      <c r="C34" s="16"/>
      <c r="D34" s="16"/>
      <c r="E34" s="16"/>
      <c r="F34" s="16"/>
      <c r="G34" s="16"/>
      <c r="H34" s="16"/>
    </row>
    <row r="35" spans="2:9" ht="42" customHeight="1">
      <c r="B35" s="22" t="s">
        <v>157</v>
      </c>
      <c r="C35" s="22"/>
      <c r="D35" s="22"/>
      <c r="E35" s="22"/>
      <c r="F35" s="22"/>
      <c r="G35" s="22"/>
      <c r="H35" s="22"/>
    </row>
    <row r="37" spans="2:9">
      <c r="B37" s="105" t="s">
        <v>271</v>
      </c>
      <c r="D37" s="28"/>
      <c r="E37" s="28"/>
      <c r="F37" s="28"/>
      <c r="G37" s="28"/>
      <c r="H37" s="28"/>
    </row>
    <row r="38" spans="2:9">
      <c r="B38" s="36" t="s">
        <v>16</v>
      </c>
      <c r="C38" s="37" t="s">
        <v>18</v>
      </c>
      <c r="D38" s="37">
        <v>2021</v>
      </c>
      <c r="E38" s="37">
        <v>2022</v>
      </c>
      <c r="F38" s="37">
        <v>2023</v>
      </c>
      <c r="G38" s="37">
        <v>2024</v>
      </c>
      <c r="H38" s="38">
        <v>2025</v>
      </c>
    </row>
    <row r="39" spans="2:9" ht="20">
      <c r="B39" s="43" t="s">
        <v>249</v>
      </c>
      <c r="C39" s="15"/>
      <c r="D39" s="29"/>
      <c r="E39" s="29"/>
      <c r="F39" s="29"/>
      <c r="G39" s="29"/>
      <c r="H39" s="30"/>
    </row>
    <row r="40" spans="2:9">
      <c r="B40" s="106" t="s">
        <v>87</v>
      </c>
      <c r="D40" s="28"/>
      <c r="E40" s="28"/>
      <c r="F40" s="28"/>
      <c r="G40" s="28"/>
      <c r="H40" s="28"/>
    </row>
    <row r="42" spans="2:9" ht="19">
      <c r="B42" s="18" t="s">
        <v>209</v>
      </c>
      <c r="C42" s="16"/>
      <c r="D42" s="16"/>
      <c r="E42" s="16"/>
      <c r="F42" s="16"/>
      <c r="G42" s="16"/>
      <c r="H42" s="16"/>
    </row>
    <row r="43" spans="2:9" ht="26" customHeight="1">
      <c r="B43" s="22" t="s">
        <v>157</v>
      </c>
      <c r="C43" s="22"/>
      <c r="D43" s="22"/>
      <c r="E43" s="22"/>
      <c r="F43" s="22"/>
      <c r="G43" s="22"/>
      <c r="H43" s="22"/>
    </row>
    <row r="45" spans="2:9" ht="18" customHeight="1">
      <c r="B45" s="107" t="s">
        <v>246</v>
      </c>
      <c r="C45" s="22"/>
      <c r="D45" s="22"/>
      <c r="E45" s="22"/>
      <c r="F45" s="22"/>
      <c r="G45" s="22"/>
      <c r="H45" s="22"/>
      <c r="I45" s="22"/>
    </row>
    <row r="46" spans="2:9">
      <c r="B46" s="36" t="s">
        <v>172</v>
      </c>
      <c r="C46" s="37" t="s">
        <v>18</v>
      </c>
      <c r="D46" s="37" t="s">
        <v>174</v>
      </c>
      <c r="E46" s="37">
        <v>2021</v>
      </c>
      <c r="F46" s="37">
        <v>2022</v>
      </c>
      <c r="G46" s="37">
        <v>2023</v>
      </c>
      <c r="H46" s="37">
        <v>2024</v>
      </c>
      <c r="I46" s="38">
        <v>2025</v>
      </c>
    </row>
    <row r="47" spans="2:9" ht="20">
      <c r="B47" s="40" t="s">
        <v>249</v>
      </c>
      <c r="D47" s="28"/>
      <c r="E47" s="67"/>
      <c r="F47" s="67"/>
      <c r="G47" s="67"/>
      <c r="H47" s="67"/>
      <c r="I47" s="68"/>
    </row>
    <row r="48" spans="2:9" ht="20">
      <c r="B48" s="43" t="s">
        <v>249</v>
      </c>
      <c r="C48" s="15"/>
      <c r="D48" s="29"/>
      <c r="E48" s="69"/>
      <c r="F48" s="69"/>
      <c r="G48" s="69"/>
      <c r="H48" s="69"/>
      <c r="I48" s="70"/>
    </row>
    <row r="49" spans="1:26">
      <c r="B49" s="33" t="s">
        <v>183</v>
      </c>
      <c r="D49" s="28"/>
      <c r="E49" s="67"/>
      <c r="F49" s="67"/>
      <c r="G49" s="67"/>
      <c r="H49" s="67"/>
      <c r="I49" s="67"/>
    </row>
    <row r="51" spans="1:26" ht="17">
      <c r="B51" s="107" t="s">
        <v>247</v>
      </c>
      <c r="C51" s="22"/>
      <c r="D51" s="22"/>
      <c r="E51" s="22"/>
      <c r="F51" s="22"/>
      <c r="G51" s="22"/>
      <c r="H51" s="22"/>
      <c r="I51" s="22"/>
    </row>
    <row r="52" spans="1:26">
      <c r="B52" s="36" t="s">
        <v>172</v>
      </c>
      <c r="C52" s="37" t="s">
        <v>18</v>
      </c>
      <c r="D52" s="37" t="s">
        <v>174</v>
      </c>
      <c r="E52" s="37">
        <v>2021</v>
      </c>
      <c r="F52" s="37">
        <v>2022</v>
      </c>
      <c r="G52" s="37">
        <v>2023</v>
      </c>
      <c r="H52" s="37">
        <v>2024</v>
      </c>
      <c r="I52" s="38">
        <v>2025</v>
      </c>
    </row>
    <row r="53" spans="1:26" ht="20">
      <c r="B53" s="40" t="s">
        <v>249</v>
      </c>
      <c r="D53" s="28"/>
      <c r="E53" s="67"/>
      <c r="F53" s="67"/>
      <c r="G53" s="67"/>
      <c r="H53" s="67"/>
      <c r="I53" s="68"/>
    </row>
    <row r="54" spans="1:26" ht="20">
      <c r="B54" s="40" t="s">
        <v>249</v>
      </c>
      <c r="E54" s="67"/>
      <c r="F54" s="67"/>
      <c r="G54" s="67"/>
      <c r="H54" s="67"/>
      <c r="I54" s="68"/>
    </row>
    <row r="55" spans="1:26" ht="20">
      <c r="B55" s="43" t="s">
        <v>249</v>
      </c>
      <c r="C55" s="15"/>
      <c r="D55" s="15"/>
      <c r="E55" s="29"/>
      <c r="F55" s="29"/>
      <c r="G55" s="29"/>
      <c r="H55" s="29"/>
      <c r="I55" s="30"/>
    </row>
    <row r="56" spans="1:26">
      <c r="B56" s="62" t="s">
        <v>214</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17</v>
      </c>
    </row>
    <row r="61" spans="1:26">
      <c r="B61" s="4" t="s">
        <v>16</v>
      </c>
      <c r="C61" s="11" t="s">
        <v>18</v>
      </c>
      <c r="D61" s="11">
        <v>2021</v>
      </c>
      <c r="E61" s="11">
        <v>2022</v>
      </c>
      <c r="F61" s="11">
        <v>2023</v>
      </c>
      <c r="G61" s="11">
        <v>2024</v>
      </c>
      <c r="H61" s="12">
        <v>2025</v>
      </c>
    </row>
    <row r="62" spans="1:26" ht="20">
      <c r="B62" s="23" t="s">
        <v>248</v>
      </c>
      <c r="C62" s="15"/>
      <c r="D62" s="15"/>
      <c r="E62" s="15"/>
      <c r="F62" s="15"/>
      <c r="G62" s="15"/>
      <c r="H62" s="10"/>
    </row>
    <row r="63" spans="1:26">
      <c r="B63" s="106" t="s">
        <v>87</v>
      </c>
    </row>
  </sheetData>
  <hyperlinks>
    <hyperlink ref="B49" r:id="rId1" xr:uid="{726CD010-A7ED-8745-B836-4F1384C69A7C}"/>
    <hyperlink ref="B56" r:id="rId2" display="(1) Source: USITC DataWeb, Imports for Consumption" xr:uid="{AEB2EFC4-47EA-6B42-BDE9-B95E0D14E0B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01B9-98A1-1D4B-BBAC-75DB0B1EF442}">
  <dimension ref="A1:Z33"/>
  <sheetViews>
    <sheetView workbookViewId="0">
      <selection activeCell="C71" sqref="C71:C7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v>
      </c>
    </row>
    <row r="3" spans="1:26" ht="16" customHeight="1">
      <c r="B3" t="s">
        <v>145</v>
      </c>
    </row>
    <row r="5" spans="1:26" ht="24">
      <c r="B5" s="3" t="s">
        <v>0</v>
      </c>
    </row>
    <row r="6" spans="1:26">
      <c r="B6" s="4" t="s">
        <v>1</v>
      </c>
      <c r="C6" s="5"/>
    </row>
    <row r="7" spans="1:26">
      <c r="B7" s="6" t="s">
        <v>2</v>
      </c>
      <c r="C7" s="7"/>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t="s">
        <v>12</v>
      </c>
    </row>
    <row r="15" spans="1:26">
      <c r="B15" s="13"/>
      <c r="E15" s="8"/>
    </row>
    <row r="16" spans="1:26">
      <c r="B16" s="13"/>
      <c r="E16" s="8"/>
    </row>
    <row r="17" spans="1:26">
      <c r="B17" s="14"/>
      <c r="C17" s="15"/>
      <c r="D17" s="15"/>
      <c r="E17" s="10"/>
    </row>
    <row r="18" spans="1:26">
      <c r="B18" t="s">
        <v>87</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15</v>
      </c>
    </row>
    <row r="24" spans="1:26">
      <c r="B24" s="4" t="s">
        <v>16</v>
      </c>
      <c r="C24" s="11" t="s">
        <v>18</v>
      </c>
      <c r="D24" s="11">
        <v>2021</v>
      </c>
      <c r="E24" s="11">
        <v>2022</v>
      </c>
      <c r="F24" s="11">
        <v>2023</v>
      </c>
      <c r="G24" s="11">
        <v>2024</v>
      </c>
      <c r="H24" s="12">
        <v>2025</v>
      </c>
      <c r="J24" t="s">
        <v>19</v>
      </c>
    </row>
    <row r="25" spans="1:26" ht="20">
      <c r="B25" s="23" t="s">
        <v>52</v>
      </c>
      <c r="C25" s="15"/>
      <c r="D25" s="29"/>
      <c r="E25" s="29"/>
      <c r="F25" s="29"/>
      <c r="G25" s="29"/>
      <c r="H25" s="30"/>
    </row>
    <row r="26" spans="1:26">
      <c r="B26" t="s">
        <v>87</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17</v>
      </c>
    </row>
    <row r="31" spans="1:26">
      <c r="B31" s="4" t="s">
        <v>16</v>
      </c>
      <c r="C31" s="11" t="s">
        <v>18</v>
      </c>
      <c r="D31" s="11">
        <v>2021</v>
      </c>
      <c r="E31" s="11">
        <v>2022</v>
      </c>
      <c r="F31" s="11">
        <v>2023</v>
      </c>
      <c r="G31" s="11">
        <v>2024</v>
      </c>
      <c r="H31" s="12">
        <v>2025</v>
      </c>
      <c r="J31" t="s">
        <v>20</v>
      </c>
    </row>
    <row r="32" spans="1:26" ht="20">
      <c r="B32" s="23" t="s">
        <v>52</v>
      </c>
      <c r="C32" s="15"/>
      <c r="D32" s="15"/>
      <c r="E32" s="15"/>
      <c r="F32" s="15"/>
      <c r="G32" s="15"/>
      <c r="H32" s="10"/>
    </row>
    <row r="33" spans="2:2">
      <c r="B33" t="s">
        <v>87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85DC9-CAA7-7B42-974D-2F7BB6C59E0F}">
  <dimension ref="A1:Z36"/>
  <sheetViews>
    <sheetView workbookViewId="0">
      <selection activeCell="C71" sqref="C71:C7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v>
      </c>
    </row>
    <row r="3" spans="1:26" ht="16" customHeight="1">
      <c r="B3" t="s">
        <v>145</v>
      </c>
    </row>
    <row r="5" spans="1:26" ht="24">
      <c r="B5" s="3" t="s">
        <v>0</v>
      </c>
    </row>
    <row r="6" spans="1:26">
      <c r="B6" s="4" t="s">
        <v>1</v>
      </c>
      <c r="C6" s="5"/>
    </row>
    <row r="7" spans="1:26">
      <c r="B7" s="6" t="s">
        <v>2</v>
      </c>
      <c r="C7" s="7"/>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t="s">
        <v>12</v>
      </c>
    </row>
    <row r="15" spans="1:26">
      <c r="B15" s="13"/>
      <c r="E15" s="8"/>
    </row>
    <row r="16" spans="1:26">
      <c r="B16" s="13"/>
      <c r="E16" s="8"/>
    </row>
    <row r="17" spans="1:26">
      <c r="B17" s="14"/>
      <c r="C17" s="15"/>
      <c r="D17" s="15"/>
      <c r="E17" s="10"/>
    </row>
    <row r="18" spans="1:26">
      <c r="B18" t="s">
        <v>87</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21</v>
      </c>
    </row>
    <row r="24" spans="1:26">
      <c r="B24" s="4" t="s">
        <v>16</v>
      </c>
      <c r="C24" s="11" t="s">
        <v>18</v>
      </c>
      <c r="D24" s="11">
        <v>2021</v>
      </c>
      <c r="E24" s="11">
        <v>2022</v>
      </c>
      <c r="F24" s="11">
        <v>2023</v>
      </c>
      <c r="G24" s="11">
        <v>2024</v>
      </c>
      <c r="H24" s="12">
        <v>2025</v>
      </c>
      <c r="J24" t="s">
        <v>19</v>
      </c>
    </row>
    <row r="25" spans="1:26" ht="20">
      <c r="B25" s="31" t="s">
        <v>52</v>
      </c>
      <c r="D25" s="28"/>
      <c r="E25" s="28"/>
      <c r="F25" s="28"/>
      <c r="G25" s="28"/>
      <c r="H25" s="32"/>
    </row>
    <row r="26" spans="1:26" ht="19">
      <c r="B26" s="13" t="s">
        <v>22</v>
      </c>
      <c r="H26" s="8"/>
    </row>
    <row r="27" spans="1:26" ht="20">
      <c r="B27" s="23" t="s">
        <v>52</v>
      </c>
      <c r="C27" s="15" t="s">
        <v>34</v>
      </c>
      <c r="D27" s="29"/>
      <c r="E27" s="29"/>
      <c r="F27" s="29"/>
      <c r="G27" s="29"/>
      <c r="H27" s="30"/>
    </row>
    <row r="28" spans="1:26">
      <c r="B28" t="s">
        <v>87</v>
      </c>
    </row>
    <row r="29" spans="1:26">
      <c r="B29" t="s">
        <v>23</v>
      </c>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3" spans="2:10" ht="24">
      <c r="B33" s="3" t="s">
        <v>17</v>
      </c>
    </row>
    <row r="34" spans="2:10">
      <c r="B34" s="4" t="s">
        <v>16</v>
      </c>
      <c r="C34" s="11" t="s">
        <v>18</v>
      </c>
      <c r="D34" s="11">
        <v>2021</v>
      </c>
      <c r="E34" s="11">
        <v>2022</v>
      </c>
      <c r="F34" s="11">
        <v>2023</v>
      </c>
      <c r="G34" s="11">
        <v>2024</v>
      </c>
      <c r="H34" s="12">
        <v>2025</v>
      </c>
      <c r="J34" t="s">
        <v>20</v>
      </c>
    </row>
    <row r="35" spans="2:10" ht="20">
      <c r="B35" s="23" t="s">
        <v>52</v>
      </c>
      <c r="C35" s="15"/>
      <c r="D35" s="15"/>
      <c r="E35" s="15"/>
      <c r="F35" s="15"/>
      <c r="G35" s="15"/>
      <c r="H35" s="10"/>
    </row>
    <row r="36" spans="2:10">
      <c r="B36"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B1. B</vt:lpstr>
      <vt:lpstr>B2. BaSO4</vt:lpstr>
      <vt:lpstr>B3. Br</vt:lpstr>
      <vt:lpstr>B4. CaCO3</vt:lpstr>
      <vt:lpstr>B5. CaF2</vt:lpstr>
      <vt:lpstr>B6. Ca(OH)2</vt:lpstr>
      <vt:lpstr>B7. CaSO4</vt:lpstr>
      <vt:lpstr>B8. HCl</vt:lpstr>
      <vt:lpstr>B9. HF</vt:lpstr>
      <vt:lpstr>B10. K2O</vt:lpstr>
      <vt:lpstr>B11. Li</vt:lpstr>
      <vt:lpstr>B12. MgCl2</vt:lpstr>
      <vt:lpstr>B13. Mg(OH)2</vt:lpstr>
      <vt:lpstr>B14. MgSO4</vt:lpstr>
      <vt:lpstr>B15. NaCl</vt:lpstr>
      <vt:lpstr>B16. Na2CO3</vt:lpstr>
      <vt:lpstr>B17. NaOH</vt:lpstr>
      <vt:lpstr>B18. NH3</vt:lpstr>
      <vt:lpstr>B19. P2O5</vt:lpstr>
      <vt:lpstr>B20. SrSO4</vt:lpstr>
      <vt:lpstr>S1. USITC Imports</vt:lpstr>
      <vt:lpstr>S2. USITC Exports</vt:lpstr>
      <vt:lpstr>S3. USITC FAS Value</vt:lpstr>
      <vt:lpstr>X1. Markets</vt:lpstr>
      <vt:lpstr>Sheet1</vt:lpstr>
      <vt:lpstr>X2. BP x Domestic</vt:lpstr>
      <vt:lpstr>X3. BP-Market x State</vt:lpstr>
      <vt:lpstr>X4. Pricing</vt:lpstr>
      <vt:lpstr>PIE Template</vt:lpstr>
      <vt:lpstr>Direct Template</vt:lpstr>
      <vt:lpstr>Indirect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2026-09-02T22:53:21Z</dcterms:created>
  <dcterms:modified xsi:type="dcterms:W3CDTF">2026-10-05T18:40:00Z</dcterms:modified>
</cp:coreProperties>
</file>