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78B2EB30-8C6C-864B-904D-B52E5CAE4386}" xr6:coauthVersionLast="47" xr6:coauthVersionMax="47" xr10:uidLastSave="{00000000-0000-0000-0000-000000000000}"/>
  <bookViews>
    <workbookView xWindow="26440" yWindow="-27860" windowWidth="24140" windowHeight="21680" firstSheet="25" activeTab="27" xr2:uid="{3F896577-7652-494C-A092-AD3DA09255A3}"/>
  </bookViews>
  <sheets>
    <sheet name="cement_production" sheetId="15" r:id="rId1"/>
    <sheet name="lime_manufacturing" sheetId="13" r:id="rId2"/>
    <sheet name="glass_emissions" sheetId="39" r:id="rId3"/>
    <sheet name="mineral_wool" sheetId="1" r:id="rId4"/>
    <sheet name="gypsum_facilities" sheetId="24" r:id="rId5"/>
    <sheet name="steel_pickling_facilities" sheetId="26" r:id="rId6"/>
    <sheet name="pulp_and_paper_facilities" sheetId="20" r:id="rId7"/>
    <sheet name="semiconductor_employment" sheetId="27" r:id="rId8"/>
    <sheet name="lithium_battery_production" sheetId="33" r:id="rId9"/>
    <sheet name="cosmetics_employment" sheetId="35" r:id="rId10"/>
    <sheet name="org_chemical_manufacturing" sheetId="9" r:id="rId11"/>
    <sheet name="pharma_manufacturing" sheetId="10" r:id="rId12"/>
    <sheet name="hf_production_capacity" sheetId="16" r:id="rId13"/>
    <sheet name="phosphoric_acid_facilities" sheetId="41" r:id="rId14"/>
    <sheet name="ammonia_production_capacity" sheetId="31" r:id="rId15"/>
    <sheet name="chemical_manufacturing" sheetId="7" r:id="rId16"/>
    <sheet name="manufacturing" sheetId="4" r:id="rId17"/>
    <sheet name="industrial_water_use" sheetId="8" r:id="rId18"/>
    <sheet name="public_supply_water_use" sheetId="18" r:id="rId19"/>
    <sheet name="wwtp_flow" sheetId="19" r:id="rId20"/>
    <sheet name="rock_salt_distribution" sheetId="38" r:id="rId21"/>
    <sheet name="construction_spending" sheetId="23" r:id="rId22"/>
    <sheet name="oil_and_gas_wells" sheetId="5" r:id="rId23"/>
    <sheet name="flue_gas_desulfurization" sheetId="14" r:id="rId24"/>
    <sheet name="potash_fertilizer_consumption" sheetId="32" r:id="rId25"/>
    <sheet name="nitrogen_fertilizer_consumption" sheetId="40" r:id="rId26"/>
    <sheet name="crop_acreage" sheetId="12" r:id="rId27"/>
    <sheet name="ARCHIVE" sheetId="42" r:id="rId28"/>
    <sheet name="industrial_energy_consumption" sheetId="6" r:id="rId29"/>
    <sheet name="iron_and_steel_employment" sheetId="21" r:id="rId30"/>
    <sheet name="metallurgy_employment" sheetId="22" r:id="rId31"/>
    <sheet name="ore_treated" sheetId="28" r:id="rId32"/>
    <sheet name="phosphate_fertilizer_facilities" sheetId="29" r:id="rId33"/>
    <sheet name="pesticide_employment" sheetId="11" r:id="rId34"/>
    <sheet name="road_salts_application" sheetId="37" r:id="rId35"/>
    <sheet name="alumina_refining_capacity" sheetId="3" r:id="rId3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3" i="41" l="1"/>
  <c r="E53" i="41" s="1"/>
  <c r="E33" i="41" l="1"/>
  <c r="E47" i="41"/>
  <c r="E48" i="41"/>
  <c r="E7" i="41"/>
  <c r="E8" i="41"/>
  <c r="E19" i="41"/>
  <c r="E20" i="41"/>
  <c r="E32" i="41"/>
  <c r="E21" i="41"/>
  <c r="E35" i="41"/>
  <c r="E49" i="41"/>
  <c r="E9" i="41"/>
  <c r="E22" i="41"/>
  <c r="E36" i="41"/>
  <c r="E45" i="41"/>
  <c r="E10" i="41"/>
  <c r="E23" i="41"/>
  <c r="E37" i="41"/>
  <c r="E11" i="41"/>
  <c r="E25" i="41"/>
  <c r="E40" i="41"/>
  <c r="E12" i="41"/>
  <c r="E26" i="41"/>
  <c r="E41" i="41"/>
  <c r="E13" i="41"/>
  <c r="E29" i="41"/>
  <c r="E42" i="41"/>
  <c r="E15" i="41"/>
  <c r="E30" i="41"/>
  <c r="E18" i="41"/>
  <c r="E31" i="41"/>
  <c r="E46" i="41"/>
  <c r="E5" i="41"/>
  <c r="E16" i="41"/>
  <c r="E27" i="41"/>
  <c r="E38" i="41"/>
  <c r="E50" i="41"/>
  <c r="E6" i="41"/>
  <c r="E17" i="41"/>
  <c r="E28" i="41"/>
  <c r="E39" i="41"/>
  <c r="E51" i="41"/>
  <c r="E52" i="41"/>
  <c r="E43" i="41"/>
  <c r="E14" i="41"/>
  <c r="E24" i="41"/>
  <c r="E34" i="41"/>
  <c r="E44" i="41"/>
  <c r="D53" i="32" l="1"/>
  <c r="D53" i="40"/>
  <c r="E53" i="40" s="1"/>
  <c r="E47" i="40" l="1"/>
  <c r="E29" i="40"/>
  <c r="E19" i="40"/>
  <c r="E10" i="40"/>
  <c r="E43" i="40"/>
  <c r="E33" i="40"/>
  <c r="E23" i="40"/>
  <c r="E13" i="40"/>
  <c r="E46" i="40"/>
  <c r="E25" i="40"/>
  <c r="E5" i="40"/>
  <c r="E15" i="40"/>
  <c r="E26" i="40"/>
  <c r="E37" i="40"/>
  <c r="E48" i="40"/>
  <c r="E40" i="40"/>
  <c r="E30" i="40"/>
  <c r="E32" i="40"/>
  <c r="E22" i="40"/>
  <c r="E12" i="40"/>
  <c r="E45" i="40"/>
  <c r="E35" i="40"/>
  <c r="E36" i="40"/>
  <c r="E6" i="40"/>
  <c r="E16" i="40"/>
  <c r="E27" i="40"/>
  <c r="E38" i="40"/>
  <c r="E49" i="40"/>
  <c r="E8" i="40"/>
  <c r="E18" i="40"/>
  <c r="E9" i="40"/>
  <c r="E42" i="40"/>
  <c r="E20" i="40"/>
  <c r="E11" i="40"/>
  <c r="E44" i="40"/>
  <c r="E34" i="40"/>
  <c r="E24" i="40"/>
  <c r="E14" i="40"/>
  <c r="E7" i="40"/>
  <c r="E17" i="40"/>
  <c r="E28" i="40"/>
  <c r="E39" i="40"/>
  <c r="E50" i="40"/>
  <c r="E21" i="40"/>
  <c r="E31" i="40"/>
  <c r="E41" i="40"/>
  <c r="E51" i="40"/>
  <c r="E52" i="40"/>
  <c r="E6" i="39" l="1"/>
  <c r="E8" i="38"/>
  <c r="E9" i="38"/>
  <c r="E10" i="38"/>
  <c r="E11" i="38"/>
  <c r="E12" i="38"/>
  <c r="E15" i="38"/>
  <c r="E20" i="38"/>
  <c r="E21" i="38"/>
  <c r="E22" i="38"/>
  <c r="E25" i="38"/>
  <c r="E30" i="38"/>
  <c r="E31" i="38"/>
  <c r="E32" i="38"/>
  <c r="E35" i="38"/>
  <c r="E40" i="38"/>
  <c r="E41" i="38"/>
  <c r="E42" i="38"/>
  <c r="E44" i="38"/>
  <c r="E45" i="38"/>
  <c r="E49" i="38"/>
  <c r="E50" i="38"/>
  <c r="E51" i="38"/>
  <c r="E52" i="38"/>
  <c r="E19" i="38"/>
  <c r="E5" i="38"/>
  <c r="E53" i="38"/>
  <c r="E43" i="38"/>
  <c r="E34" i="38"/>
  <c r="E33" i="38"/>
  <c r="E24" i="38"/>
  <c r="E23" i="38"/>
  <c r="E14" i="38"/>
  <c r="E13" i="38"/>
  <c r="E52" i="39" l="1"/>
  <c r="E47" i="39"/>
  <c r="E17" i="39"/>
  <c r="E46" i="39"/>
  <c r="E36" i="39"/>
  <c r="E34" i="39"/>
  <c r="E20" i="39"/>
  <c r="E43" i="39"/>
  <c r="E33" i="39"/>
  <c r="E42" i="39"/>
  <c r="E32" i="39"/>
  <c r="E22" i="39"/>
  <c r="E41" i="39"/>
  <c r="E31" i="39"/>
  <c r="E21" i="39"/>
  <c r="E11" i="39"/>
  <c r="E29" i="39"/>
  <c r="E9" i="39"/>
  <c r="E50" i="39"/>
  <c r="E51" i="39"/>
  <c r="E14" i="39"/>
  <c r="E13" i="39"/>
  <c r="E44" i="39"/>
  <c r="E30" i="39"/>
  <c r="E12" i="39"/>
  <c r="E16" i="39"/>
  <c r="E24" i="39"/>
  <c r="E10" i="39"/>
  <c r="E26" i="39"/>
  <c r="E23" i="39"/>
  <c r="E40" i="39"/>
  <c r="E53" i="39"/>
  <c r="E8" i="39"/>
  <c r="E18" i="39"/>
  <c r="E28" i="39"/>
  <c r="E38" i="39"/>
  <c r="E48" i="39"/>
  <c r="E15" i="39"/>
  <c r="E25" i="39"/>
  <c r="E35" i="39"/>
  <c r="E45" i="39"/>
  <c r="E5" i="39"/>
  <c r="E19" i="39"/>
  <c r="E39" i="39"/>
  <c r="E49" i="39"/>
  <c r="E7" i="39"/>
  <c r="E27" i="39"/>
  <c r="E37" i="39"/>
  <c r="E6" i="38"/>
  <c r="E16" i="38"/>
  <c r="E26" i="38"/>
  <c r="E36" i="38"/>
  <c r="E46" i="38"/>
  <c r="E7" i="38"/>
  <c r="E17" i="38"/>
  <c r="E27" i="38"/>
  <c r="E37" i="38"/>
  <c r="E47" i="38"/>
  <c r="E18" i="38"/>
  <c r="E28" i="38"/>
  <c r="E38" i="38"/>
  <c r="E48" i="38"/>
  <c r="E29" i="38"/>
  <c r="E39" i="38"/>
  <c r="E52" i="37"/>
  <c r="E14" i="37" l="1"/>
  <c r="E15" i="37"/>
  <c r="E45" i="37"/>
  <c r="E6" i="37"/>
  <c r="E16" i="37"/>
  <c r="E26" i="37"/>
  <c r="E36" i="37"/>
  <c r="E7" i="37"/>
  <c r="E17" i="37"/>
  <c r="E27" i="37"/>
  <c r="E37" i="37"/>
  <c r="E8" i="37"/>
  <c r="E18" i="37"/>
  <c r="E28" i="37"/>
  <c r="E38" i="37"/>
  <c r="E9" i="37"/>
  <c r="E19" i="37"/>
  <c r="E29" i="37"/>
  <c r="E39" i="37"/>
  <c r="E10" i="37"/>
  <c r="E20" i="37"/>
  <c r="E30" i="37"/>
  <c r="E40" i="37"/>
  <c r="E11" i="37"/>
  <c r="E21" i="37"/>
  <c r="E31" i="37"/>
  <c r="E41" i="37"/>
  <c r="E12" i="37"/>
  <c r="E22" i="37"/>
  <c r="E32" i="37"/>
  <c r="E42" i="37"/>
  <c r="E13" i="37"/>
  <c r="E23" i="37"/>
  <c r="E33" i="37"/>
  <c r="E43" i="37"/>
  <c r="E53" i="37"/>
  <c r="E5" i="37"/>
  <c r="E46" i="37"/>
  <c r="E34" i="37"/>
  <c r="E47" i="37"/>
  <c r="E48" i="37"/>
  <c r="E24" i="37"/>
  <c r="E25" i="37"/>
  <c r="E49" i="37"/>
  <c r="E50" i="37"/>
  <c r="E35" i="37"/>
  <c r="E51" i="37"/>
  <c r="E44" i="37"/>
  <c r="E18" i="35" l="1"/>
  <c r="E21" i="35"/>
  <c r="E26" i="35"/>
  <c r="E38" i="35"/>
  <c r="E43" i="35"/>
  <c r="E47" i="35"/>
  <c r="E50" i="35"/>
  <c r="E49" i="35"/>
  <c r="E51" i="35" l="1"/>
  <c r="E41" i="35"/>
  <c r="E31" i="35"/>
  <c r="E48" i="35"/>
  <c r="E52" i="35"/>
  <c r="E11" i="35"/>
  <c r="E6" i="35"/>
  <c r="E16" i="35"/>
  <c r="E36" i="35"/>
  <c r="E46" i="35"/>
  <c r="E7" i="35"/>
  <c r="E17" i="35"/>
  <c r="E27" i="35"/>
  <c r="E37" i="35"/>
  <c r="E10" i="35"/>
  <c r="E20" i="35"/>
  <c r="E30" i="35"/>
  <c r="E40" i="35"/>
  <c r="E13" i="35"/>
  <c r="E23" i="35"/>
  <c r="E33" i="35"/>
  <c r="E53" i="35"/>
  <c r="E12" i="35"/>
  <c r="E22" i="35"/>
  <c r="E32" i="35"/>
  <c r="E42" i="35"/>
  <c r="E14" i="35"/>
  <c r="E24" i="35"/>
  <c r="E34" i="35"/>
  <c r="E44" i="35"/>
  <c r="E5" i="35"/>
  <c r="E15" i="35"/>
  <c r="E25" i="35"/>
  <c r="E35" i="35"/>
  <c r="E45" i="35"/>
  <c r="E8" i="35"/>
  <c r="E28" i="35"/>
  <c r="E9" i="35"/>
  <c r="E19" i="35"/>
  <c r="E29" i="35"/>
  <c r="E39" i="35"/>
  <c r="E9" i="33" l="1"/>
  <c r="E49" i="33"/>
  <c r="E53" i="32"/>
  <c r="E52" i="32"/>
  <c r="E51" i="32"/>
  <c r="E50" i="32"/>
  <c r="E49" i="32"/>
  <c r="E48" i="32"/>
  <c r="E47" i="32"/>
  <c r="E46" i="32"/>
  <c r="E45" i="32"/>
  <c r="E44" i="32"/>
  <c r="E43" i="32"/>
  <c r="E42" i="32"/>
  <c r="E41" i="32"/>
  <c r="E40" i="32"/>
  <c r="E39" i="32"/>
  <c r="E38" i="32"/>
  <c r="E37" i="32"/>
  <c r="E36" i="32"/>
  <c r="E35" i="32"/>
  <c r="E34" i="32"/>
  <c r="E33" i="32"/>
  <c r="E32" i="32"/>
  <c r="E31" i="32"/>
  <c r="E30" i="32"/>
  <c r="E29" i="32"/>
  <c r="E28" i="32"/>
  <c r="E27" i="32"/>
  <c r="E26" i="32"/>
  <c r="E25" i="32"/>
  <c r="E24" i="32"/>
  <c r="E23" i="32"/>
  <c r="E22" i="32"/>
  <c r="E21" i="32"/>
  <c r="E20" i="32"/>
  <c r="E19" i="32"/>
  <c r="E18" i="32"/>
  <c r="E17" i="32"/>
  <c r="E16" i="32"/>
  <c r="E15" i="32"/>
  <c r="E14" i="32"/>
  <c r="E13" i="32"/>
  <c r="E12" i="32"/>
  <c r="E11" i="32"/>
  <c r="E10" i="32"/>
  <c r="E9" i="32"/>
  <c r="E8" i="32"/>
  <c r="E7" i="32"/>
  <c r="E6" i="32"/>
  <c r="E5" i="32"/>
  <c r="D53" i="29"/>
  <c r="E45" i="29" s="1"/>
  <c r="E48" i="29"/>
  <c r="E47" i="29"/>
  <c r="E46" i="29"/>
  <c r="E41" i="29"/>
  <c r="E37" i="29"/>
  <c r="E31" i="29"/>
  <c r="E27" i="29"/>
  <c r="E26" i="29"/>
  <c r="E12" i="29"/>
  <c r="E11" i="29"/>
  <c r="E9" i="29"/>
  <c r="E6" i="29"/>
  <c r="E9" i="28"/>
  <c r="E10" i="28"/>
  <c r="E11" i="28"/>
  <c r="E12" i="28"/>
  <c r="E13" i="28"/>
  <c r="E53" i="28"/>
  <c r="E10" i="27"/>
  <c r="E14" i="27"/>
  <c r="E20" i="27"/>
  <c r="E21" i="27"/>
  <c r="E24" i="27"/>
  <c r="E26" i="27"/>
  <c r="E30" i="27"/>
  <c r="E31" i="27"/>
  <c r="E34" i="27"/>
  <c r="E38" i="27"/>
  <c r="E40" i="27"/>
  <c r="E41" i="27"/>
  <c r="E43" i="27"/>
  <c r="E44" i="27"/>
  <c r="E48" i="27"/>
  <c r="E50" i="27"/>
  <c r="E51" i="27"/>
  <c r="E52" i="27"/>
  <c r="E45" i="27"/>
  <c r="E49" i="27"/>
  <c r="E47" i="27"/>
  <c r="E46" i="27"/>
  <c r="E39" i="27"/>
  <c r="E37" i="27"/>
  <c r="E36" i="27"/>
  <c r="E29" i="27"/>
  <c r="E28" i="27"/>
  <c r="E27" i="27"/>
  <c r="E19" i="27"/>
  <c r="E18" i="27"/>
  <c r="E17" i="27"/>
  <c r="E16" i="27"/>
  <c r="E11" i="27"/>
  <c r="E9" i="27"/>
  <c r="E8" i="27"/>
  <c r="E7" i="27"/>
  <c r="E6" i="27"/>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53" i="24"/>
  <c r="E52" i="24"/>
  <c r="E51" i="24"/>
  <c r="E50" i="24"/>
  <c r="E49" i="24"/>
  <c r="E48" i="24"/>
  <c r="E47" i="24"/>
  <c r="E46" i="24"/>
  <c r="E45" i="24"/>
  <c r="E44" i="24"/>
  <c r="E43" i="24"/>
  <c r="E42" i="24"/>
  <c r="E41" i="24"/>
  <c r="E40" i="24"/>
  <c r="E39" i="24"/>
  <c r="E38" i="24"/>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E40" i="29" l="1"/>
  <c r="E17" i="29"/>
  <c r="E18" i="29"/>
  <c r="E20" i="29"/>
  <c r="E50" i="29"/>
  <c r="E28" i="29"/>
  <c r="E7" i="29"/>
  <c r="E30" i="29"/>
  <c r="E10" i="29"/>
  <c r="E29" i="29"/>
  <c r="E49" i="29"/>
  <c r="E16" i="29"/>
  <c r="E36" i="29"/>
  <c r="E51" i="29"/>
  <c r="E19" i="29"/>
  <c r="E38" i="29"/>
  <c r="E8" i="29"/>
  <c r="E21" i="29"/>
  <c r="E39" i="29"/>
  <c r="E22" i="29"/>
  <c r="E32" i="29"/>
  <c r="E42" i="29"/>
  <c r="E52" i="29"/>
  <c r="E13" i="29"/>
  <c r="E23" i="29"/>
  <c r="E33" i="29"/>
  <c r="E43" i="29"/>
  <c r="E53" i="29"/>
  <c r="E14" i="29"/>
  <c r="E24" i="29"/>
  <c r="E34" i="29"/>
  <c r="E44" i="29"/>
  <c r="E5" i="29"/>
  <c r="E15" i="29"/>
  <c r="E25" i="29"/>
  <c r="E35" i="29"/>
  <c r="E45" i="33"/>
  <c r="E19" i="33"/>
  <c r="E43" i="33"/>
  <c r="E33" i="33"/>
  <c r="E23" i="33"/>
  <c r="E13" i="33"/>
  <c r="E52" i="33"/>
  <c r="E42" i="33"/>
  <c r="E32" i="33"/>
  <c r="E22" i="33"/>
  <c r="E12" i="33"/>
  <c r="E24" i="33"/>
  <c r="E48" i="33"/>
  <c r="E18" i="33"/>
  <c r="E6" i="33"/>
  <c r="E34" i="33"/>
  <c r="E38" i="33"/>
  <c r="E28" i="33"/>
  <c r="E46" i="33"/>
  <c r="E36" i="33"/>
  <c r="E26" i="33"/>
  <c r="E16" i="33"/>
  <c r="E8" i="33"/>
  <c r="E44" i="33"/>
  <c r="E15" i="33"/>
  <c r="E29" i="33"/>
  <c r="E39" i="33"/>
  <c r="E5" i="33"/>
  <c r="E35" i="33"/>
  <c r="E7" i="33"/>
  <c r="E17" i="33"/>
  <c r="E27" i="33"/>
  <c r="E37" i="33"/>
  <c r="E47" i="33"/>
  <c r="E10" i="33"/>
  <c r="E20" i="33"/>
  <c r="E30" i="33"/>
  <c r="E40" i="33"/>
  <c r="E50" i="33"/>
  <c r="E51" i="33"/>
  <c r="E11" i="33"/>
  <c r="E21" i="33"/>
  <c r="E31" i="33"/>
  <c r="E41" i="33"/>
  <c r="E53" i="33"/>
  <c r="E14" i="33"/>
  <c r="E25" i="33"/>
  <c r="E53" i="31"/>
  <c r="E15" i="31"/>
  <c r="E45" i="31"/>
  <c r="E16" i="31"/>
  <c r="E26" i="31"/>
  <c r="E36" i="31"/>
  <c r="E46" i="31"/>
  <c r="E7" i="31"/>
  <c r="E17" i="31"/>
  <c r="E27" i="31"/>
  <c r="E37" i="31"/>
  <c r="E47" i="31"/>
  <c r="E25" i="31"/>
  <c r="E8" i="31"/>
  <c r="E38" i="31"/>
  <c r="E52" i="31"/>
  <c r="E5" i="31"/>
  <c r="E35" i="31"/>
  <c r="E18" i="31"/>
  <c r="E28" i="31"/>
  <c r="E48" i="31"/>
  <c r="E9" i="31"/>
  <c r="E19" i="31"/>
  <c r="E29" i="31"/>
  <c r="E39" i="31"/>
  <c r="E49" i="31"/>
  <c r="E10" i="31"/>
  <c r="E20" i="31"/>
  <c r="E30" i="31"/>
  <c r="E40" i="31"/>
  <c r="E50" i="31"/>
  <c r="E11" i="31"/>
  <c r="E21" i="31"/>
  <c r="E31" i="31"/>
  <c r="E41" i="31"/>
  <c r="E51" i="31"/>
  <c r="E12" i="31"/>
  <c r="E22" i="31"/>
  <c r="E32" i="31"/>
  <c r="E42" i="31"/>
  <c r="E13" i="31"/>
  <c r="E23" i="31"/>
  <c r="E33" i="31"/>
  <c r="E43" i="31"/>
  <c r="E14" i="31"/>
  <c r="E24" i="31"/>
  <c r="E34" i="31"/>
  <c r="E44" i="31"/>
  <c r="E23" i="28"/>
  <c r="E45" i="28"/>
  <c r="E35" i="28"/>
  <c r="E25" i="28"/>
  <c r="E15" i="28"/>
  <c r="E43" i="28"/>
  <c r="E42" i="28"/>
  <c r="E22" i="28"/>
  <c r="E41" i="28"/>
  <c r="E50" i="28"/>
  <c r="E20" i="28"/>
  <c r="E33" i="28"/>
  <c r="E32" i="28"/>
  <c r="E31" i="28"/>
  <c r="E30" i="28"/>
  <c r="E52" i="28"/>
  <c r="E51" i="28"/>
  <c r="E21" i="28"/>
  <c r="E40" i="28"/>
  <c r="E39" i="28"/>
  <c r="E8" i="28"/>
  <c r="E18" i="28"/>
  <c r="E28" i="28"/>
  <c r="E38" i="28"/>
  <c r="E48" i="28"/>
  <c r="E14" i="28"/>
  <c r="E24" i="28"/>
  <c r="E34" i="28"/>
  <c r="E44" i="28"/>
  <c r="E5" i="28"/>
  <c r="E17" i="28"/>
  <c r="E27" i="28"/>
  <c r="E47" i="28"/>
  <c r="E19" i="28"/>
  <c r="E6" i="28"/>
  <c r="E16" i="28"/>
  <c r="E26" i="28"/>
  <c r="E36" i="28"/>
  <c r="E46" i="28"/>
  <c r="E7" i="28"/>
  <c r="E37" i="28"/>
  <c r="E29" i="28"/>
  <c r="E49" i="28"/>
  <c r="E13" i="27"/>
  <c r="E23" i="27"/>
  <c r="E33" i="27"/>
  <c r="E53" i="27"/>
  <c r="E12" i="27"/>
  <c r="E22" i="27"/>
  <c r="E32" i="27"/>
  <c r="E42" i="27"/>
  <c r="E15" i="27"/>
  <c r="E25" i="27"/>
  <c r="E35" i="27"/>
  <c r="E5" i="27"/>
  <c r="E6" i="31" l="1"/>
  <c r="E9" i="23" l="1"/>
  <c r="E10" i="23"/>
  <c r="E11" i="23"/>
  <c r="E12" i="23"/>
  <c r="E13" i="23"/>
  <c r="E14" i="23"/>
  <c r="E20" i="23"/>
  <c r="E21" i="23"/>
  <c r="E22" i="23"/>
  <c r="E23" i="23"/>
  <c r="E30" i="23"/>
  <c r="E31" i="23"/>
  <c r="E32" i="23"/>
  <c r="E33" i="23"/>
  <c r="E39" i="23"/>
  <c r="E40" i="23"/>
  <c r="E41" i="23"/>
  <c r="E42" i="23"/>
  <c r="E43" i="23"/>
  <c r="E44" i="23"/>
  <c r="E49" i="23"/>
  <c r="E50" i="23"/>
  <c r="E51" i="23"/>
  <c r="E52" i="23"/>
  <c r="E48" i="23"/>
  <c r="E5" i="23"/>
  <c r="E34" i="23"/>
  <c r="E24" i="23"/>
  <c r="E15" i="23"/>
  <c r="E11" i="22"/>
  <c r="E13" i="22"/>
  <c r="E14" i="22"/>
  <c r="E33" i="22"/>
  <c r="E36" i="22"/>
  <c r="E43" i="22"/>
  <c r="E47" i="22"/>
  <c r="E49" i="22"/>
  <c r="E22" i="21"/>
  <c r="E32" i="21"/>
  <c r="E34" i="21"/>
  <c r="E44" i="21"/>
  <c r="E48" i="21"/>
  <c r="E49" i="21"/>
  <c r="E50" i="21"/>
  <c r="E51" i="21"/>
  <c r="E7" i="21"/>
  <c r="E39" i="20"/>
  <c r="E10" i="19"/>
  <c r="E9" i="19"/>
  <c r="E6" i="19"/>
  <c r="E13" i="19"/>
  <c r="E12" i="19"/>
  <c r="E11" i="19"/>
  <c r="E8" i="19"/>
  <c r="E7" i="19"/>
  <c r="E5" i="19"/>
  <c r="D53" i="19"/>
  <c r="E53" i="19"/>
  <c r="E52" i="19"/>
  <c r="E51" i="19"/>
  <c r="E50" i="19"/>
  <c r="E49" i="19"/>
  <c r="E48" i="19"/>
  <c r="E47" i="19"/>
  <c r="E46" i="19"/>
  <c r="E45" i="19"/>
  <c r="E44" i="19"/>
  <c r="E43" i="19"/>
  <c r="E42" i="19"/>
  <c r="E41" i="19"/>
  <c r="E40" i="19"/>
  <c r="E39" i="19"/>
  <c r="E38" i="19"/>
  <c r="E37" i="19"/>
  <c r="E36" i="19"/>
  <c r="E35" i="19"/>
  <c r="E34" i="19"/>
  <c r="E33" i="19"/>
  <c r="E32" i="19"/>
  <c r="E31" i="19"/>
  <c r="E30" i="19"/>
  <c r="E29" i="19"/>
  <c r="E28" i="19"/>
  <c r="E27" i="19"/>
  <c r="E26" i="19"/>
  <c r="E25" i="19"/>
  <c r="E24" i="19"/>
  <c r="E23" i="19"/>
  <c r="E22" i="19"/>
  <c r="E21" i="19"/>
  <c r="E20" i="19"/>
  <c r="E19" i="19"/>
  <c r="E18" i="19"/>
  <c r="E17" i="19"/>
  <c r="E16" i="19"/>
  <c r="E15" i="19"/>
  <c r="E14" i="19"/>
  <c r="E10" i="18"/>
  <c r="E11" i="18"/>
  <c r="E12" i="18"/>
  <c r="E13" i="18"/>
  <c r="E15" i="18"/>
  <c r="E22" i="18"/>
  <c r="E23" i="18"/>
  <c r="E25" i="18"/>
  <c r="E32" i="18"/>
  <c r="E33" i="18"/>
  <c r="E35" i="18"/>
  <c r="E42" i="18"/>
  <c r="E43" i="18"/>
  <c r="E45" i="18"/>
  <c r="E52" i="18"/>
  <c r="E47" i="18"/>
  <c r="E53" i="16"/>
  <c r="E52" i="16"/>
  <c r="E51" i="16"/>
  <c r="E50" i="16"/>
  <c r="E49" i="16"/>
  <c r="E48" i="16"/>
  <c r="E47" i="16"/>
  <c r="E46" i="16"/>
  <c r="E45" i="16"/>
  <c r="E44" i="16"/>
  <c r="E43" i="16"/>
  <c r="E42" i="16"/>
  <c r="E41" i="16"/>
  <c r="E40" i="16"/>
  <c r="E39" i="16"/>
  <c r="E38"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53" i="15"/>
  <c r="E52" i="15"/>
  <c r="E51" i="15"/>
  <c r="E50" i="15"/>
  <c r="E49" i="15"/>
  <c r="E48" i="15"/>
  <c r="E47" i="15"/>
  <c r="E46" i="15"/>
  <c r="E45" i="15"/>
  <c r="E44" i="15"/>
  <c r="E43" i="15"/>
  <c r="E42"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6" i="14"/>
  <c r="E7" i="14"/>
  <c r="E8" i="14"/>
  <c r="E9" i="14"/>
  <c r="E10" i="14"/>
  <c r="E11"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 i="14"/>
  <c r="E51" i="13"/>
  <c r="E52" i="13"/>
  <c r="E9" i="13"/>
  <c r="E10" i="13"/>
  <c r="E11" i="13"/>
  <c r="E12" i="13"/>
  <c r="E13" i="13"/>
  <c r="E14" i="13"/>
  <c r="E15" i="13"/>
  <c r="E22" i="13"/>
  <c r="E23" i="13"/>
  <c r="E24" i="13"/>
  <c r="E25" i="13"/>
  <c r="E32" i="13"/>
  <c r="E33" i="13"/>
  <c r="E34" i="13"/>
  <c r="E35" i="13"/>
  <c r="E41" i="13"/>
  <c r="E42" i="13"/>
  <c r="E43" i="13"/>
  <c r="E44" i="13"/>
  <c r="E45" i="13"/>
  <c r="E5" i="13"/>
  <c r="E53" i="13"/>
  <c r="E50" i="13"/>
  <c r="E49" i="13"/>
  <c r="E48" i="13"/>
  <c r="E47" i="13"/>
  <c r="E46" i="13"/>
  <c r="E40" i="13"/>
  <c r="E39" i="13"/>
  <c r="E38" i="13"/>
  <c r="E37" i="13"/>
  <c r="E36" i="13"/>
  <c r="E31" i="13"/>
  <c r="E30" i="13"/>
  <c r="E29" i="13"/>
  <c r="E28" i="13"/>
  <c r="E27" i="13"/>
  <c r="E26" i="13"/>
  <c r="E21" i="13"/>
  <c r="E20" i="13"/>
  <c r="E19" i="13"/>
  <c r="E18" i="13"/>
  <c r="E17" i="13"/>
  <c r="E16" i="13"/>
  <c r="E8" i="13"/>
  <c r="E7" i="13"/>
  <c r="E6" i="13"/>
  <c r="E6" i="23" l="1"/>
  <c r="E26" i="23"/>
  <c r="E46" i="23"/>
  <c r="E7" i="23"/>
  <c r="E18" i="23"/>
  <c r="E38" i="23"/>
  <c r="E19" i="23"/>
  <c r="E53" i="23"/>
  <c r="E47" i="23"/>
  <c r="E27" i="23"/>
  <c r="E29" i="23"/>
  <c r="E25" i="23"/>
  <c r="E35" i="23"/>
  <c r="E45" i="23"/>
  <c r="E16" i="23"/>
  <c r="E36" i="23"/>
  <c r="E17" i="23"/>
  <c r="E37" i="23"/>
  <c r="E8" i="23"/>
  <c r="E28" i="23"/>
  <c r="E52" i="22"/>
  <c r="E32" i="22"/>
  <c r="E51" i="22"/>
  <c r="E31" i="22"/>
  <c r="E50" i="22"/>
  <c r="E30" i="22"/>
  <c r="E12" i="22"/>
  <c r="E10" i="22"/>
  <c r="E9" i="22"/>
  <c r="E23" i="22"/>
  <c r="E42" i="22"/>
  <c r="E22" i="22"/>
  <c r="E41" i="22"/>
  <c r="E21" i="22"/>
  <c r="E40" i="22"/>
  <c r="E20" i="22"/>
  <c r="E24" i="22"/>
  <c r="E34" i="22"/>
  <c r="E44" i="22"/>
  <c r="E5" i="22"/>
  <c r="E15" i="22"/>
  <c r="E25" i="22"/>
  <c r="E35" i="22"/>
  <c r="E45" i="22"/>
  <c r="E16" i="22"/>
  <c r="E46" i="22"/>
  <c r="E17" i="22"/>
  <c r="E27" i="22"/>
  <c r="E37" i="22"/>
  <c r="E53" i="22"/>
  <c r="E6" i="22"/>
  <c r="E26" i="22"/>
  <c r="E7" i="22"/>
  <c r="E8" i="22"/>
  <c r="E18" i="22"/>
  <c r="E28" i="22"/>
  <c r="E38" i="22"/>
  <c r="E48" i="22"/>
  <c r="E19" i="22"/>
  <c r="E29" i="22"/>
  <c r="E39" i="22"/>
  <c r="E24" i="21"/>
  <c r="E19" i="21"/>
  <c r="E38" i="21"/>
  <c r="E20" i="21"/>
  <c r="E42" i="21"/>
  <c r="E40" i="21"/>
  <c r="E13" i="21"/>
  <c r="E39" i="21"/>
  <c r="E16" i="21"/>
  <c r="E26" i="21"/>
  <c r="E46" i="21"/>
  <c r="E12" i="21"/>
  <c r="E17" i="21"/>
  <c r="E27" i="21"/>
  <c r="E37" i="21"/>
  <c r="E8" i="21"/>
  <c r="E5" i="21"/>
  <c r="E6" i="21"/>
  <c r="E23" i="21"/>
  <c r="E53" i="21"/>
  <c r="E15" i="21"/>
  <c r="E35" i="21"/>
  <c r="E45" i="21"/>
  <c r="E13" i="20"/>
  <c r="E10" i="20"/>
  <c r="E33" i="20"/>
  <c r="E9" i="20"/>
  <c r="E43" i="20"/>
  <c r="E23" i="20"/>
  <c r="E52" i="20"/>
  <c r="E51" i="20"/>
  <c r="E41" i="20"/>
  <c r="E31" i="20"/>
  <c r="E21" i="20"/>
  <c r="E11" i="20"/>
  <c r="E50" i="20"/>
  <c r="E40" i="20"/>
  <c r="E30" i="20"/>
  <c r="E20" i="20"/>
  <c r="E49" i="20"/>
  <c r="E46" i="20"/>
  <c r="E36" i="20"/>
  <c r="E6" i="20"/>
  <c r="E53" i="20"/>
  <c r="E5" i="20"/>
  <c r="E42" i="20"/>
  <c r="E26" i="20"/>
  <c r="E12" i="20"/>
  <c r="E22" i="20"/>
  <c r="E32" i="20"/>
  <c r="E14" i="20"/>
  <c r="E24" i="20"/>
  <c r="E34" i="20"/>
  <c r="E44" i="20"/>
  <c r="E15" i="20"/>
  <c r="E25" i="20"/>
  <c r="E35" i="20"/>
  <c r="E45" i="20"/>
  <c r="E16" i="20"/>
  <c r="E29" i="20"/>
  <c r="E7" i="20"/>
  <c r="E17" i="20"/>
  <c r="E27" i="20"/>
  <c r="E37" i="20"/>
  <c r="E47" i="20"/>
  <c r="E8" i="20"/>
  <c r="E18" i="20"/>
  <c r="E28" i="20"/>
  <c r="E38" i="20"/>
  <c r="E48" i="20"/>
  <c r="E19" i="20"/>
  <c r="E9" i="18"/>
  <c r="E49" i="18"/>
  <c r="E39" i="18"/>
  <c r="E29" i="18"/>
  <c r="E8" i="18"/>
  <c r="E19" i="18"/>
  <c r="E31" i="18"/>
  <c r="E41" i="18"/>
  <c r="E51" i="18"/>
  <c r="E18" i="18"/>
  <c r="E28" i="18"/>
  <c r="E38" i="18"/>
  <c r="E48" i="18"/>
  <c r="E5" i="18"/>
  <c r="E40" i="18"/>
  <c r="E50" i="18"/>
  <c r="E21" i="18"/>
  <c r="E14" i="18"/>
  <c r="E24" i="18"/>
  <c r="E34" i="18"/>
  <c r="E44" i="18"/>
  <c r="E6" i="18"/>
  <c r="E16" i="18"/>
  <c r="E26" i="18"/>
  <c r="E36" i="18"/>
  <c r="E46" i="18"/>
  <c r="E20" i="18"/>
  <c r="E30" i="18"/>
  <c r="E53" i="18"/>
  <c r="E7" i="18"/>
  <c r="E17" i="18"/>
  <c r="E27" i="18"/>
  <c r="E37" i="18"/>
  <c r="E12" i="12"/>
  <c r="E14" i="12"/>
  <c r="E15" i="12"/>
  <c r="E22" i="12"/>
  <c r="E24" i="12"/>
  <c r="E32" i="12"/>
  <c r="E34" i="12"/>
  <c r="E35" i="12"/>
  <c r="E42" i="12"/>
  <c r="E44" i="12"/>
  <c r="E45" i="12"/>
  <c r="E52" i="12"/>
  <c r="E53" i="12"/>
  <c r="E5" i="12"/>
  <c r="E46" i="12" l="1"/>
  <c r="E36" i="12"/>
  <c r="E25" i="12"/>
  <c r="E49" i="12"/>
  <c r="E6" i="12"/>
  <c r="E29" i="12"/>
  <c r="E47" i="12"/>
  <c r="E37" i="12"/>
  <c r="E27" i="12"/>
  <c r="E17" i="12"/>
  <c r="E7" i="12"/>
  <c r="E26" i="12"/>
  <c r="E16" i="12"/>
  <c r="E19" i="12"/>
  <c r="E43" i="12"/>
  <c r="E33" i="12"/>
  <c r="E23" i="12"/>
  <c r="E13" i="12"/>
  <c r="E51" i="12"/>
  <c r="E41" i="12"/>
  <c r="E31" i="12"/>
  <c r="E21" i="12"/>
  <c r="E11" i="12"/>
  <c r="E39" i="12"/>
  <c r="E50" i="12"/>
  <c r="E40" i="12"/>
  <c r="E30" i="12"/>
  <c r="E20" i="12"/>
  <c r="E10" i="12"/>
  <c r="E9" i="12"/>
  <c r="E48" i="12"/>
  <c r="E38" i="12"/>
  <c r="E28" i="12"/>
  <c r="E18" i="12"/>
  <c r="E8" i="12"/>
  <c r="E8" i="11" l="1"/>
  <c r="E9" i="11"/>
  <c r="E11" i="11"/>
  <c r="E12" i="11"/>
  <c r="E13" i="11"/>
  <c r="E14" i="11"/>
  <c r="E15" i="11"/>
  <c r="E20" i="11"/>
  <c r="E21" i="11"/>
  <c r="E24" i="11"/>
  <c r="E25" i="11"/>
  <c r="E29" i="11"/>
  <c r="E33" i="11"/>
  <c r="E34" i="11"/>
  <c r="E35" i="11"/>
  <c r="E40" i="11"/>
  <c r="E41" i="11"/>
  <c r="E42" i="11"/>
  <c r="E43" i="11"/>
  <c r="E44" i="11"/>
  <c r="E45" i="11"/>
  <c r="E48" i="11"/>
  <c r="E53" i="11"/>
  <c r="E10" i="11"/>
  <c r="E30" i="11"/>
  <c r="E31" i="11"/>
  <c r="E32" i="11"/>
  <c r="E51" i="11"/>
  <c r="E52" i="11"/>
  <c r="E5" i="11"/>
  <c r="E38" i="11"/>
  <c r="E37" i="11"/>
  <c r="E36" i="11"/>
  <c r="E23" i="11"/>
  <c r="E19" i="11"/>
  <c r="E18" i="11"/>
  <c r="E6" i="11"/>
  <c r="E10" i="8"/>
  <c r="E11" i="8"/>
  <c r="E12" i="8"/>
  <c r="E13" i="8"/>
  <c r="E14" i="8"/>
  <c r="E21" i="8"/>
  <c r="E24" i="8"/>
  <c r="E30" i="8"/>
  <c r="E31" i="8"/>
  <c r="E32" i="8"/>
  <c r="E34" i="8"/>
  <c r="E40" i="8"/>
  <c r="E41" i="8"/>
  <c r="E42" i="8"/>
  <c r="E43" i="8"/>
  <c r="E44" i="8"/>
  <c r="E45" i="8"/>
  <c r="E50" i="8"/>
  <c r="E51" i="8"/>
  <c r="E52" i="8"/>
  <c r="E9" i="8"/>
  <c r="E10" i="10"/>
  <c r="E11" i="10"/>
  <c r="E12" i="10"/>
  <c r="E13" i="10"/>
  <c r="E20" i="10"/>
  <c r="E21" i="10"/>
  <c r="E22" i="10"/>
  <c r="E23" i="10"/>
  <c r="E30" i="10"/>
  <c r="E31" i="10"/>
  <c r="E32" i="10"/>
  <c r="E33" i="10"/>
  <c r="E39" i="10"/>
  <c r="E40" i="10"/>
  <c r="E41" i="10"/>
  <c r="E42" i="10"/>
  <c r="E43" i="10"/>
  <c r="E49" i="10"/>
  <c r="E50" i="10"/>
  <c r="E51" i="10"/>
  <c r="E52" i="10"/>
  <c r="E9" i="10"/>
  <c r="E5" i="10"/>
  <c r="E45" i="10"/>
  <c r="E44" i="10"/>
  <c r="E35" i="10"/>
  <c r="E34" i="10"/>
  <c r="E25" i="10"/>
  <c r="E24" i="10"/>
  <c r="E15" i="10"/>
  <c r="E14" i="10"/>
  <c r="E10" i="9"/>
  <c r="E11" i="9"/>
  <c r="E12" i="9"/>
  <c r="E13" i="9"/>
  <c r="E14" i="9"/>
  <c r="E20" i="9"/>
  <c r="E21" i="9"/>
  <c r="E22" i="9"/>
  <c r="E24" i="9"/>
  <c r="E25" i="9"/>
  <c r="E33" i="9"/>
  <c r="E34" i="9"/>
  <c r="E40" i="9"/>
  <c r="E41" i="9"/>
  <c r="E42" i="9"/>
  <c r="E43" i="9"/>
  <c r="E44" i="9"/>
  <c r="E45" i="9"/>
  <c r="E5" i="9"/>
  <c r="E30" i="9"/>
  <c r="E31" i="9"/>
  <c r="E32" i="9"/>
  <c r="E51" i="9"/>
  <c r="E52" i="9"/>
  <c r="E39" i="9"/>
  <c r="E35" i="9"/>
  <c r="E23" i="9"/>
  <c r="E15" i="9"/>
  <c r="E10" i="7"/>
  <c r="E11" i="7"/>
  <c r="E12" i="7"/>
  <c r="E20" i="7"/>
  <c r="E21" i="7"/>
  <c r="E22" i="7"/>
  <c r="E30" i="7"/>
  <c r="E31" i="7"/>
  <c r="E32" i="7"/>
  <c r="E39" i="7"/>
  <c r="E40" i="7"/>
  <c r="E41" i="7"/>
  <c r="E42" i="7"/>
  <c r="E44" i="7"/>
  <c r="E50" i="7"/>
  <c r="E51" i="7"/>
  <c r="E52" i="7"/>
  <c r="E29" i="7"/>
  <c r="E5" i="7"/>
  <c r="E49" i="7"/>
  <c r="E45" i="7"/>
  <c r="E43" i="7"/>
  <c r="E35" i="7"/>
  <c r="E34" i="7"/>
  <c r="E33" i="7"/>
  <c r="E25" i="7"/>
  <c r="E24" i="7"/>
  <c r="E23" i="7"/>
  <c r="E15" i="7"/>
  <c r="E14" i="7"/>
  <c r="E13" i="7"/>
  <c r="E9" i="6"/>
  <c r="E10" i="6"/>
  <c r="E11" i="6"/>
  <c r="E12" i="6"/>
  <c r="E20" i="6"/>
  <c r="E21" i="6"/>
  <c r="E22" i="6"/>
  <c r="E30" i="6"/>
  <c r="E31" i="6"/>
  <c r="E32" i="6"/>
  <c r="E33" i="6"/>
  <c r="E40" i="6"/>
  <c r="E41" i="6"/>
  <c r="E42" i="6"/>
  <c r="E43" i="6"/>
  <c r="E44" i="6"/>
  <c r="E49" i="6"/>
  <c r="E50" i="6"/>
  <c r="E51" i="6"/>
  <c r="E52" i="6"/>
  <c r="E29" i="6"/>
  <c r="E5" i="6"/>
  <c r="E34" i="6"/>
  <c r="E24" i="6"/>
  <c r="E14" i="6"/>
  <c r="E7" i="11" l="1"/>
  <c r="E39" i="11"/>
  <c r="E26" i="11"/>
  <c r="E49" i="11"/>
  <c r="E22" i="11"/>
  <c r="E47" i="11"/>
  <c r="E16" i="11"/>
  <c r="E50" i="11"/>
  <c r="E27" i="11"/>
  <c r="E28" i="11"/>
  <c r="E46" i="11"/>
  <c r="E17" i="11"/>
  <c r="E20" i="8"/>
  <c r="E49" i="8"/>
  <c r="E39" i="8"/>
  <c r="E29" i="8"/>
  <c r="E19" i="8"/>
  <c r="E48" i="8"/>
  <c r="E22" i="8"/>
  <c r="E15" i="8"/>
  <c r="E25" i="8"/>
  <c r="E35" i="8"/>
  <c r="E7" i="8"/>
  <c r="E17" i="8"/>
  <c r="E27" i="8"/>
  <c r="E37" i="8"/>
  <c r="E47" i="8"/>
  <c r="E23" i="8"/>
  <c r="E33" i="8"/>
  <c r="E53" i="8"/>
  <c r="E5" i="8"/>
  <c r="E6" i="8"/>
  <c r="E16" i="8"/>
  <c r="E26" i="8"/>
  <c r="E36" i="8"/>
  <c r="E46" i="8"/>
  <c r="E8" i="8"/>
  <c r="E18" i="8"/>
  <c r="E28" i="8"/>
  <c r="E38" i="8"/>
  <c r="E6" i="10"/>
  <c r="E36" i="10"/>
  <c r="E7" i="10"/>
  <c r="E17" i="10"/>
  <c r="E27" i="10"/>
  <c r="E47" i="10"/>
  <c r="E8" i="10"/>
  <c r="E18" i="10"/>
  <c r="E38" i="10"/>
  <c r="E48" i="10"/>
  <c r="E53" i="10"/>
  <c r="E37" i="10"/>
  <c r="E16" i="10"/>
  <c r="E26" i="10"/>
  <c r="E46" i="10"/>
  <c r="E28" i="10"/>
  <c r="E19" i="10"/>
  <c r="E29" i="10"/>
  <c r="E49" i="9"/>
  <c r="E50" i="9"/>
  <c r="E29" i="9"/>
  <c r="E53" i="9"/>
  <c r="E16" i="9"/>
  <c r="E26" i="9"/>
  <c r="E46" i="9"/>
  <c r="E8" i="9"/>
  <c r="E9" i="9"/>
  <c r="E6" i="9"/>
  <c r="E36" i="9"/>
  <c r="E7" i="9"/>
  <c r="E17" i="9"/>
  <c r="E37" i="9"/>
  <c r="E47" i="9"/>
  <c r="E27" i="9"/>
  <c r="E18" i="9"/>
  <c r="E28" i="9"/>
  <c r="E38" i="9"/>
  <c r="E48" i="9"/>
  <c r="E19" i="9"/>
  <c r="E53" i="7"/>
  <c r="E7" i="7"/>
  <c r="E17" i="7"/>
  <c r="E27" i="7"/>
  <c r="E37" i="7"/>
  <c r="E47" i="7"/>
  <c r="E18" i="7"/>
  <c r="E8" i="7"/>
  <c r="E28" i="7"/>
  <c r="E38" i="7"/>
  <c r="E48" i="7"/>
  <c r="E6" i="7"/>
  <c r="E16" i="7"/>
  <c r="E26" i="7"/>
  <c r="E36" i="7"/>
  <c r="E46" i="7"/>
  <c r="E9" i="7"/>
  <c r="E19" i="7"/>
  <c r="E15" i="6"/>
  <c r="E25" i="6"/>
  <c r="E45" i="6"/>
  <c r="E13" i="6"/>
  <c r="E23" i="6"/>
  <c r="E53" i="6"/>
  <c r="E8" i="6"/>
  <c r="E18" i="6"/>
  <c r="E28" i="6"/>
  <c r="E38" i="6"/>
  <c r="E48" i="6"/>
  <c r="E6" i="6"/>
  <c r="E16" i="6"/>
  <c r="E26" i="6"/>
  <c r="E36" i="6"/>
  <c r="E46" i="6"/>
  <c r="E19" i="6"/>
  <c r="E39" i="6"/>
  <c r="E35" i="6"/>
  <c r="E7" i="6"/>
  <c r="E17" i="6"/>
  <c r="E27" i="6"/>
  <c r="E37" i="6"/>
  <c r="E47" i="6"/>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10" i="4"/>
  <c r="E11" i="4"/>
  <c r="E12" i="4"/>
  <c r="E15" i="4"/>
  <c r="E20" i="4"/>
  <c r="E21" i="4"/>
  <c r="E22" i="4"/>
  <c r="E25" i="4"/>
  <c r="E29" i="4"/>
  <c r="E30" i="4"/>
  <c r="E31" i="4"/>
  <c r="E32" i="4"/>
  <c r="E34" i="4"/>
  <c r="E35" i="4"/>
  <c r="E39" i="4"/>
  <c r="E40" i="4"/>
  <c r="E41" i="4"/>
  <c r="E42" i="4"/>
  <c r="E44" i="4"/>
  <c r="E45" i="4"/>
  <c r="E49" i="4"/>
  <c r="E50" i="4"/>
  <c r="E51" i="4"/>
  <c r="E52" i="4"/>
  <c r="E48" i="4"/>
  <c r="E5" i="4"/>
  <c r="E53" i="4"/>
  <c r="E47" i="4"/>
  <c r="E46" i="4"/>
  <c r="E43" i="4"/>
  <c r="E37" i="4"/>
  <c r="E36" i="4"/>
  <c r="E33" i="4"/>
  <c r="E27" i="4"/>
  <c r="E26" i="4"/>
  <c r="E24" i="4"/>
  <c r="E23" i="4"/>
  <c r="E17" i="4"/>
  <c r="E16" i="4"/>
  <c r="E14" i="4"/>
  <c r="E13" i="4"/>
  <c r="E7" i="4"/>
  <c r="E6" i="4"/>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8" i="4" l="1"/>
  <c r="E38" i="4"/>
  <c r="E9" i="4"/>
  <c r="E19" i="4"/>
  <c r="E18" i="4"/>
  <c r="E28" i="4"/>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33" i="21"/>
  <c r="E30" i="21"/>
  <c r="E31" i="21"/>
  <c r="E52" i="21"/>
  <c r="E25" i="21"/>
  <c r="E14" i="21"/>
  <c r="E36" i="21"/>
  <c r="E47" i="21"/>
  <c r="E11" i="21"/>
  <c r="E28" i="21"/>
  <c r="E43" i="21"/>
  <c r="E21" i="21"/>
  <c r="E18" i="21"/>
  <c r="E29" i="21"/>
  <c r="E10" i="21"/>
  <c r="E41" i="21"/>
  <c r="E9" i="21"/>
</calcChain>
</file>

<file path=xl/sharedStrings.xml><?xml version="1.0" encoding="utf-8"?>
<sst xmlns="http://schemas.openxmlformats.org/spreadsheetml/2006/main" count="3820" uniqueCount="220">
  <si>
    <t>Disaggregation Proxy:</t>
  </si>
  <si>
    <t>Mineral Wool Manufacturing Employment</t>
  </si>
  <si>
    <t>State Name</t>
  </si>
  <si>
    <t>State Alpha</t>
  </si>
  <si>
    <t>Annual Average Employment</t>
  </si>
  <si>
    <t>Percent of Total</t>
  </si>
  <si>
    <t>Alabama</t>
  </si>
  <si>
    <t>AL</t>
  </si>
  <si>
    <t>Arizona</t>
  </si>
  <si>
    <t>AZ</t>
  </si>
  <si>
    <t>Arkansas</t>
  </si>
  <si>
    <t>AR</t>
  </si>
  <si>
    <t>California</t>
  </si>
  <si>
    <t>CA</t>
  </si>
  <si>
    <t>Colorado</t>
  </si>
  <si>
    <t>CO</t>
  </si>
  <si>
    <t>Connecticut</t>
  </si>
  <si>
    <t>CT</t>
  </si>
  <si>
    <t>Delaware</t>
  </si>
  <si>
    <t>DE</t>
  </si>
  <si>
    <t>Florida</t>
  </si>
  <si>
    <t>FL</t>
  </si>
  <si>
    <t>Georgia</t>
  </si>
  <si>
    <t>GA</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</si>
  <si>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</si>
  <si>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</si>
  <si>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</si>
  <si>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</si>
  <si>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</si>
  <si>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</si>
  <si>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</si>
  <si>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</si>
  <si>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</si>
  <si>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</si>
  <si>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</si>
  <si>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</si>
  <si>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</si>
  <si>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</si>
  <si>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</si>
  <si>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</si>
  <si>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</si>
  <si>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</si>
  <si>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</si>
  <si>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</si>
  <si>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</si>
  <si>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</si>
  <si>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</si>
  <si>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</si>
  <si>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</si>
  <si>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</si>
  <si>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</si>
  <si>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</si>
  <si>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</si>
  <si>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</si>
  <si>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</si>
  <si>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</si>
  <si>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</si>
  <si>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</si>
  <si>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</si>
  <si>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</si>
  <si>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</si>
  <si>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</si>
  <si>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</si>
  <si>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</si>
  <si>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</si>
  <si>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</si>
  <si>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</si>
  <si>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</si>
  <si>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</si>
  <si>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</si>
  <si>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</si>
  <si>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</si>
  <si>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</si>
  <si>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</si>
  <si>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</si>
  <si>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</si>
  <si>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</si>
  <si>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</si>
  <si>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</si>
  <si>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</si>
  <si>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</si>
  <si>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</si>
  <si>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</si>
  <si>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</si>
  <si>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</si>
  <si>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</si>
  <si>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</si>
  <si>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</si>
  <si>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</si>
  <si>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</si>
  <si>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</si>
  <si>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</si>
  <si>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</si>
  <si>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</si>
  <si>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</si>
  <si>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</si>
  <si>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</si>
  <si>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</si>
  <si>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</si>
  <si>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</si>
  <si>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</si>
  <si>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</si>
  <si>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Total</t>
  </si>
  <si>
    <t>US</t>
  </si>
  <si>
    <t>Metric Value</t>
  </si>
  <si>
    <t>Source:</t>
  </si>
  <si>
    <t>Metric:</t>
  </si>
  <si>
    <t xml:space="preserve">Employment data was extracted from the USBLS QCEW Data Viewer for NAICS Code 327993: Mineral wool manufacturing (private sector), averaged for the year 2025. Note that this information excludes states with suppressed employment and wages, so some states may be misrepresented as zero. Available employment figures cover 87% of the US Total. </t>
  </si>
  <si>
    <t>Manufacturing Employment</t>
  </si>
  <si>
    <t xml:space="preserve">Employment data was extracted from the USBLS QCEW Data Viewer for Industry 1013: Manufacturing (private sector), averaged for the year 2025. Note that this information excludes states with suppressed employment and wages, so some states may be misrepresented as zero. Available employment figures cover 98% of the US Total. </t>
  </si>
  <si>
    <t>Total Number of Wells</t>
  </si>
  <si>
    <t>Quarterly Census of Employment and Wages (U.S. Bureau of Labor Statistics)</t>
  </si>
  <si>
    <t>U.S. Oil and Nautral Gas Wells by Production Rate (U.S. Energy Information Administration)</t>
  </si>
  <si>
    <t xml:space="preserve">Total oil and natural gas well counts were extracted from Appendix C of the 2025 U.S. Oil and Natural Gas Wells by Production Rate report. </t>
  </si>
  <si>
    <t>Oil and Gas Wells</t>
  </si>
  <si>
    <t>Industrial Energy Consumption</t>
  </si>
  <si>
    <t>State Energy Data System, 2024 (U.S. Energy Information Administration)</t>
  </si>
  <si>
    <t>Total Energy Consumption (trillion btu)</t>
  </si>
  <si>
    <t>Total industrial energy consumption by state is extracted from Table C7: Industrial sector energy consumption estimates, 2024.</t>
  </si>
  <si>
    <t>Chemical Manufacturing Employment</t>
  </si>
  <si>
    <t>Employment data was extracted from the USBLS QCEW Data Viewer for NAICS 325: Chemical manufacturing (private sector), averaged for the year 2025.</t>
  </si>
  <si>
    <t>Organic Chemical Manufacturing Employment</t>
  </si>
  <si>
    <t>Employment data was extracted from the USBLS QCEW Data Viewer for NAICS 32519: Other basic organic chemical manufacturing (private sector), averaged for the year 2025.</t>
  </si>
  <si>
    <t>Pharmaceutical Manufacturing Employment</t>
  </si>
  <si>
    <t>Employment data was extracted from the USBLS QCEW Data Viewer for NAICS 3254: Pharmaceutical and medicine manufacturing (private sector), averaged for the year 2025.</t>
  </si>
  <si>
    <t>Industrial Water Use</t>
  </si>
  <si>
    <t>Industrial water use data was extracted from column "IN-Wtotl" (Industrial, self-supplied total withdrawals, total (fresh + saline), in Mgal/d) and aggregated to the state level.</t>
  </si>
  <si>
    <t>Total industrial water withdrawals (MGD)</t>
  </si>
  <si>
    <t>Pesticide Manufacturing Employment</t>
  </si>
  <si>
    <t xml:space="preserve">Employment data was extracted from the USBLS QCEW Data Viewer for NAICS 32532: Pesticide and other agricultural chemical manufacturing (private sector), averaged for the year 2025. Note that this information excludes states with suppressed employment and wages, so some states may be misrepresented as zero. Available employment figures cover 81% of the US Total. </t>
  </si>
  <si>
    <t>Planted and Failed Crop Acres</t>
  </si>
  <si>
    <t>Crop acreage data was taken from the Farm Service Agency (FSA)  crop acreage data reported as of August 12, 2026. Crop acreage values were aggregated from the county to state level to get a total acreage of planted and failed crops by state.</t>
  </si>
  <si>
    <t>Find a Lime Plant (National Lime Association)</t>
  </si>
  <si>
    <t>The National Lime Association maintains a directory of lime plants in the United States. We count the number of plants listed in each state.</t>
  </si>
  <si>
    <t>Flue Gas Desulfurization Sorbent Quantity</t>
  </si>
  <si>
    <t>FGD Sorbent Quantity (kt)</t>
  </si>
  <si>
    <t>Form EIA-923 Detailed Data (U.S. Energy Information Administration)</t>
  </si>
  <si>
    <t>FSA Crop Acreage Data Reported to FSA (U.S. Department of Agriculture)</t>
  </si>
  <si>
    <t>Estimated Use of Water in the United States County-Level Data for 2015 (U.S. Geological Survey)</t>
  </si>
  <si>
    <t>Flue gas desulfurization (FGD) sorbent quantities used by power plants are reported directly to the EIA as part of Form EIA-923 (Schedule 8C). Listed quantities were taken from the early release of 2025 data, and aggregated to the state level.</t>
  </si>
  <si>
    <t>Portland Cement Production</t>
  </si>
  <si>
    <t>Portland Cement Production (kt)</t>
  </si>
  <si>
    <t>USGS Minerals Yearbook 2023, Cement (U.S. Geological Survey)</t>
  </si>
  <si>
    <t>Portland Cement Production by state was extracted from Table 3 of USGS Minerals Yearbook for Cement (2023). Where additional disaggregation from district to state level was necessary, production value was divided evenly among states in district.</t>
  </si>
  <si>
    <t>Hydrofluoric Acid Production Capacity</t>
  </si>
  <si>
    <t>Hydrofluoric Acid Production Plant Capacity (kt)</t>
  </si>
  <si>
    <t>Toxicological Profile for Fluorides, Hydrogen Fluoride, and Fluorine (National Institutes of Health)</t>
  </si>
  <si>
    <t>Table 5-1 of the Toxicological Profile reports only two companies that manufacture hydrogen fluoride (hydrofluoric acid): Dupont and Honeywell. Each has one plant located in Texas and Louisiana, repsectively, and we adopt the listed capacities of those plants as the disaggregation metric here.</t>
  </si>
  <si>
    <t>Public Supply Water Use</t>
  </si>
  <si>
    <t>Total public supply water withdrawals (MGD)</t>
  </si>
  <si>
    <t>Public supply water use data was extracted from column "PS-Wtotl" (Public Supply, total withdrawals, total (fresh+saline), in Mgal/d) and aggregated to the state level.</t>
  </si>
  <si>
    <t>Wastewater Treatment Facility Design Flow</t>
  </si>
  <si>
    <t>Design Flow (MGD)</t>
  </si>
  <si>
    <t>2022 Clean Watershed Needs Survey (U.S. Environmental Protection Agency)</t>
  </si>
  <si>
    <t>Current design flow values were taken from the Clean Watershed Needs Survey (CWNS) 2022 "FLOW" dataset. Total flows across facilities were aggregated to the state level.</t>
  </si>
  <si>
    <t>Number of Facilities</t>
  </si>
  <si>
    <t>Enforcement and Compliance History Online (U.S. Environmental Protection Agency)</t>
  </si>
  <si>
    <t>Facility counts were obtained using an EPA ECHO Facility Search across all media programs for NAICS code 3221: Pulp, Paper, and Paperboard Mills. Number of facilities were aggregated to the state level.</t>
  </si>
  <si>
    <t>Iron and Steel Manufacturing Employment</t>
  </si>
  <si>
    <t>Employment data was extracted from the USBLS QCEW Data Viewer for NAICS code 3311: Iron and steel mills and ferroalloy manufacturing (private sector), averaged for the year 2025. Note that this information excludes states with suppressed employment and wages, so some states may be misrepresented as zero. Available employment figures cover 97% of the US Total. These estimates are roughly consistent with USGS Mineral Commodity Summaries 2026, which reports the highest raw steel production in Indiana, Ohio, Texas, and Pennsylvania.</t>
  </si>
  <si>
    <t>Metallurgy Employment</t>
  </si>
  <si>
    <t>Employment data was extracted from the USBLS QCEW Data Viewer for NAICS code 331: Primary metal manufacturing (private sector), averaged for the year 2025. Note that this information excludes states with suppressed employment and wages, so some states may be misrepresented as zero. Available employment figures cover &gt;99% of the US Total.</t>
  </si>
  <si>
    <t>Construction Spending</t>
  </si>
  <si>
    <t>Value (millions of dollars)</t>
  </si>
  <si>
    <t>Construction Spending Value Put in Place (U.S. Census Bureau)</t>
  </si>
  <si>
    <t>Construction spending values were extracted from the U.S. Census Bureau's dataset of historical construction spending value put in place, specifically for private nonresidential construction in 2021.</t>
  </si>
  <si>
    <t>Gypsum Processing Facilities</t>
  </si>
  <si>
    <t>Manufacturing Plant Locations (U.S. Gypsum)</t>
  </si>
  <si>
    <t>Gypsum Board Plant Locations (Gold Bond Building Products)</t>
  </si>
  <si>
    <t>Our Locations (Georgia-Pacific)</t>
  </si>
  <si>
    <t>Company Information (PABCO Gypsum)</t>
  </si>
  <si>
    <t>Locations, Wallboard Plants (American Gypsum)</t>
  </si>
  <si>
    <t>Locations (CertainTeed)</t>
  </si>
  <si>
    <t>Gypsum processing facility counts by state were extracted from the websites of the six largest gypsum processing companies in the United States: USG Corporation, National Gypsum, Georgia-Pacific, PABCO Gypsum, American Gypsum, and CertainTeed (Saint-Gobain). Because facility production/capacities were not reported, they are all given equal weight.</t>
  </si>
  <si>
    <t>Steel Pickling Facilities</t>
  </si>
  <si>
    <t>Steel pickling facility counts by state were extracted from an EPA ECHO Query under the Air Media Program (CAA). Facilities were filtered to only include active facilities relevant to MACT Subpart CCC - Steel Pickling - HCl Process.</t>
  </si>
  <si>
    <t>Semiconductor Manufacturing Employment</t>
  </si>
  <si>
    <t>Employment data was extracted from the USBLS QCEW Data Viewer for NAICS code 334413: Semiconductor and related device manufacturing (private sector), averaged for the year 2025. Note that this information excludes states with suppressed employment and wages, so some states may be misrepresented as zero. Available employment figures cover ~97% of the US Total.</t>
  </si>
  <si>
    <t>Ore Treated or Sold</t>
  </si>
  <si>
    <t>Quantity (kt)</t>
  </si>
  <si>
    <t>Minerals Yearbook 2017, Mining and Quarrying (U.S. Geological Survey)</t>
  </si>
  <si>
    <t xml:space="preserve">Ore quantities were extracted from the "Total Ore treated or Sold" column of Table 6 of USGS Minerals Yearbook 2017, Mining and Quarrying. </t>
  </si>
  <si>
    <t>Minerals Yearbook 2023, Nitrogen (Fixed)</t>
  </si>
  <si>
    <t>Anhydrous Ammonia Production Capacity</t>
  </si>
  <si>
    <t>Production capacities were extracted from USGS Minerals Yearbook 2023, Nitrogen, Table 4, which reports the engineering design capacity of domesitc producers of anhydrous ammonia in 2023.</t>
  </si>
  <si>
    <t>Production Capacity (kt/year)</t>
  </si>
  <si>
    <t>Share of Potassium Mineral Fertilizer Consumption</t>
  </si>
  <si>
    <t>Share of Consumption (%)</t>
  </si>
  <si>
    <t>U.S. Mineral Fertilizer Consumption by State (The Fertilizer Institute)</t>
  </si>
  <si>
    <t>Production Capacity (GWh/yr)</t>
  </si>
  <si>
    <t>NAATBatt Lithium-Ion Supply Chain Database (National Laboratory of the Rockies)</t>
  </si>
  <si>
    <t>Production capacity is obtained by filtering the NAATBatt Database for non-cancelled projects for the Electrode &amp; Cell Manufacturing supply chain segment. Facility production capacities are aggregated to the state level.</t>
  </si>
  <si>
    <t xml:space="preserve">Employment data was extracted from the USBLS QCEW Data Viewer for NAICS 325620: Toilet preparation manufacturing (private sector), averaged for the year 2025. Note that this information excludes states with suppressed employment and wages, so some states may be misrepresented as zero. Available employment figures cover &gt;98% of the US Total. </t>
  </si>
  <si>
    <t>Cosmetics and Personal Care Manufacturing Employment</t>
  </si>
  <si>
    <t>Road Salts Application</t>
  </si>
  <si>
    <t>Estimates of Road Salt Application across the Conterminous United States, 1992-2019 (U.S. Geological Survey)</t>
  </si>
  <si>
    <t>Estimated annual volume of road salt applied (pounds)</t>
  </si>
  <si>
    <t xml:space="preserve">Estimated volumes of road salts application were extracted from the USGS dataset listed above. Raster files were converted to the state resolution by summing the quantities that fall within each state's borders, and averaged from years 2016-2019 to account for significant variation in application due to climate. </t>
  </si>
  <si>
    <t>Rock Salt Distribution</t>
  </si>
  <si>
    <t>Rock Salt Distribution to Destination (kt)</t>
  </si>
  <si>
    <t>Minerals Yearbook 2023, Salt (U.S. Geological Survey)</t>
  </si>
  <si>
    <t>Values were extracted from Table 7 in USGS Minerals Yearbook 2023, Salt (2023 column).</t>
  </si>
  <si>
    <t>Glass Manufacturing Emissions</t>
  </si>
  <si>
    <t>Greenhouse Gas Emissions (metric tons CO2e)</t>
  </si>
  <si>
    <t>Greenhouse Gas Reporting Program (U.S. Environmental Protection Agency)</t>
  </si>
  <si>
    <t>Emissions data for glass production facilities were taken from EPA's GHGRP database. All reporting facilities were filtered to emitters in the Glass Production subsector under Subpart N: Glass Manufacturing. Facility level emissions for 2023 were aggregated to the state level. Note that only facilities with ≥25,000 metric tons of annual CO2e emissions report to GHGRP, and thus this dataset is only representative of large glass manufacturers.</t>
  </si>
  <si>
    <t>Alumina Refining Capacity</t>
  </si>
  <si>
    <t>Capacity (kt/year)</t>
  </si>
  <si>
    <t>USGS Minerals Yearbook 2022, Bauxite and Alumina</t>
  </si>
  <si>
    <t>Table 3 in USGS Minerals Yearbook 2022, Bauxite and Alumina reports two domestic alumina plants, both in the state of Louisiana.</t>
  </si>
  <si>
    <t>Share of U.S. Nitrogen Mineral Fertilizer Consumption for each state was extracted directly from the source. For states with a labeled share, the share was used directly. Unlabeled shares were rounded to 0.5% intervals between 0 and 2 using Claude Sonnet 5.</t>
  </si>
  <si>
    <t>Share of U.S. Potassium Mineral Fertilizer Consumption for each state was extracted directly from the source. For states with a labeled share, the share was used directly. Unlabeled shares were rounded to 1% intervals between 0 and 2 using Claude Sonnet 5.</t>
  </si>
  <si>
    <t>Share of Nitrogen Mineral Fertilizer Consumption</t>
  </si>
  <si>
    <t>Phosphoric Acid Manufacturing Facilities</t>
  </si>
  <si>
    <t>Phosphatic Fertilizer Manufacturing Facilities</t>
  </si>
  <si>
    <t>Phosphatic fertilizer manufacturing facility counts by state were extracted from an EPA ECHO Query under the Air Media Program (CAA). Facilities were filtered to only include active facilities relevant to MACT Subpart BB - Phosphate Fertilizers Production.</t>
  </si>
  <si>
    <t>Phosphoric acid manufacturing facility counts by state were extracted from an EPA ECHO Query under the Air Media Program (CAA). Facilities were filtered to only include active facilities relevant to MACT Subpart AA - Phosphoric Acid Manufacturing.</t>
  </si>
  <si>
    <t>Lime Manufacturing Facilities</t>
  </si>
  <si>
    <t>Pulp and Paper Manufacturing Facilities</t>
  </si>
  <si>
    <t>Lithium-Ion Battery Electrode &amp; Cell  Production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</si>
</sst>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0.00"/>
    <numFmt numFmtId="165" formatCode="&quot;$&quot;#,##0.000_);[Red]\(&quot;$&quot;#,##0.000\)"/>
    <numFmt numFmtId="166" formatCode="#,##0.0"/>
  </numFmts>
  <fonts count="11">
    <font>
      <sz val="12"/>
      <color theme="1"/>
      <name val="Aptos Narrow"/>
      <family val="2"/>
      <scheme val="minor"/>
    </font>
    <font>
      <sz val="12"/>
      <color theme="1"/>
      <name val="Aptos Narrow"/>
      <family val="2"/>
      <scheme val="minor"/>
    </font>
    <font>
      <b/>
      <sz val="20"/>
      <color theme="1"/>
      <name val="Aptos Narrow"/>
      <scheme val="minor"/>
    </font>
    <font>
      <sz val="20"/>
      <color theme="1"/>
      <name val="Aptos Narrow"/>
      <scheme val="minor"/>
    </font>
    <font>
      <b/>
      <sz val="12"/>
      <color theme="1"/>
      <name val="Aptos Narrow"/>
      <scheme val="minor"/>
    </font>
    <font>
      <u/>
      <sz val="12"/>
      <color theme="10"/>
      <name val="Aptos Narrow"/>
      <family val="2"/>
      <scheme val="minor"/>
    </font>
    <font>
      <b/>
      <sz val="12"/>
      <color rgb="FF333333"/>
      <name val="Inherit"/>
    </font>
    <font>
      <sz val="12"/>
      <color rgb="FF333333"/>
      <name val="Inherit"/>
    </font>
    <font>
      <sz val="8"/>
      <name val="Times"/>
      <family val="1"/>
    </font>
    <font>
      <sz val="12"/>
      <color rgb="FFFF0000"/>
      <name val="Aptos Narrow"/>
      <family val="2"/>
      <scheme val="minor"/>
    </font>
    <font>
      <sz val="10.8"/>
      <color rgb="FF202020"/>
      <name val="Tahoma"/>
      <family val="2"/>
    </font>
  </fonts>
  <fills count="4">
    <fill>
      <patternFill patternType="none"/>
    </fill>
    <fill>
      <patternFill patternType="gray125"/>
    </fill>
    <fill>
      <patternFill patternType="solid">
        <fgColor theme="6"/>
        <bgColor indexed="64"/>
      </patternFill>
    </fill>
    <fill>
      <patternFill patternType="solid">
        <fgColor theme="6"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5" fillId="0" borderId="0" applyNumberFormat="0" applyFill="0" applyBorder="0" applyAlignment="0" applyProtection="0"/>
    <xf numFmtId="0" fontId="8" fillId="0" borderId="0"/>
  </cellStyleXfs>
  <cellXfs count="39">
    <xf numFmtId="0" fontId="0" fillId="0" borderId="0" xfId="0"/>
    <xf numFmtId="0" fontId="0" fillId="2" borderId="0" xfId="0" applyFill="1"/>
    <xf numFmtId="0" fontId="2" fillId="0" borderId="0" xfId="0" applyFont="1"/>
    <xf numFmtId="0" fontId="3" fillId="0" borderId="0" xfId="0" applyFont="1"/>
    <xf numFmtId="0" fontId="4" fillId="3" borderId="1" xfId="0" applyFont="1" applyFill="1" applyBorder="1"/>
    <xf numFmtId="0" fontId="4" fillId="3" borderId="2" xfId="0" applyFont="1" applyFill="1" applyBorder="1" applyAlignment="1">
      <alignment wrapText="1"/>
    </xf>
    <xf numFmtId="0" fontId="4" fillId="3" borderId="2" xfId="0" applyFont="1" applyFill="1" applyBorder="1"/>
    <xf numFmtId="0" fontId="4" fillId="3" borderId="3" xfId="0" applyFont="1" applyFill="1" applyBorder="1"/>
    <xf numFmtId="0" fontId="0" fillId="0" borderId="4" xfId="0" applyBorder="1"/>
    <xf numFmtId="0" fontId="0" fillId="0" borderId="0" xfId="0" applyAlignment="1">
      <alignment wrapText="1"/>
    </xf>
    <xf numFmtId="9" fontId="0" fillId="0" borderId="5" xfId="1" applyFont="1" applyBorder="1"/>
    <xf numFmtId="0" fontId="4" fillId="0" borderId="6" xfId="0" applyFont="1" applyBorder="1"/>
    <xf numFmtId="0" fontId="4" fillId="0" borderId="7" xfId="0" applyFont="1" applyBorder="1" applyAlignment="1">
      <alignment wrapText="1"/>
    </xf>
    <xf numFmtId="0" fontId="0" fillId="0" borderId="7" xfId="0" applyBorder="1"/>
    <xf numFmtId="9" fontId="0" fillId="0" borderId="8" xfId="1" applyFont="1" applyBorder="1"/>
    <xf numFmtId="0" fontId="4" fillId="0" borderId="0" xfId="0" applyFont="1"/>
    <xf numFmtId="0" fontId="0" fillId="0" borderId="0" xfId="0" applyAlignment="1">
      <alignment horizontal="left" vertical="top" wrapText="1"/>
    </xf>
    <xf numFmtId="0" fontId="5" fillId="0" borderId="0" xfId="2"/>
    <xf numFmtId="3" fontId="0" fillId="0" borderId="0" xfId="0" applyNumberFormat="1"/>
    <xf numFmtId="6" fontId="0" fillId="0" borderId="0" xfId="0" applyNumberFormat="1"/>
    <xf numFmtId="9" fontId="0" fillId="0" borderId="0" xfId="0" applyNumberFormat="1"/>
    <xf numFmtId="0" fontId="6" fillId="0" borderId="0" xfId="0" applyFont="1"/>
    <xf numFmtId="0" fontId="7" fillId="0" borderId="0" xfId="0" applyFont="1"/>
    <xf numFmtId="4" fontId="7" fillId="0" borderId="0" xfId="0" applyNumberFormat="1" applyFont="1"/>
    <xf numFmtId="3" fontId="0" fillId="0" borderId="0" xfId="0" applyNumberFormat="1" applyAlignment="1">
      <alignment horizontal="left" vertical="top" wrapText="1"/>
    </xf>
    <xf numFmtId="6" fontId="0" fillId="0" borderId="0" xfId="0" applyNumberFormat="1" applyAlignment="1">
      <alignment horizontal="left" vertical="top" wrapText="1"/>
    </xf>
    <xf numFmtId="164" fontId="0" fillId="0" borderId="0" xfId="0" applyNumberFormat="1"/>
    <xf numFmtId="2" fontId="0" fillId="0" borderId="0" xfId="0" applyNumberFormat="1"/>
    <xf numFmtId="0" fontId="10" fillId="0" borderId="0" xfId="0" applyFont="1"/>
    <xf numFmtId="3" fontId="10" fillId="0" borderId="0" xfId="0" applyNumberFormat="1" applyFont="1"/>
    <xf numFmtId="6" fontId="10" fillId="0" borderId="0" xfId="0" applyNumberFormat="1" applyFont="1"/>
    <xf numFmtId="165" fontId="0" fillId="0" borderId="0" xfId="0" applyNumberFormat="1"/>
    <xf numFmtId="0" fontId="0" fillId="0" borderId="0" xfId="1" applyNumberFormat="1" applyFont="1" applyFill="1" applyBorder="1"/>
    <xf numFmtId="0" fontId="9" fillId="0" borderId="0" xfId="0" applyFont="1" applyAlignment="1">
      <alignment horizontal="left" vertical="top" wrapText="1"/>
    </xf>
    <xf numFmtId="11" fontId="0" fillId="0" borderId="0" xfId="0" applyNumberFormat="1"/>
    <xf numFmtId="2" fontId="0" fillId="0" borderId="0" xfId="0" applyNumberFormat="1" applyAlignment="1">
      <alignment horizontal="right" vertical="top" wrapText="1"/>
    </xf>
    <xf numFmtId="2" fontId="0" fillId="0" borderId="0" xfId="0" applyNumberFormat="1" applyAlignment="1">
      <alignment horizontal="right"/>
    </xf>
    <xf numFmtId="166" fontId="10" fillId="0" borderId="0" xfId="0" applyNumberFormat="1" applyFont="1"/>
    <xf numFmtId="0" fontId="0" fillId="0" borderId="0" xfId="0" applyAlignment="1">
      <alignment horizontal="left" vertical="top" wrapText="1"/>
    </xf>
  </cellXfs>
  <cellStyles count="4">
    <cellStyle name="Hyperlink" xfId="2" builtinId="8"/>
    <cellStyle name="Normal" xfId="0" builtinId="0"/>
    <cellStyle name="Normal 2" xfId="3" xr:uid="{5692694C-92A8-B249-8088-7E0D5E40E37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lime.org/find-a-lime-plant/?startrow=1&amp;categories&amp;pagenu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nviro.epa.gov/envirofacts/ghg/search"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p.com/about-us/locations" TargetMode="External"/><Relationship Id="rId2" Type="http://schemas.openxmlformats.org/officeDocument/2006/relationships/hyperlink" Target="https://www.goldbondbuilding.com/contact-us" TargetMode="External"/><Relationship Id="rId1" Type="http://schemas.openxmlformats.org/officeDocument/2006/relationships/hyperlink" Target="https://www.usg.com/en-US/about-usg/locations/manufacturing-plants" TargetMode="External"/><Relationship Id="rId6" Type="http://schemas.openxmlformats.org/officeDocument/2006/relationships/hyperlink" Target="https://www.certainteed.com/about-us/locations" TargetMode="External"/><Relationship Id="rId5" Type="http://schemas.openxmlformats.org/officeDocument/2006/relationships/hyperlink" Target="https://www.americangypsum.com/index.php/contact-us" TargetMode="External"/><Relationship Id="rId4" Type="http://schemas.openxmlformats.org/officeDocument/2006/relationships/hyperlink" Target="https://pabcogypsum.com/about/company-informati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cho.epa.gov/facilities/facility-searc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cho.epa.gov/facilities/facility-search/resul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lr.gov/transportation/li-ion-battery-supply-chain-database-onlin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bi.nlm.nih.gov/books/NBK597854/table/ch5.tab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echo.epa.gov/facilities/facility-search"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9-wret.s3.us-west-2.amazonaws.com/assets/palladium/production/s3fs-public/media/files/myb1-2023-nitro-ERT.xls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sciencebase.gov/catalog/item/get/5af3311be4b0da30c1b245d8"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sciencebase.gov/catalog/item/get/5af3311be4b0da30c1b245d8"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sdwis.epa.gov/ords/sfdw_pub/r/sfdw/cwns_pub/data-download?session=14314738639206"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9-wret.s3.us-west-2.amazonaws.com/assets/palladium/production/s3fs-public/media/files/myb1-2023-salt-ERT.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census.gov/construction/c30/historical_data.html"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eia.gov/petroleum/well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eia.gov/electricity/data/eia923/"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tfi.org/wp-content/uploads/2025/03/US-Mineral-Fertilizer-Consumption-by-State-1.pdf"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tfi.org/wp-content/uploads/2025/03/US-Mineral-Fertilizer-Consumption-by-State-1.pdf"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fsa.usda.gov/tools/informational/freedom-information-act-foia/electronic-reading-room/frequently-requested/crop-acreage-data"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d9-wret.s3.us-west-2.amazonaws.com/assets/palladium/production/s3fs-public/media/files/myb1-2017-mining-quarrying.xls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echo.epa.gov/facilities/facility-search"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data.bls.gov/cew/apps/data_views/data_views.htm"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sciencebase.gov/catalog/item/get/5b15a50ce4b092d9651e22b9"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pubs.usgs.gov/myb/vol1/2022/myb1-2022-bauxite-alumin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3CC38-A14F-8A4F-9F32-48E317C63637}">
  <dimension ref="A1:Z53"/>
  <sheetViews>
    <sheetView workbookViewId="0">
      <selection activeCell="M47" sqref="M47"/>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140</v>
      </c>
    </row>
    <row r="4" spans="1:26" ht="17">
      <c r="B4" s="4" t="s">
        <v>2</v>
      </c>
      <c r="C4" s="5" t="s">
        <v>3</v>
      </c>
      <c r="D4" s="6" t="s">
        <v>104</v>
      </c>
      <c r="E4" s="7" t="s">
        <v>5</v>
      </c>
      <c r="G4" s="15" t="s">
        <v>106</v>
      </c>
      <c r="H4" t="s">
        <v>141</v>
      </c>
    </row>
    <row r="5" spans="1:26" ht="17">
      <c r="B5" s="8" t="s">
        <v>6</v>
      </c>
      <c r="C5" s="9" t="s">
        <v>7</v>
      </c>
      <c r="D5">
        <v>2631</v>
      </c>
      <c r="E5" s="10">
        <f>D5/D$53</f>
        <v>3.0102974828375286E-2</v>
      </c>
      <c r="G5" s="15" t="s">
        <v>105</v>
      </c>
      <c r="H5" s="17" t="s">
        <v>142</v>
      </c>
    </row>
    <row r="6" spans="1:26" ht="17" customHeight="1">
      <c r="B6" s="8" t="s">
        <v>8</v>
      </c>
      <c r="C6" s="9" t="s">
        <v>9</v>
      </c>
      <c r="D6">
        <v>1518.5</v>
      </c>
      <c r="E6" s="10">
        <f t="shared" ref="E6:E53" si="0">D6/D$53</f>
        <v>1.7374141876430205E-2</v>
      </c>
      <c r="G6" s="15"/>
    </row>
    <row r="7" spans="1:26" ht="17" customHeight="1">
      <c r="B7" s="8" t="s">
        <v>10</v>
      </c>
      <c r="C7" s="9" t="s">
        <v>11</v>
      </c>
      <c r="D7">
        <v>1117</v>
      </c>
      <c r="E7" s="10">
        <f t="shared" si="0"/>
        <v>1.2780320366132723E-2</v>
      </c>
      <c r="G7" s="38" t="s">
        <v>143</v>
      </c>
      <c r="H7" s="38"/>
      <c r="I7" s="38"/>
      <c r="J7" s="38"/>
      <c r="K7" s="38"/>
      <c r="L7" s="38"/>
      <c r="M7" s="38"/>
    </row>
    <row r="8" spans="1:26" ht="17" customHeight="1">
      <c r="B8" s="8" t="s">
        <v>12</v>
      </c>
      <c r="C8" s="9" t="s">
        <v>13</v>
      </c>
      <c r="D8">
        <v>8940</v>
      </c>
      <c r="E8" s="10">
        <f t="shared" si="0"/>
        <v>0.1022883295194508</v>
      </c>
      <c r="G8" s="38"/>
      <c r="H8" s="38"/>
      <c r="I8" s="38"/>
      <c r="J8" s="38"/>
      <c r="K8" s="38"/>
      <c r="L8" s="38"/>
      <c r="M8" s="38"/>
    </row>
    <row r="9" spans="1:26" ht="17" customHeight="1">
      <c r="B9" s="8" t="s">
        <v>14</v>
      </c>
      <c r="C9" s="9" t="s">
        <v>15</v>
      </c>
      <c r="D9">
        <v>1405.5</v>
      </c>
      <c r="E9" s="10">
        <f t="shared" si="0"/>
        <v>1.6081235697940503E-2</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6371</v>
      </c>
      <c r="E12" s="10">
        <f t="shared" si="0"/>
        <v>7.2894736842105262E-2</v>
      </c>
      <c r="G12" s="38"/>
      <c r="H12" s="38"/>
      <c r="I12" s="38"/>
      <c r="J12" s="38"/>
      <c r="K12" s="38"/>
      <c r="L12" s="38"/>
      <c r="M12" s="38"/>
    </row>
    <row r="13" spans="1:26" ht="17" customHeight="1">
      <c r="B13" s="8" t="s">
        <v>22</v>
      </c>
      <c r="C13" s="9" t="s">
        <v>23</v>
      </c>
      <c r="D13">
        <v>1500</v>
      </c>
      <c r="E13" s="10">
        <f t="shared" si="0"/>
        <v>1.7162471395881007E-2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1329</v>
      </c>
      <c r="E15" s="10">
        <f t="shared" si="0"/>
        <v>1.5205949656750572E-2</v>
      </c>
      <c r="H15" s="16"/>
      <c r="I15" s="16"/>
      <c r="J15" s="16"/>
      <c r="K15" s="16"/>
      <c r="L15" s="16"/>
    </row>
    <row r="16" spans="1:26" ht="17">
      <c r="B16" s="8" t="s">
        <v>28</v>
      </c>
      <c r="C16" s="9" t="s">
        <v>29</v>
      </c>
      <c r="D16">
        <v>1921</v>
      </c>
      <c r="E16" s="10">
        <f t="shared" si="0"/>
        <v>2.1979405034324943E-2</v>
      </c>
      <c r="H16" s="16"/>
      <c r="I16" s="16"/>
      <c r="J16" s="16"/>
      <c r="K16" s="16"/>
      <c r="L16" s="16"/>
    </row>
    <row r="17" spans="2:5" ht="17">
      <c r="B17" s="8" t="s">
        <v>30</v>
      </c>
      <c r="C17" s="9" t="s">
        <v>31</v>
      </c>
      <c r="D17">
        <v>1196</v>
      </c>
      <c r="E17" s="10">
        <f t="shared" si="0"/>
        <v>1.368421052631579E-2</v>
      </c>
    </row>
    <row r="18" spans="2:5" ht="17">
      <c r="B18" s="8" t="s">
        <v>32</v>
      </c>
      <c r="C18" s="9" t="s">
        <v>33</v>
      </c>
      <c r="D18">
        <v>2778</v>
      </c>
      <c r="E18" s="10">
        <f t="shared" si="0"/>
        <v>3.1784897025171628E-2</v>
      </c>
    </row>
    <row r="19" spans="2:5" ht="17">
      <c r="B19" s="8" t="s">
        <v>34</v>
      </c>
      <c r="C19" s="9" t="s">
        <v>35</v>
      </c>
      <c r="D19">
        <v>2631</v>
      </c>
      <c r="E19" s="10">
        <f t="shared" si="0"/>
        <v>3.0102974828375286E-2</v>
      </c>
    </row>
    <row r="20" spans="2:5" ht="17">
      <c r="B20" s="8" t="s">
        <v>36</v>
      </c>
      <c r="C20" s="9" t="s">
        <v>37</v>
      </c>
      <c r="D20">
        <v>0</v>
      </c>
      <c r="E20" s="10">
        <f t="shared" si="0"/>
        <v>0</v>
      </c>
    </row>
    <row r="21" spans="2:5" ht="17">
      <c r="B21" s="8" t="s">
        <v>38</v>
      </c>
      <c r="C21" s="9" t="s">
        <v>39</v>
      </c>
      <c r="D21">
        <v>972</v>
      </c>
      <c r="E21" s="10">
        <f t="shared" si="0"/>
        <v>1.1121281464530893E-2</v>
      </c>
    </row>
    <row r="22" spans="2:5" ht="17">
      <c r="B22" s="8" t="s">
        <v>40</v>
      </c>
      <c r="C22" s="9" t="s">
        <v>41</v>
      </c>
      <c r="D22">
        <v>1500</v>
      </c>
      <c r="E22" s="10">
        <f t="shared" si="0"/>
        <v>1.7162471395881007E-2</v>
      </c>
    </row>
    <row r="23" spans="2:5" ht="17">
      <c r="B23" s="8" t="s">
        <v>42</v>
      </c>
      <c r="C23" s="9" t="s">
        <v>43</v>
      </c>
      <c r="D23">
        <v>0</v>
      </c>
      <c r="E23" s="10">
        <f t="shared" si="0"/>
        <v>0</v>
      </c>
    </row>
    <row r="24" spans="2:5" ht="17">
      <c r="B24" s="8" t="s">
        <v>44</v>
      </c>
      <c r="C24" s="9" t="s">
        <v>45</v>
      </c>
      <c r="D24">
        <v>0</v>
      </c>
      <c r="E24" s="10">
        <f t="shared" si="0"/>
        <v>0</v>
      </c>
    </row>
    <row r="25" spans="2:5" ht="17">
      <c r="B25" s="8" t="s">
        <v>46</v>
      </c>
      <c r="C25" s="9" t="s">
        <v>47</v>
      </c>
      <c r="D25">
        <v>0</v>
      </c>
      <c r="E25" s="10">
        <f t="shared" si="0"/>
        <v>0</v>
      </c>
    </row>
    <row r="26" spans="2:5" ht="17">
      <c r="B26" s="8" t="s">
        <v>48</v>
      </c>
      <c r="C26" s="9" t="s">
        <v>49</v>
      </c>
      <c r="D26">
        <v>0</v>
      </c>
      <c r="E26" s="10">
        <f t="shared" si="0"/>
        <v>0</v>
      </c>
    </row>
    <row r="27" spans="2:5" ht="17">
      <c r="B27" s="8" t="s">
        <v>50</v>
      </c>
      <c r="C27" s="9" t="s">
        <v>51</v>
      </c>
      <c r="D27">
        <v>9860</v>
      </c>
      <c r="E27" s="10">
        <f t="shared" si="0"/>
        <v>0.11281464530892449</v>
      </c>
    </row>
    <row r="28" spans="2:5" ht="17">
      <c r="B28" s="8" t="s">
        <v>52</v>
      </c>
      <c r="C28" s="9" t="s">
        <v>53</v>
      </c>
      <c r="D28">
        <v>816.66666666666663</v>
      </c>
      <c r="E28" s="10">
        <f t="shared" si="0"/>
        <v>9.3440122044241031E-3</v>
      </c>
    </row>
    <row r="29" spans="2:5" ht="17">
      <c r="B29" s="8" t="s">
        <v>54</v>
      </c>
      <c r="C29" s="9" t="s">
        <v>55</v>
      </c>
      <c r="D29">
        <v>1196</v>
      </c>
      <c r="E29" s="10">
        <f t="shared" si="0"/>
        <v>1.368421052631579E-2</v>
      </c>
    </row>
    <row r="30" spans="2:5" ht="17">
      <c r="B30" s="8" t="s">
        <v>56</v>
      </c>
      <c r="C30" s="9" t="s">
        <v>57</v>
      </c>
      <c r="D30">
        <v>816.66666666666663</v>
      </c>
      <c r="E30" s="10">
        <f t="shared" si="0"/>
        <v>9.3440122044241031E-3</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1518.5</v>
      </c>
      <c r="E33" s="10">
        <f t="shared" si="0"/>
        <v>1.7374141876430205E-2</v>
      </c>
    </row>
    <row r="34" spans="2:5" ht="17">
      <c r="B34" s="8" t="s">
        <v>64</v>
      </c>
      <c r="C34" s="9" t="s">
        <v>65</v>
      </c>
      <c r="D34">
        <v>972</v>
      </c>
      <c r="E34" s="10">
        <f t="shared" si="0"/>
        <v>1.1121281464530893E-2</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1921</v>
      </c>
      <c r="E37" s="10">
        <f t="shared" si="0"/>
        <v>2.1979405034324943E-2</v>
      </c>
    </row>
    <row r="38" spans="2:5" ht="17">
      <c r="B38" s="8" t="s">
        <v>72</v>
      </c>
      <c r="C38" s="9" t="s">
        <v>73</v>
      </c>
      <c r="D38">
        <v>1117</v>
      </c>
      <c r="E38" s="10">
        <f t="shared" si="0"/>
        <v>1.2780320366132723E-2</v>
      </c>
    </row>
    <row r="39" spans="2:5" ht="17">
      <c r="B39" s="8" t="s">
        <v>74</v>
      </c>
      <c r="C39" s="9" t="s">
        <v>75</v>
      </c>
      <c r="D39">
        <v>729</v>
      </c>
      <c r="E39" s="10">
        <f t="shared" si="0"/>
        <v>8.340961098398169E-3</v>
      </c>
    </row>
    <row r="40" spans="2:5" ht="17">
      <c r="B40" s="8" t="s">
        <v>76</v>
      </c>
      <c r="C40" s="9" t="s">
        <v>77</v>
      </c>
      <c r="D40">
        <v>3450</v>
      </c>
      <c r="E40" s="10">
        <f t="shared" si="0"/>
        <v>3.9473684210526314E-2</v>
      </c>
    </row>
    <row r="41" spans="2:5" ht="17">
      <c r="B41" s="8" t="s">
        <v>78</v>
      </c>
      <c r="C41" s="9" t="s">
        <v>79</v>
      </c>
      <c r="D41">
        <v>0</v>
      </c>
      <c r="E41" s="10">
        <f t="shared" si="0"/>
        <v>0</v>
      </c>
    </row>
    <row r="42" spans="2:5" ht="17">
      <c r="B42" s="8" t="s">
        <v>80</v>
      </c>
      <c r="C42" s="9" t="s">
        <v>81</v>
      </c>
      <c r="D42">
        <v>2931</v>
      </c>
      <c r="E42" s="10">
        <f t="shared" si="0"/>
        <v>3.3535469107551487E-2</v>
      </c>
    </row>
    <row r="43" spans="2:5" ht="17">
      <c r="B43" s="8" t="s">
        <v>82</v>
      </c>
      <c r="C43" s="9" t="s">
        <v>83</v>
      </c>
      <c r="D43">
        <v>1196</v>
      </c>
      <c r="E43" s="10">
        <f t="shared" si="0"/>
        <v>1.368421052631579E-2</v>
      </c>
    </row>
    <row r="44" spans="2:5" ht="17">
      <c r="B44" s="8" t="s">
        <v>84</v>
      </c>
      <c r="C44" s="9" t="s">
        <v>85</v>
      </c>
      <c r="D44">
        <v>2631</v>
      </c>
      <c r="E44" s="10">
        <f t="shared" si="0"/>
        <v>3.0102974828375286E-2</v>
      </c>
    </row>
    <row r="45" spans="2:5" ht="17">
      <c r="B45" s="8" t="s">
        <v>86</v>
      </c>
      <c r="C45" s="9" t="s">
        <v>87</v>
      </c>
      <c r="D45">
        <v>11740</v>
      </c>
      <c r="E45" s="10">
        <f t="shared" si="0"/>
        <v>0.13432494279176202</v>
      </c>
    </row>
    <row r="46" spans="2:5" ht="17">
      <c r="B46" s="8" t="s">
        <v>88</v>
      </c>
      <c r="C46" s="9" t="s">
        <v>89</v>
      </c>
      <c r="D46">
        <v>816.66666666666663</v>
      </c>
      <c r="E46" s="10">
        <f t="shared" si="0"/>
        <v>9.3440122044241031E-3</v>
      </c>
    </row>
    <row r="47" spans="2:5" ht="17">
      <c r="B47" s="8" t="s">
        <v>90</v>
      </c>
      <c r="C47" s="9" t="s">
        <v>91</v>
      </c>
      <c r="D47">
        <v>0</v>
      </c>
      <c r="E47" s="10">
        <f t="shared" si="0"/>
        <v>0</v>
      </c>
    </row>
    <row r="48" spans="2:5" ht="17">
      <c r="B48" s="8" t="s">
        <v>92</v>
      </c>
      <c r="C48" s="9" t="s">
        <v>93</v>
      </c>
      <c r="D48">
        <v>1500</v>
      </c>
      <c r="E48" s="10">
        <f t="shared" si="0"/>
        <v>1.7162471395881007E-2</v>
      </c>
    </row>
    <row r="49" spans="2:5" ht="17">
      <c r="B49" s="8" t="s">
        <v>94</v>
      </c>
      <c r="C49" s="9" t="s">
        <v>95</v>
      </c>
      <c r="D49">
        <v>729</v>
      </c>
      <c r="E49" s="10">
        <f t="shared" si="0"/>
        <v>8.340961098398169E-3</v>
      </c>
    </row>
    <row r="50" spans="2:5" ht="17">
      <c r="B50" s="8" t="s">
        <v>96</v>
      </c>
      <c r="C50" s="9" t="s">
        <v>97</v>
      </c>
      <c r="D50">
        <v>1500</v>
      </c>
      <c r="E50" s="10">
        <f t="shared" si="0"/>
        <v>1.7162471395881007E-2</v>
      </c>
    </row>
    <row r="51" spans="2:5" ht="17">
      <c r="B51" s="8" t="s">
        <v>98</v>
      </c>
      <c r="C51" s="9" t="s">
        <v>99</v>
      </c>
      <c r="D51">
        <v>0</v>
      </c>
      <c r="E51" s="10">
        <f t="shared" si="0"/>
        <v>0</v>
      </c>
    </row>
    <row r="52" spans="2:5" ht="17">
      <c r="B52" s="8" t="s">
        <v>100</v>
      </c>
      <c r="C52" s="9" t="s">
        <v>101</v>
      </c>
      <c r="D52">
        <v>1405.5</v>
      </c>
      <c r="E52" s="10">
        <f t="shared" si="0"/>
        <v>1.6081235697940503E-2</v>
      </c>
    </row>
    <row r="53" spans="2:5" ht="17">
      <c r="B53" s="11" t="s">
        <v>102</v>
      </c>
      <c r="C53" s="12" t="s">
        <v>103</v>
      </c>
      <c r="D53" s="13">
        <v>87400</v>
      </c>
      <c r="E53" s="14">
        <f t="shared" si="0"/>
        <v>1</v>
      </c>
    </row>
  </sheetData>
  <mergeCells count="1">
    <mergeCell ref="G7:M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CE24-A19A-C74A-931A-48C966CD886D}">
  <dimension ref="A1:Z70"/>
  <sheetViews>
    <sheetView workbookViewId="0">
      <selection activeCell="H19" sqref="H19"/>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217</v>
      </c>
    </row>
    <row r="4" spans="1:26" ht="17">
      <c r="B4" s="4" t="s">
        <v>2</v>
      </c>
      <c r="C4" s="5" t="s">
        <v>3</v>
      </c>
      <c r="D4" s="6" t="s">
        <v>104</v>
      </c>
      <c r="E4" s="7" t="s">
        <v>5</v>
      </c>
      <c r="G4" s="15" t="s">
        <v>106</v>
      </c>
      <c r="H4" t="s">
        <v>155</v>
      </c>
    </row>
    <row r="5" spans="1:26" ht="17">
      <c r="B5" s="8" t="s">
        <v>6</v>
      </c>
      <c r="C5" s="9" t="s">
        <v>7</v>
      </c>
      <c r="D5">
        <v>6</v>
      </c>
      <c r="E5" s="10">
        <f>D5/D$53</f>
        <v>0.13333333333333333</v>
      </c>
      <c r="G5" s="15" t="s">
        <v>105</v>
      </c>
      <c r="H5" s="17" t="s">
        <v>132</v>
      </c>
    </row>
    <row r="6" spans="1:26" ht="17" customHeight="1">
      <c r="B6" s="8" t="s">
        <v>8</v>
      </c>
      <c r="C6" s="9" t="s">
        <v>9</v>
      </c>
      <c r="D6">
        <v>1</v>
      </c>
      <c r="E6" s="10">
        <f t="shared" ref="E6:E53" si="0">D6/D$53</f>
        <v>2.2222222222222223E-2</v>
      </c>
      <c r="G6" s="15"/>
    </row>
    <row r="7" spans="1:26" ht="17" customHeight="1">
      <c r="B7" s="8" t="s">
        <v>10</v>
      </c>
      <c r="C7" s="9" t="s">
        <v>11</v>
      </c>
      <c r="D7">
        <v>1</v>
      </c>
      <c r="E7" s="10">
        <f t="shared" si="0"/>
        <v>2.2222222222222223E-2</v>
      </c>
      <c r="G7" s="38" t="s">
        <v>133</v>
      </c>
      <c r="H7" s="38"/>
      <c r="I7" s="38"/>
      <c r="J7" s="38"/>
      <c r="K7" s="38"/>
      <c r="L7" s="38"/>
      <c r="M7" s="38"/>
    </row>
    <row r="8" spans="1:26" ht="17" customHeight="1">
      <c r="B8" s="8" t="s">
        <v>12</v>
      </c>
      <c r="C8" s="9" t="s">
        <v>13</v>
      </c>
      <c r="D8">
        <v>1</v>
      </c>
      <c r="E8" s="10">
        <f t="shared" si="0"/>
        <v>2.2222222222222223E-2</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0</v>
      </c>
      <c r="E12" s="10">
        <f t="shared" si="0"/>
        <v>0</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24"/>
      <c r="I15" s="24"/>
      <c r="J15" s="25"/>
      <c r="K15" s="25"/>
      <c r="L15" s="25"/>
    </row>
    <row r="16" spans="1:26" ht="17">
      <c r="B16" s="8" t="s">
        <v>28</v>
      </c>
      <c r="C16" s="9" t="s">
        <v>29</v>
      </c>
      <c r="D16">
        <v>1</v>
      </c>
      <c r="E16" s="10">
        <f t="shared" si="0"/>
        <v>2.2222222222222223E-2</v>
      </c>
      <c r="H16" s="16"/>
      <c r="I16" s="24"/>
      <c r="J16" s="24"/>
      <c r="K16" s="24"/>
      <c r="L16" s="24"/>
    </row>
    <row r="17" spans="2:12" ht="17">
      <c r="B17" s="8" t="s">
        <v>30</v>
      </c>
      <c r="C17" s="9" t="s">
        <v>31</v>
      </c>
      <c r="D17">
        <v>1</v>
      </c>
      <c r="E17" s="10">
        <f t="shared" si="0"/>
        <v>2.2222222222222223E-2</v>
      </c>
      <c r="H17" s="16"/>
      <c r="J17" s="18"/>
      <c r="K17" s="18"/>
      <c r="L17" s="18"/>
    </row>
    <row r="18" spans="2:12" ht="17">
      <c r="B18" s="8" t="s">
        <v>32</v>
      </c>
      <c r="C18" s="9" t="s">
        <v>33</v>
      </c>
      <c r="D18">
        <v>0</v>
      </c>
      <c r="E18" s="10">
        <f t="shared" si="0"/>
        <v>0</v>
      </c>
      <c r="G18" s="20"/>
      <c r="H18" s="18"/>
      <c r="I18" s="18"/>
      <c r="J18" s="19"/>
      <c r="K18" s="19"/>
      <c r="L18" s="19"/>
    </row>
    <row r="19" spans="2:12" ht="17">
      <c r="B19" s="8" t="s">
        <v>34</v>
      </c>
      <c r="C19" s="9" t="s">
        <v>35</v>
      </c>
      <c r="D19">
        <v>3</v>
      </c>
      <c r="E19" s="10">
        <f t="shared" si="0"/>
        <v>6.6666666666666666E-2</v>
      </c>
      <c r="H19" s="18"/>
      <c r="I19" s="18"/>
      <c r="J19" s="18"/>
      <c r="K19" s="18"/>
      <c r="L19" s="18"/>
    </row>
    <row r="20" spans="2:12" ht="17">
      <c r="B20" s="8" t="s">
        <v>36</v>
      </c>
      <c r="C20" s="9" t="s">
        <v>37</v>
      </c>
      <c r="D20">
        <v>0</v>
      </c>
      <c r="E20" s="10">
        <f t="shared" si="0"/>
        <v>0</v>
      </c>
      <c r="J20" s="18"/>
      <c r="K20" s="18"/>
      <c r="L20" s="18"/>
    </row>
    <row r="21" spans="2:12" ht="17">
      <c r="B21" s="8" t="s">
        <v>38</v>
      </c>
      <c r="C21" s="9" t="s">
        <v>39</v>
      </c>
      <c r="D21">
        <v>0</v>
      </c>
      <c r="E21" s="10">
        <f t="shared" si="0"/>
        <v>0</v>
      </c>
      <c r="H21" s="18"/>
      <c r="J21" s="18"/>
      <c r="K21" s="18"/>
      <c r="L21" s="18"/>
    </row>
    <row r="22" spans="2:12" ht="17">
      <c r="B22" s="8" t="s">
        <v>40</v>
      </c>
      <c r="C22" s="9" t="s">
        <v>41</v>
      </c>
      <c r="D22">
        <v>0</v>
      </c>
      <c r="E22" s="10">
        <f t="shared" si="0"/>
        <v>0</v>
      </c>
      <c r="H22" s="18"/>
      <c r="J22" s="18"/>
      <c r="K22" s="18"/>
      <c r="L22" s="18"/>
    </row>
    <row r="23" spans="2:12" ht="17">
      <c r="B23" s="8" t="s">
        <v>42</v>
      </c>
      <c r="C23" s="9" t="s">
        <v>43</v>
      </c>
      <c r="D23">
        <v>0</v>
      </c>
      <c r="E23" s="10">
        <f t="shared" si="0"/>
        <v>0</v>
      </c>
      <c r="H23" s="18"/>
      <c r="I23" s="18"/>
      <c r="J23" s="18"/>
      <c r="K23" s="18"/>
      <c r="L23" s="18"/>
    </row>
    <row r="24" spans="2:12" ht="17">
      <c r="B24" s="8" t="s">
        <v>44</v>
      </c>
      <c r="C24" s="9" t="s">
        <v>45</v>
      </c>
      <c r="D24">
        <v>2</v>
      </c>
      <c r="E24" s="10">
        <f t="shared" si="0"/>
        <v>4.4444444444444446E-2</v>
      </c>
      <c r="H24" s="18"/>
      <c r="J24" s="18"/>
      <c r="K24" s="18"/>
      <c r="L24" s="18"/>
    </row>
    <row r="25" spans="2:12" ht="17">
      <c r="B25" s="8" t="s">
        <v>46</v>
      </c>
      <c r="C25" s="9" t="s">
        <v>47</v>
      </c>
      <c r="D25">
        <v>0</v>
      </c>
      <c r="E25" s="10">
        <f t="shared" si="0"/>
        <v>0</v>
      </c>
      <c r="H25" s="18"/>
      <c r="I25" s="18"/>
      <c r="J25" s="18"/>
      <c r="K25" s="18"/>
      <c r="L25" s="18"/>
    </row>
    <row r="26" spans="2:12" ht="17">
      <c r="B26" s="8" t="s">
        <v>48</v>
      </c>
      <c r="C26" s="9" t="s">
        <v>49</v>
      </c>
      <c r="D26">
        <v>0</v>
      </c>
      <c r="E26" s="10">
        <f t="shared" si="0"/>
        <v>0</v>
      </c>
      <c r="H26" s="18"/>
      <c r="I26" s="18"/>
      <c r="J26" s="18"/>
      <c r="K26" s="18"/>
      <c r="L26" s="18"/>
    </row>
    <row r="27" spans="2:12" ht="17">
      <c r="B27" s="8" t="s">
        <v>50</v>
      </c>
      <c r="C27" s="9" t="s">
        <v>51</v>
      </c>
      <c r="D27">
        <v>3</v>
      </c>
      <c r="E27" s="10">
        <f t="shared" si="0"/>
        <v>6.6666666666666666E-2</v>
      </c>
      <c r="H27" s="18"/>
      <c r="I27" s="18"/>
      <c r="J27" s="18"/>
      <c r="K27" s="18"/>
      <c r="L27" s="18"/>
    </row>
    <row r="28" spans="2:12" ht="17">
      <c r="B28" s="8" t="s">
        <v>52</v>
      </c>
      <c r="C28" s="9" t="s">
        <v>53</v>
      </c>
      <c r="D28">
        <v>1</v>
      </c>
      <c r="E28" s="10">
        <f t="shared" si="0"/>
        <v>2.2222222222222223E-2</v>
      </c>
      <c r="H28" s="18"/>
      <c r="J28" s="18"/>
      <c r="K28" s="18"/>
      <c r="L28" s="18"/>
    </row>
    <row r="29" spans="2:12" ht="17">
      <c r="B29" s="8" t="s">
        <v>54</v>
      </c>
      <c r="C29" s="9" t="s">
        <v>55</v>
      </c>
      <c r="D29">
        <v>0</v>
      </c>
      <c r="E29" s="10">
        <f t="shared" si="0"/>
        <v>0</v>
      </c>
      <c r="H29" s="18"/>
      <c r="I29" s="18"/>
      <c r="J29" s="18"/>
      <c r="K29" s="18"/>
      <c r="L29" s="18"/>
    </row>
    <row r="30" spans="2:12" ht="17">
      <c r="B30" s="8" t="s">
        <v>56</v>
      </c>
      <c r="C30" s="9" t="s">
        <v>57</v>
      </c>
      <c r="D30">
        <v>2</v>
      </c>
      <c r="E30" s="10">
        <f t="shared" si="0"/>
        <v>4.4444444444444446E-2</v>
      </c>
      <c r="H30" s="18"/>
      <c r="J30" s="18"/>
      <c r="K30" s="18"/>
      <c r="L30" s="18"/>
    </row>
    <row r="31" spans="2:12" ht="17">
      <c r="B31" s="8" t="s">
        <v>58</v>
      </c>
      <c r="C31" s="9" t="s">
        <v>59</v>
      </c>
      <c r="D31">
        <v>0</v>
      </c>
      <c r="E31" s="10">
        <f t="shared" si="0"/>
        <v>0</v>
      </c>
      <c r="H31" s="18"/>
      <c r="J31" s="18"/>
      <c r="K31" s="18"/>
      <c r="L31" s="18"/>
    </row>
    <row r="32" spans="2:12" ht="17">
      <c r="B32" s="8" t="s">
        <v>60</v>
      </c>
      <c r="C32" s="9" t="s">
        <v>61</v>
      </c>
      <c r="D32">
        <v>0</v>
      </c>
      <c r="E32" s="10">
        <f t="shared" si="0"/>
        <v>0</v>
      </c>
      <c r="H32" s="18"/>
      <c r="J32" s="18"/>
      <c r="K32" s="18"/>
      <c r="L32" s="18"/>
    </row>
    <row r="33" spans="2:12" ht="17">
      <c r="B33" s="8" t="s">
        <v>62</v>
      </c>
      <c r="C33" s="9" t="s">
        <v>63</v>
      </c>
      <c r="D33">
        <v>0</v>
      </c>
      <c r="E33" s="10">
        <f t="shared" si="0"/>
        <v>0</v>
      </c>
      <c r="H33" s="18"/>
      <c r="I33" s="18"/>
      <c r="J33" s="18"/>
      <c r="K33" s="18"/>
      <c r="L33" s="18"/>
    </row>
    <row r="34" spans="2:12" ht="17">
      <c r="B34" s="8" t="s">
        <v>64</v>
      </c>
      <c r="C34" s="9" t="s">
        <v>65</v>
      </c>
      <c r="D34">
        <v>0</v>
      </c>
      <c r="E34" s="10">
        <f t="shared" si="0"/>
        <v>0</v>
      </c>
      <c r="H34" s="18"/>
      <c r="J34" s="18"/>
      <c r="K34" s="18"/>
      <c r="L34" s="18"/>
    </row>
    <row r="35" spans="2:12" ht="17">
      <c r="B35" s="8" t="s">
        <v>66</v>
      </c>
      <c r="C35" s="9" t="s">
        <v>67</v>
      </c>
      <c r="D35">
        <v>0</v>
      </c>
      <c r="E35" s="10">
        <f t="shared" si="0"/>
        <v>0</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4</v>
      </c>
      <c r="E37" s="10">
        <f t="shared" si="0"/>
        <v>8.8888888888888892E-2</v>
      </c>
      <c r="H37" s="18"/>
      <c r="I37" s="18"/>
      <c r="J37" s="18"/>
      <c r="K37" s="18"/>
      <c r="L37" s="18"/>
    </row>
    <row r="38" spans="2:12" ht="17">
      <c r="B38" s="8" t="s">
        <v>72</v>
      </c>
      <c r="C38" s="9" t="s">
        <v>73</v>
      </c>
      <c r="D38">
        <v>1</v>
      </c>
      <c r="E38" s="10">
        <f t="shared" si="0"/>
        <v>2.2222222222222223E-2</v>
      </c>
      <c r="H38" s="18"/>
      <c r="I38" s="18"/>
      <c r="J38" s="18"/>
      <c r="K38" s="18"/>
      <c r="L38" s="18"/>
    </row>
    <row r="39" spans="2:12" ht="17">
      <c r="B39" s="8" t="s">
        <v>74</v>
      </c>
      <c r="C39" s="9" t="s">
        <v>75</v>
      </c>
      <c r="D39">
        <v>0</v>
      </c>
      <c r="E39" s="10">
        <f t="shared" si="0"/>
        <v>0</v>
      </c>
      <c r="H39" s="18"/>
      <c r="I39" s="18"/>
      <c r="J39" s="18"/>
      <c r="K39" s="18"/>
      <c r="L39" s="18"/>
    </row>
    <row r="40" spans="2:12" ht="17">
      <c r="B40" s="8" t="s">
        <v>76</v>
      </c>
      <c r="C40" s="9" t="s">
        <v>77</v>
      </c>
      <c r="D40">
        <v>2</v>
      </c>
      <c r="E40" s="10">
        <f t="shared" si="0"/>
        <v>4.4444444444444446E-2</v>
      </c>
      <c r="H40" s="18"/>
      <c r="I40" s="18"/>
      <c r="J40" s="18"/>
      <c r="K40" s="18"/>
      <c r="L40" s="18"/>
    </row>
    <row r="41" spans="2:12" ht="17">
      <c r="B41" s="8" t="s">
        <v>78</v>
      </c>
      <c r="C41" s="9" t="s">
        <v>79</v>
      </c>
      <c r="D41">
        <v>0</v>
      </c>
      <c r="E41" s="10">
        <f t="shared" si="0"/>
        <v>0</v>
      </c>
      <c r="H41" s="18"/>
      <c r="J41" s="18"/>
      <c r="K41" s="18"/>
      <c r="L41" s="18"/>
    </row>
    <row r="42" spans="2:12" ht="17">
      <c r="B42" s="8" t="s">
        <v>80</v>
      </c>
      <c r="C42" s="9" t="s">
        <v>81</v>
      </c>
      <c r="D42">
        <v>0</v>
      </c>
      <c r="E42" s="10">
        <f t="shared" si="0"/>
        <v>0</v>
      </c>
      <c r="H42" s="18"/>
      <c r="J42" s="18"/>
      <c r="K42" s="18"/>
      <c r="L42" s="18"/>
    </row>
    <row r="43" spans="2:12" ht="17">
      <c r="B43" s="8" t="s">
        <v>82</v>
      </c>
      <c r="C43" s="9" t="s">
        <v>83</v>
      </c>
      <c r="D43">
        <v>1</v>
      </c>
      <c r="E43" s="10">
        <f t="shared" si="0"/>
        <v>2.2222222222222223E-2</v>
      </c>
      <c r="H43" s="18"/>
      <c r="I43" s="18"/>
      <c r="J43" s="18"/>
      <c r="K43" s="18"/>
      <c r="L43" s="18"/>
    </row>
    <row r="44" spans="2:12" ht="17">
      <c r="B44" s="8" t="s">
        <v>84</v>
      </c>
      <c r="C44" s="9" t="s">
        <v>85</v>
      </c>
      <c r="D44">
        <v>1</v>
      </c>
      <c r="E44" s="10">
        <f t="shared" si="0"/>
        <v>2.2222222222222223E-2</v>
      </c>
      <c r="H44" s="18"/>
      <c r="J44" s="18"/>
      <c r="K44" s="18"/>
      <c r="L44" s="18"/>
    </row>
    <row r="45" spans="2:12" ht="17">
      <c r="B45" s="8" t="s">
        <v>86</v>
      </c>
      <c r="C45" s="9" t="s">
        <v>87</v>
      </c>
      <c r="D45">
        <v>4</v>
      </c>
      <c r="E45" s="10">
        <f t="shared" si="0"/>
        <v>8.8888888888888892E-2</v>
      </c>
      <c r="H45" s="18"/>
      <c r="J45" s="18"/>
      <c r="K45" s="18"/>
      <c r="L45" s="18"/>
    </row>
    <row r="46" spans="2:12" ht="17">
      <c r="B46" s="8" t="s">
        <v>88</v>
      </c>
      <c r="C46" s="9" t="s">
        <v>89</v>
      </c>
      <c r="D46">
        <v>1</v>
      </c>
      <c r="E46" s="10">
        <f t="shared" si="0"/>
        <v>2.2222222222222223E-2</v>
      </c>
      <c r="H46" s="18"/>
      <c r="I46" s="18"/>
      <c r="J46" s="18"/>
      <c r="K46" s="18"/>
      <c r="L46" s="18"/>
    </row>
    <row r="47" spans="2:12" ht="17">
      <c r="B47" s="8" t="s">
        <v>90</v>
      </c>
      <c r="C47" s="9" t="s">
        <v>91</v>
      </c>
      <c r="D47">
        <v>0</v>
      </c>
      <c r="E47" s="10">
        <f t="shared" si="0"/>
        <v>0</v>
      </c>
      <c r="H47" s="18"/>
      <c r="J47" s="18"/>
      <c r="K47" s="18"/>
      <c r="L47" s="18"/>
    </row>
    <row r="48" spans="2:12" ht="17">
      <c r="B48" s="8" t="s">
        <v>92</v>
      </c>
      <c r="C48" s="9" t="s">
        <v>93</v>
      </c>
      <c r="D48">
        <v>2</v>
      </c>
      <c r="E48" s="10">
        <f t="shared" si="0"/>
        <v>4.4444444444444446E-2</v>
      </c>
      <c r="H48" s="18"/>
      <c r="I48" s="18"/>
      <c r="J48" s="18"/>
      <c r="K48" s="18"/>
      <c r="L48" s="18"/>
    </row>
    <row r="49" spans="2:12" ht="17">
      <c r="B49" s="8" t="s">
        <v>94</v>
      </c>
      <c r="C49" s="9" t="s">
        <v>95</v>
      </c>
      <c r="D49">
        <v>0</v>
      </c>
      <c r="E49" s="10">
        <f t="shared" si="0"/>
        <v>0</v>
      </c>
      <c r="H49" s="18"/>
      <c r="J49" s="18"/>
      <c r="K49" s="18"/>
      <c r="L49" s="18"/>
    </row>
    <row r="50" spans="2:12" ht="17">
      <c r="B50" s="8" t="s">
        <v>96</v>
      </c>
      <c r="C50" s="9" t="s">
        <v>97</v>
      </c>
      <c r="D50">
        <v>1</v>
      </c>
      <c r="E50" s="10">
        <f t="shared" si="0"/>
        <v>2.2222222222222223E-2</v>
      </c>
      <c r="H50" s="18"/>
      <c r="J50" s="18"/>
      <c r="K50" s="18"/>
      <c r="L50" s="18"/>
    </row>
    <row r="51" spans="2:12" ht="17">
      <c r="B51" s="8" t="s">
        <v>98</v>
      </c>
      <c r="C51" s="9" t="s">
        <v>99</v>
      </c>
      <c r="D51">
        <v>4</v>
      </c>
      <c r="E51" s="10">
        <f t="shared" si="0"/>
        <v>8.8888888888888892E-2</v>
      </c>
      <c r="H51" s="18"/>
      <c r="I51" s="18"/>
      <c r="J51" s="18"/>
      <c r="K51" s="18"/>
      <c r="L51" s="18"/>
    </row>
    <row r="52" spans="2:12" ht="17">
      <c r="B52" s="8" t="s">
        <v>100</v>
      </c>
      <c r="C52" s="9" t="s">
        <v>101</v>
      </c>
      <c r="D52">
        <v>2</v>
      </c>
      <c r="E52" s="10">
        <f t="shared" si="0"/>
        <v>4.4444444444444446E-2</v>
      </c>
      <c r="H52" s="18"/>
      <c r="J52" s="18"/>
      <c r="K52" s="18"/>
      <c r="L52" s="18"/>
    </row>
    <row r="53" spans="2:12" ht="17">
      <c r="B53" s="11" t="s">
        <v>102</v>
      </c>
      <c r="C53" s="12" t="s">
        <v>103</v>
      </c>
      <c r="D53" s="13">
        <v>45</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xr:uid="{BD0E2E09-851D-A440-BD7C-1717820E100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31F0B-8FC2-9048-A0A7-09B75E330FE8}">
  <dimension ref="A1:Z55"/>
  <sheetViews>
    <sheetView workbookViewId="0">
      <selection activeCell="K29" sqref="K2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202</v>
      </c>
    </row>
    <row r="4" spans="1:26" ht="17">
      <c r="B4" s="4" t="s">
        <v>2</v>
      </c>
      <c r="C4" s="5" t="s">
        <v>3</v>
      </c>
      <c r="D4" s="6" t="s">
        <v>104</v>
      </c>
      <c r="E4" s="7" t="s">
        <v>5</v>
      </c>
      <c r="G4" s="15" t="s">
        <v>106</v>
      </c>
      <c r="H4" t="s">
        <v>203</v>
      </c>
    </row>
    <row r="5" spans="1:26" ht="17">
      <c r="B5" s="8" t="s">
        <v>6</v>
      </c>
      <c r="C5" s="9" t="s">
        <v>7</v>
      </c>
      <c r="D5">
        <v>99381</v>
      </c>
      <c r="E5" s="10">
        <f>D5/D$53</f>
        <v>1.3630492825547494E-2</v>
      </c>
      <c r="G5" s="15" t="s">
        <v>105</v>
      </c>
      <c r="H5" s="17" t="s">
        <v>204</v>
      </c>
    </row>
    <row r="6" spans="1:26" ht="17" customHeight="1">
      <c r="B6" s="8" t="s">
        <v>8</v>
      </c>
      <c r="C6" s="9" t="s">
        <v>9</v>
      </c>
      <c r="D6">
        <v>0</v>
      </c>
      <c r="E6" s="10">
        <f t="shared" ref="E6:E53" si="0">D6/D$53</f>
        <v>0</v>
      </c>
      <c r="G6" s="15"/>
    </row>
    <row r="7" spans="1:26" ht="17" customHeight="1">
      <c r="B7" s="8" t="s">
        <v>10</v>
      </c>
      <c r="C7" s="9" t="s">
        <v>11</v>
      </c>
      <c r="D7">
        <v>34016</v>
      </c>
      <c r="E7" s="10">
        <f t="shared" si="0"/>
        <v>4.6654274353631333E-3</v>
      </c>
      <c r="G7" s="38" t="s">
        <v>205</v>
      </c>
      <c r="H7" s="38"/>
      <c r="I7" s="38"/>
      <c r="J7" s="38"/>
      <c r="K7" s="38"/>
      <c r="L7" s="38"/>
      <c r="M7" s="38"/>
    </row>
    <row r="8" spans="1:26" ht="17" customHeight="1">
      <c r="B8" s="8" t="s">
        <v>12</v>
      </c>
      <c r="C8" s="9" t="s">
        <v>13</v>
      </c>
      <c r="D8">
        <v>626704</v>
      </c>
      <c r="E8" s="10">
        <f t="shared" si="0"/>
        <v>8.5954904616998395E-2</v>
      </c>
      <c r="G8" s="38"/>
      <c r="H8" s="38"/>
      <c r="I8" s="38"/>
      <c r="J8" s="38"/>
      <c r="K8" s="38"/>
      <c r="L8" s="38"/>
      <c r="M8" s="38"/>
    </row>
    <row r="9" spans="1:26" ht="17" customHeight="1">
      <c r="B9" s="8" t="s">
        <v>14</v>
      </c>
      <c r="C9" s="9" t="s">
        <v>15</v>
      </c>
      <c r="D9">
        <v>176679</v>
      </c>
      <c r="E9" s="10">
        <f t="shared" si="0"/>
        <v>2.4232215835269376E-2</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34644</v>
      </c>
      <c r="E12" s="10">
        <f t="shared" si="0"/>
        <v>4.751560091448742E-3</v>
      </c>
      <c r="G12" s="38"/>
      <c r="H12" s="38"/>
      <c r="I12" s="38"/>
      <c r="J12" s="38"/>
      <c r="K12" s="38"/>
      <c r="L12" s="38"/>
      <c r="M12" s="38"/>
    </row>
    <row r="13" spans="1:26" ht="17" customHeight="1">
      <c r="B13" s="8" t="s">
        <v>22</v>
      </c>
      <c r="C13" s="9" t="s">
        <v>23</v>
      </c>
      <c r="D13">
        <v>140404</v>
      </c>
      <c r="E13" s="10">
        <f t="shared" si="0"/>
        <v>1.9256957715037788E-2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409869</v>
      </c>
      <c r="E15" s="10">
        <f t="shared" si="0"/>
        <v>5.6215136333044806E-2</v>
      </c>
      <c r="H15" s="16"/>
      <c r="I15" s="16"/>
      <c r="J15" s="16"/>
      <c r="K15" s="16"/>
      <c r="L15" s="16"/>
    </row>
    <row r="16" spans="1:26" ht="17">
      <c r="B16" s="8" t="s">
        <v>28</v>
      </c>
      <c r="C16" s="9" t="s">
        <v>29</v>
      </c>
      <c r="D16">
        <v>376729</v>
      </c>
      <c r="E16" s="10">
        <f t="shared" si="0"/>
        <v>5.1669855723686438E-2</v>
      </c>
      <c r="H16" s="16"/>
      <c r="I16" s="16"/>
      <c r="J16" s="16"/>
      <c r="K16" s="16"/>
      <c r="L16" s="16"/>
    </row>
    <row r="17" spans="2:16" ht="17">
      <c r="B17" s="8" t="s">
        <v>30</v>
      </c>
      <c r="C17" s="9" t="s">
        <v>31</v>
      </c>
      <c r="D17">
        <v>98146</v>
      </c>
      <c r="E17" s="10">
        <f t="shared" si="0"/>
        <v>1.346110774550653E-2</v>
      </c>
      <c r="H17" s="18"/>
      <c r="I17" s="18"/>
      <c r="J17" s="19"/>
      <c r="K17" s="19"/>
      <c r="L17" s="19"/>
    </row>
    <row r="18" spans="2:16" ht="17">
      <c r="B18" s="8" t="s">
        <v>32</v>
      </c>
      <c r="C18" s="9" t="s">
        <v>33</v>
      </c>
      <c r="D18">
        <v>260554</v>
      </c>
      <c r="E18" s="10">
        <f t="shared" si="0"/>
        <v>3.573600011740375E-2</v>
      </c>
      <c r="I18" s="18"/>
      <c r="J18" s="18"/>
      <c r="K18" s="18"/>
      <c r="L18" s="18"/>
    </row>
    <row r="19" spans="2:16" ht="17">
      <c r="B19" s="8" t="s">
        <v>34</v>
      </c>
      <c r="C19" s="9" t="s">
        <v>35</v>
      </c>
      <c r="D19">
        <v>90786</v>
      </c>
      <c r="E19" s="10">
        <f t="shared" si="0"/>
        <v>1.2451654960808956E-2</v>
      </c>
      <c r="J19" s="18"/>
      <c r="K19" s="18"/>
      <c r="L19" s="18"/>
    </row>
    <row r="20" spans="2:16" ht="17">
      <c r="B20" s="8" t="s">
        <v>36</v>
      </c>
      <c r="C20" s="9" t="s">
        <v>37</v>
      </c>
      <c r="D20">
        <v>22865</v>
      </c>
      <c r="E20" s="10">
        <f t="shared" si="0"/>
        <v>3.1360241741997309E-3</v>
      </c>
      <c r="I20" s="28"/>
      <c r="J20" s="29"/>
      <c r="K20" s="29"/>
      <c r="L20" s="30"/>
      <c r="M20" s="30"/>
      <c r="N20" s="30"/>
      <c r="O20" s="28"/>
      <c r="P20" s="28"/>
    </row>
    <row r="21" spans="2:16" ht="17">
      <c r="B21" s="8" t="s">
        <v>38</v>
      </c>
      <c r="C21" s="9" t="s">
        <v>39</v>
      </c>
      <c r="D21">
        <v>0</v>
      </c>
      <c r="E21" s="10">
        <f t="shared" si="0"/>
        <v>0</v>
      </c>
      <c r="I21" s="29"/>
      <c r="J21" s="29"/>
      <c r="K21" s="29"/>
      <c r="L21" s="29"/>
      <c r="M21" s="29"/>
      <c r="N21" s="29"/>
      <c r="O21" s="28"/>
      <c r="P21" s="28"/>
    </row>
    <row r="22" spans="2:16" ht="17">
      <c r="B22" s="8" t="s">
        <v>40</v>
      </c>
      <c r="C22" s="9" t="s">
        <v>41</v>
      </c>
      <c r="D22">
        <v>0</v>
      </c>
      <c r="E22" s="10">
        <f t="shared" si="0"/>
        <v>0</v>
      </c>
      <c r="I22" s="28"/>
      <c r="J22" s="29"/>
      <c r="K22" s="29"/>
      <c r="L22" s="29"/>
      <c r="M22" s="29"/>
      <c r="N22" s="29"/>
      <c r="O22" s="28"/>
      <c r="P22" s="28"/>
    </row>
    <row r="23" spans="2:16" ht="17">
      <c r="B23" s="8" t="s">
        <v>42</v>
      </c>
      <c r="C23" s="9" t="s">
        <v>43</v>
      </c>
      <c r="D23">
        <v>0</v>
      </c>
      <c r="E23" s="10">
        <f t="shared" si="0"/>
        <v>0</v>
      </c>
      <c r="I23" s="28"/>
      <c r="J23" s="29"/>
      <c r="K23" s="28"/>
      <c r="L23" s="29"/>
      <c r="M23" s="29"/>
      <c r="N23" s="29"/>
      <c r="O23" s="28"/>
      <c r="P23" s="28"/>
    </row>
    <row r="24" spans="2:16" ht="17">
      <c r="B24" s="8" t="s">
        <v>44</v>
      </c>
      <c r="C24" s="9" t="s">
        <v>45</v>
      </c>
      <c r="D24">
        <v>170850</v>
      </c>
      <c r="E24" s="10">
        <f t="shared" si="0"/>
        <v>2.3432745688258212E-2</v>
      </c>
      <c r="I24" s="29"/>
      <c r="J24" s="29"/>
      <c r="K24" s="28"/>
      <c r="L24" s="29"/>
      <c r="M24" s="29"/>
      <c r="N24" s="29"/>
      <c r="O24" s="28"/>
      <c r="P24" s="28"/>
    </row>
    <row r="25" spans="2:16" ht="17">
      <c r="B25" s="8" t="s">
        <v>46</v>
      </c>
      <c r="C25" s="9" t="s">
        <v>47</v>
      </c>
      <c r="D25">
        <v>100801</v>
      </c>
      <c r="E25" s="10">
        <f t="shared" si="0"/>
        <v>1.3825251379116863E-2</v>
      </c>
      <c r="I25" s="29"/>
      <c r="J25" s="29"/>
      <c r="K25" s="29"/>
      <c r="L25" s="29"/>
      <c r="M25" s="29"/>
      <c r="N25" s="29"/>
      <c r="O25" s="28"/>
      <c r="P25" s="28"/>
    </row>
    <row r="26" spans="2:16" ht="17">
      <c r="B26" s="8" t="s">
        <v>48</v>
      </c>
      <c r="C26" s="9" t="s">
        <v>49</v>
      </c>
      <c r="D26">
        <v>22716</v>
      </c>
      <c r="E26" s="10">
        <f t="shared" si="0"/>
        <v>3.1155882414660436E-3</v>
      </c>
      <c r="I26" s="28"/>
      <c r="J26" s="29"/>
      <c r="K26" s="28"/>
      <c r="L26" s="29"/>
      <c r="M26" s="29"/>
      <c r="N26" s="29"/>
      <c r="O26" s="28"/>
      <c r="P26" s="28"/>
    </row>
    <row r="27" spans="2:16" ht="17">
      <c r="B27" s="8" t="s">
        <v>50</v>
      </c>
      <c r="C27" s="9" t="s">
        <v>51</v>
      </c>
      <c r="D27">
        <v>108213</v>
      </c>
      <c r="E27" s="10">
        <f t="shared" si="0"/>
        <v>1.4841836167184583E-2</v>
      </c>
      <c r="I27" s="29"/>
      <c r="J27" s="29"/>
      <c r="K27" s="29"/>
      <c r="L27" s="29"/>
      <c r="M27" s="29"/>
      <c r="N27" s="29"/>
      <c r="O27" s="28"/>
      <c r="P27" s="28"/>
    </row>
    <row r="28" spans="2:16" ht="17">
      <c r="B28" s="8" t="s">
        <v>52</v>
      </c>
      <c r="C28" s="9" t="s">
        <v>53</v>
      </c>
      <c r="D28">
        <v>0</v>
      </c>
      <c r="E28" s="10">
        <f t="shared" si="0"/>
        <v>0</v>
      </c>
      <c r="I28" s="29"/>
      <c r="J28" s="29"/>
      <c r="K28" s="29"/>
      <c r="L28" s="29"/>
      <c r="M28" s="29"/>
      <c r="N28" s="29"/>
      <c r="O28" s="28"/>
      <c r="P28" s="28"/>
    </row>
    <row r="29" spans="2:16" ht="17">
      <c r="B29" s="8" t="s">
        <v>54</v>
      </c>
      <c r="C29" s="9" t="s">
        <v>55</v>
      </c>
      <c r="D29">
        <v>0</v>
      </c>
      <c r="E29" s="10">
        <f t="shared" si="0"/>
        <v>0</v>
      </c>
      <c r="I29" s="28"/>
      <c r="J29" s="29"/>
      <c r="K29" s="29"/>
      <c r="L29" s="29"/>
      <c r="M29" s="29"/>
      <c r="N29" s="29"/>
      <c r="O29" s="28"/>
      <c r="P29" s="28"/>
    </row>
    <row r="30" spans="2:16" ht="17">
      <c r="B30" s="8" t="s">
        <v>56</v>
      </c>
      <c r="C30" s="9" t="s">
        <v>57</v>
      </c>
      <c r="D30">
        <v>0</v>
      </c>
      <c r="E30" s="10">
        <f t="shared" si="0"/>
        <v>0</v>
      </c>
      <c r="I30" s="29"/>
      <c r="J30" s="29"/>
      <c r="K30" s="29"/>
      <c r="L30" s="29"/>
      <c r="M30" s="29"/>
      <c r="N30" s="29"/>
      <c r="O30" s="28"/>
      <c r="P30" s="28"/>
    </row>
    <row r="31" spans="2:16" ht="17">
      <c r="B31" s="8" t="s">
        <v>58</v>
      </c>
      <c r="C31" s="9" t="s">
        <v>59</v>
      </c>
      <c r="D31">
        <v>0</v>
      </c>
      <c r="E31" s="10">
        <f t="shared" si="0"/>
        <v>0</v>
      </c>
      <c r="I31" s="28"/>
      <c r="J31" s="29"/>
      <c r="K31" s="29"/>
      <c r="L31" s="29"/>
      <c r="M31" s="29"/>
      <c r="N31" s="29"/>
      <c r="O31" s="28"/>
      <c r="P31" s="28"/>
    </row>
    <row r="32" spans="2:16" ht="17">
      <c r="B32" s="8" t="s">
        <v>60</v>
      </c>
      <c r="C32" s="9" t="s">
        <v>61</v>
      </c>
      <c r="D32">
        <v>146471</v>
      </c>
      <c r="E32" s="10">
        <f t="shared" si="0"/>
        <v>2.0089070492858463E-2</v>
      </c>
      <c r="I32" s="28"/>
      <c r="J32" s="29"/>
      <c r="K32" s="29"/>
      <c r="L32" s="29"/>
      <c r="M32" s="29"/>
      <c r="N32" s="29"/>
      <c r="O32" s="28"/>
      <c r="P32" s="28"/>
    </row>
    <row r="33" spans="2:16" ht="17">
      <c r="B33" s="8" t="s">
        <v>62</v>
      </c>
      <c r="C33" s="9" t="s">
        <v>63</v>
      </c>
      <c r="D33">
        <v>0</v>
      </c>
      <c r="E33" s="10">
        <f t="shared" si="0"/>
        <v>0</v>
      </c>
      <c r="I33" s="29"/>
      <c r="J33" s="29"/>
      <c r="K33" s="29"/>
      <c r="L33" s="29"/>
      <c r="M33" s="29"/>
      <c r="N33" s="29"/>
      <c r="O33" s="28"/>
      <c r="P33" s="28"/>
    </row>
    <row r="34" spans="2:16" ht="17">
      <c r="B34" s="8" t="s">
        <v>64</v>
      </c>
      <c r="C34" s="9" t="s">
        <v>65</v>
      </c>
      <c r="D34">
        <v>316600</v>
      </c>
      <c r="E34" s="10">
        <f t="shared" si="0"/>
        <v>4.3422928211311385E-2</v>
      </c>
      <c r="I34" s="29"/>
      <c r="J34" s="29"/>
      <c r="K34" s="29"/>
      <c r="L34" s="29"/>
      <c r="M34" s="28"/>
      <c r="N34" s="29"/>
      <c r="O34" s="28"/>
      <c r="P34" s="28"/>
    </row>
    <row r="35" spans="2:16" ht="17">
      <c r="B35" s="8" t="s">
        <v>66</v>
      </c>
      <c r="C35" s="9" t="s">
        <v>67</v>
      </c>
      <c r="D35">
        <v>602900</v>
      </c>
      <c r="E35" s="10">
        <f t="shared" si="0"/>
        <v>8.2690092920403135E-2</v>
      </c>
      <c r="I35" s="28"/>
      <c r="J35" s="29"/>
      <c r="K35" s="29"/>
      <c r="L35" s="29"/>
      <c r="M35" s="29"/>
      <c r="N35" s="29"/>
      <c r="O35" s="28"/>
      <c r="P35" s="28"/>
    </row>
    <row r="36" spans="2:16" ht="17">
      <c r="B36" s="8" t="s">
        <v>68</v>
      </c>
      <c r="C36" s="9" t="s">
        <v>69</v>
      </c>
      <c r="D36">
        <v>0</v>
      </c>
      <c r="E36" s="10">
        <f t="shared" si="0"/>
        <v>0</v>
      </c>
      <c r="I36" s="29"/>
      <c r="J36" s="29"/>
      <c r="K36" s="29"/>
      <c r="L36" s="29"/>
      <c r="M36" s="29"/>
      <c r="N36" s="29"/>
      <c r="O36" s="28"/>
      <c r="P36" s="28"/>
    </row>
    <row r="37" spans="2:16" ht="17">
      <c r="B37" s="8" t="s">
        <v>70</v>
      </c>
      <c r="C37" s="9" t="s">
        <v>71</v>
      </c>
      <c r="D37">
        <v>718240</v>
      </c>
      <c r="E37" s="10">
        <f t="shared" si="0"/>
        <v>9.8509425011030605E-2</v>
      </c>
      <c r="I37" s="28"/>
      <c r="J37" s="29"/>
      <c r="K37" s="28"/>
      <c r="L37" s="29"/>
      <c r="M37" s="29"/>
      <c r="N37" s="29"/>
      <c r="O37" s="28"/>
      <c r="P37" s="28"/>
    </row>
    <row r="38" spans="2:16" ht="17">
      <c r="B38" s="8" t="s">
        <v>72</v>
      </c>
      <c r="C38" s="9" t="s">
        <v>73</v>
      </c>
      <c r="D38">
        <v>380728</v>
      </c>
      <c r="E38" s="10">
        <f t="shared" si="0"/>
        <v>5.2218334213632853E-2</v>
      </c>
      <c r="I38" s="28"/>
      <c r="J38" s="29"/>
      <c r="K38" s="29"/>
      <c r="L38" s="29"/>
      <c r="M38" s="29"/>
      <c r="N38" s="29"/>
      <c r="O38" s="28"/>
      <c r="P38" s="28"/>
    </row>
    <row r="39" spans="2:16" ht="17">
      <c r="B39" s="8" t="s">
        <v>74</v>
      </c>
      <c r="C39" s="9" t="s">
        <v>75</v>
      </c>
      <c r="D39">
        <v>44864</v>
      </c>
      <c r="E39" s="10">
        <f t="shared" si="0"/>
        <v>6.1532730615043397E-3</v>
      </c>
      <c r="I39" s="28"/>
      <c r="J39" s="29"/>
      <c r="K39" s="29"/>
      <c r="L39" s="29"/>
      <c r="M39" s="29"/>
      <c r="N39" s="29"/>
      <c r="O39" s="28"/>
      <c r="P39" s="28"/>
    </row>
    <row r="40" spans="2:16" ht="17">
      <c r="B40" s="8" t="s">
        <v>76</v>
      </c>
      <c r="C40" s="9" t="s">
        <v>77</v>
      </c>
      <c r="D40">
        <v>503093</v>
      </c>
      <c r="E40" s="10">
        <f t="shared" si="0"/>
        <v>6.9001172528784835E-2</v>
      </c>
      <c r="I40" s="29"/>
      <c r="J40" s="29"/>
      <c r="K40" s="29"/>
      <c r="L40" s="29"/>
      <c r="M40" s="29"/>
      <c r="N40" s="29"/>
      <c r="O40" s="28"/>
      <c r="P40" s="28"/>
    </row>
    <row r="41" spans="2:16" ht="17">
      <c r="B41" s="8" t="s">
        <v>78</v>
      </c>
      <c r="C41" s="9" t="s">
        <v>79</v>
      </c>
      <c r="D41">
        <v>0</v>
      </c>
      <c r="E41" s="10">
        <f t="shared" si="0"/>
        <v>0</v>
      </c>
      <c r="I41" s="29"/>
      <c r="J41" s="29"/>
      <c r="K41" s="29"/>
      <c r="L41" s="29"/>
      <c r="M41" s="29"/>
      <c r="N41" s="29"/>
      <c r="O41" s="28"/>
      <c r="P41" s="28"/>
    </row>
    <row r="42" spans="2:16" ht="17">
      <c r="B42" s="8" t="s">
        <v>80</v>
      </c>
      <c r="C42" s="9" t="s">
        <v>81</v>
      </c>
      <c r="D42">
        <v>133602</v>
      </c>
      <c r="E42" s="10">
        <f t="shared" si="0"/>
        <v>1.8324036812658318E-2</v>
      </c>
      <c r="I42" s="29"/>
      <c r="J42" s="29"/>
      <c r="K42" s="29"/>
      <c r="L42" s="29"/>
      <c r="M42" s="29"/>
      <c r="N42" s="29"/>
      <c r="O42" s="28"/>
      <c r="P42" s="28"/>
    </row>
    <row r="43" spans="2:16" ht="17">
      <c r="B43" s="8" t="s">
        <v>82</v>
      </c>
      <c r="C43" s="9" t="s">
        <v>83</v>
      </c>
      <c r="D43">
        <v>0</v>
      </c>
      <c r="E43" s="10">
        <f t="shared" si="0"/>
        <v>0</v>
      </c>
      <c r="I43" s="29"/>
      <c r="J43" s="29"/>
      <c r="K43" s="29"/>
      <c r="L43" s="29"/>
      <c r="M43" s="29"/>
      <c r="N43" s="29"/>
      <c r="O43" s="28"/>
      <c r="P43" s="28"/>
    </row>
    <row r="44" spans="2:16" ht="17">
      <c r="B44" s="8" t="s">
        <v>84</v>
      </c>
      <c r="C44" s="9" t="s">
        <v>85</v>
      </c>
      <c r="D44">
        <v>391569</v>
      </c>
      <c r="E44" s="10">
        <f t="shared" si="0"/>
        <v>5.370521976239731E-2</v>
      </c>
      <c r="I44" s="18"/>
      <c r="J44" s="18"/>
      <c r="K44" s="18"/>
      <c r="L44" s="18"/>
    </row>
    <row r="45" spans="2:16" ht="17">
      <c r="B45" s="8" t="s">
        <v>86</v>
      </c>
      <c r="C45" s="9" t="s">
        <v>87</v>
      </c>
      <c r="D45">
        <v>573544</v>
      </c>
      <c r="E45" s="10">
        <f t="shared" si="0"/>
        <v>7.8663802710133846E-2</v>
      </c>
      <c r="I45" s="18"/>
      <c r="J45" s="18"/>
      <c r="K45" s="18"/>
      <c r="L45" s="18"/>
    </row>
    <row r="46" spans="2:16" ht="17">
      <c r="B46" s="8" t="s">
        <v>88</v>
      </c>
      <c r="C46" s="9" t="s">
        <v>89</v>
      </c>
      <c r="D46">
        <v>0</v>
      </c>
      <c r="E46" s="10">
        <f t="shared" si="0"/>
        <v>0</v>
      </c>
      <c r="I46" s="18"/>
      <c r="J46" s="18"/>
      <c r="K46" s="18"/>
      <c r="L46" s="18"/>
    </row>
    <row r="47" spans="2:16" ht="17">
      <c r="B47" s="8" t="s">
        <v>90</v>
      </c>
      <c r="C47" s="9" t="s">
        <v>91</v>
      </c>
      <c r="D47">
        <v>0</v>
      </c>
      <c r="E47" s="10">
        <f t="shared" si="0"/>
        <v>0</v>
      </c>
      <c r="I47" s="18"/>
      <c r="J47" s="18"/>
      <c r="K47" s="18"/>
      <c r="L47" s="18"/>
    </row>
    <row r="48" spans="2:16" ht="17">
      <c r="B48" s="8" t="s">
        <v>92</v>
      </c>
      <c r="C48" s="9" t="s">
        <v>93</v>
      </c>
      <c r="D48">
        <v>110220</v>
      </c>
      <c r="E48" s="10">
        <f t="shared" si="0"/>
        <v>1.5117104066490021E-2</v>
      </c>
      <c r="I48" s="18"/>
      <c r="J48" s="18"/>
      <c r="K48" s="18"/>
      <c r="L48" s="18"/>
    </row>
    <row r="49" spans="2:12" ht="17">
      <c r="B49" s="8" t="s">
        <v>94</v>
      </c>
      <c r="C49" s="9" t="s">
        <v>95</v>
      </c>
      <c r="D49">
        <v>151482</v>
      </c>
      <c r="E49" s="10">
        <f t="shared" si="0"/>
        <v>2.0776348740700792E-2</v>
      </c>
      <c r="I49" s="18"/>
      <c r="J49" s="18"/>
      <c r="K49" s="18"/>
      <c r="L49" s="18"/>
    </row>
    <row r="50" spans="2:12" ht="17">
      <c r="B50" s="8" t="s">
        <v>96</v>
      </c>
      <c r="C50" s="9" t="s">
        <v>97</v>
      </c>
      <c r="D50">
        <v>64606</v>
      </c>
      <c r="E50" s="10">
        <f t="shared" si="0"/>
        <v>8.860965571762424E-3</v>
      </c>
      <c r="J50" s="18"/>
      <c r="L50" s="18"/>
    </row>
    <row r="51" spans="2:12" ht="17">
      <c r="B51" s="8" t="s">
        <v>98</v>
      </c>
      <c r="C51" s="9" t="s">
        <v>99</v>
      </c>
      <c r="D51">
        <v>379803</v>
      </c>
      <c r="E51" s="10">
        <f t="shared" si="0"/>
        <v>5.2091466845990836E-2</v>
      </c>
      <c r="J51" s="18"/>
      <c r="L51" s="18"/>
    </row>
    <row r="52" spans="2:12" ht="17">
      <c r="B52" s="8" t="s">
        <v>100</v>
      </c>
      <c r="C52" s="9" t="s">
        <v>101</v>
      </c>
      <c r="D52">
        <v>0</v>
      </c>
      <c r="E52" s="10">
        <f t="shared" si="0"/>
        <v>0</v>
      </c>
      <c r="I52" s="18"/>
      <c r="J52" s="18"/>
      <c r="K52" s="18"/>
      <c r="L52" s="18"/>
    </row>
    <row r="53" spans="2:12" ht="17">
      <c r="B53" s="11" t="s">
        <v>102</v>
      </c>
      <c r="C53" s="12" t="s">
        <v>103</v>
      </c>
      <c r="D53" s="13">
        <v>7291079</v>
      </c>
      <c r="E53" s="14">
        <f t="shared" si="0"/>
        <v>1</v>
      </c>
      <c r="I53" s="18"/>
      <c r="J53" s="18"/>
      <c r="K53" s="18"/>
      <c r="L53" s="18"/>
    </row>
    <row r="54" spans="2:12">
      <c r="I54" s="18"/>
      <c r="J54" s="18"/>
      <c r="K54" s="18"/>
      <c r="L54" s="18"/>
    </row>
    <row r="55" spans="2:12">
      <c r="F55" s="32"/>
      <c r="J55" s="18"/>
      <c r="L55" s="18"/>
    </row>
  </sheetData>
  <mergeCells count="1">
    <mergeCell ref="G7:M12"/>
  </mergeCells>
  <hyperlinks>
    <hyperlink ref="H5" r:id="rId1" xr:uid="{1C562341-E85E-5441-A37D-369CA762220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1EA4-E8A8-3D40-8DBD-B74D8E65552C}">
  <dimension ref="A1:Z53"/>
  <sheetViews>
    <sheetView workbookViewId="0">
      <selection activeCell="L19" sqref="L1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v>
      </c>
    </row>
    <row r="4" spans="1:26" ht="17">
      <c r="B4" s="4" t="s">
        <v>2</v>
      </c>
      <c r="C4" s="5" t="s">
        <v>3</v>
      </c>
      <c r="D4" s="6" t="s">
        <v>104</v>
      </c>
      <c r="E4" s="7" t="s">
        <v>5</v>
      </c>
      <c r="G4" s="15" t="s">
        <v>106</v>
      </c>
      <c r="H4" t="s">
        <v>4</v>
      </c>
    </row>
    <row r="5" spans="1:26" ht="17">
      <c r="B5" s="8" t="s">
        <v>6</v>
      </c>
      <c r="C5" s="9" t="s">
        <v>7</v>
      </c>
      <c r="D5">
        <v>572</v>
      </c>
      <c r="E5" s="10">
        <f>D5/D$53</f>
        <v>3.3090362142774499E-2</v>
      </c>
      <c r="G5" s="15" t="s">
        <v>105</v>
      </c>
      <c r="H5" s="17" t="s">
        <v>111</v>
      </c>
    </row>
    <row r="6" spans="1:26" ht="17" customHeight="1">
      <c r="B6" s="8" t="s">
        <v>8</v>
      </c>
      <c r="C6" s="9" t="s">
        <v>9</v>
      </c>
      <c r="D6">
        <v>102</v>
      </c>
      <c r="E6" s="10">
        <f t="shared" ref="E6:E53" si="0">D6/D$53</f>
        <v>5.9007289135716767E-3</v>
      </c>
      <c r="G6" s="15"/>
    </row>
    <row r="7" spans="1:26" ht="17" customHeight="1">
      <c r="B7" s="8" t="s">
        <v>10</v>
      </c>
      <c r="C7" s="9" t="s">
        <v>11</v>
      </c>
      <c r="D7">
        <v>0</v>
      </c>
      <c r="E7" s="10">
        <f t="shared" si="0"/>
        <v>0</v>
      </c>
      <c r="G7" s="38" t="s">
        <v>107</v>
      </c>
      <c r="H7" s="38"/>
      <c r="I7" s="38"/>
      <c r="J7" s="38"/>
      <c r="K7" s="38"/>
      <c r="L7" s="38"/>
      <c r="M7" s="38"/>
    </row>
    <row r="8" spans="1:26" ht="17" customHeight="1">
      <c r="B8" s="8" t="s">
        <v>12</v>
      </c>
      <c r="C8" s="9" t="s">
        <v>13</v>
      </c>
      <c r="D8">
        <v>1039</v>
      </c>
      <c r="E8" s="10">
        <f t="shared" si="0"/>
        <v>6.0106444521578158E-2</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524</v>
      </c>
      <c r="E12" s="10">
        <f t="shared" si="0"/>
        <v>3.0313548536387829E-2</v>
      </c>
      <c r="G12" s="38"/>
      <c r="H12" s="38"/>
      <c r="I12" s="38"/>
      <c r="J12" s="38"/>
      <c r="K12" s="38"/>
      <c r="L12" s="38"/>
      <c r="M12" s="38"/>
    </row>
    <row r="13" spans="1:26" ht="17" customHeight="1">
      <c r="B13" s="8" t="s">
        <v>22</v>
      </c>
      <c r="C13" s="9" t="s">
        <v>23</v>
      </c>
      <c r="D13">
        <v>1025</v>
      </c>
      <c r="E13" s="10">
        <f t="shared" si="0"/>
        <v>5.9296540553048713E-2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237</v>
      </c>
      <c r="E15" s="10">
        <f t="shared" si="0"/>
        <v>1.3710517181534189E-2</v>
      </c>
      <c r="H15" s="16"/>
      <c r="I15" s="16"/>
      <c r="J15" s="16"/>
      <c r="K15" s="16"/>
      <c r="L15" s="16"/>
    </row>
    <row r="16" spans="1:26" ht="17">
      <c r="B16" s="8" t="s">
        <v>28</v>
      </c>
      <c r="C16" s="9" t="s">
        <v>29</v>
      </c>
      <c r="D16">
        <v>1065</v>
      </c>
      <c r="E16" s="10">
        <f t="shared" si="0"/>
        <v>6.1610551891704272E-2</v>
      </c>
      <c r="H16" s="16"/>
      <c r="I16" s="16"/>
      <c r="J16" s="16"/>
      <c r="K16" s="16"/>
      <c r="L16" s="16"/>
    </row>
    <row r="17" spans="2:5" ht="17">
      <c r="B17" s="8" t="s">
        <v>30</v>
      </c>
      <c r="C17" s="9" t="s">
        <v>31</v>
      </c>
      <c r="D17">
        <v>0</v>
      </c>
      <c r="E17" s="10">
        <f t="shared" si="0"/>
        <v>0</v>
      </c>
    </row>
    <row r="18" spans="2:5" ht="17">
      <c r="B18" s="8" t="s">
        <v>32</v>
      </c>
      <c r="C18" s="9" t="s">
        <v>33</v>
      </c>
      <c r="D18">
        <v>827</v>
      </c>
      <c r="E18" s="10">
        <f t="shared" si="0"/>
        <v>4.7842184426703689E-2</v>
      </c>
    </row>
    <row r="19" spans="2:5" ht="17">
      <c r="B19" s="8" t="s">
        <v>34</v>
      </c>
      <c r="C19" s="9" t="s">
        <v>35</v>
      </c>
      <c r="D19">
        <v>482</v>
      </c>
      <c r="E19" s="10">
        <f t="shared" si="0"/>
        <v>2.7883836630799491E-2</v>
      </c>
    </row>
    <row r="20" spans="2:5" ht="17">
      <c r="B20" s="8" t="s">
        <v>36</v>
      </c>
      <c r="C20" s="9" t="s">
        <v>37</v>
      </c>
      <c r="D20">
        <v>0</v>
      </c>
      <c r="E20" s="10">
        <f t="shared" si="0"/>
        <v>0</v>
      </c>
    </row>
    <row r="21" spans="2:5" ht="17">
      <c r="B21" s="8" t="s">
        <v>38</v>
      </c>
      <c r="C21" s="9" t="s">
        <v>39</v>
      </c>
      <c r="D21">
        <v>0</v>
      </c>
      <c r="E21" s="10">
        <f t="shared" si="0"/>
        <v>0</v>
      </c>
    </row>
    <row r="22" spans="2:5" ht="17">
      <c r="B22" s="8" t="s">
        <v>40</v>
      </c>
      <c r="C22" s="9" t="s">
        <v>41</v>
      </c>
      <c r="D22">
        <v>0</v>
      </c>
      <c r="E22" s="10">
        <f t="shared" si="0"/>
        <v>0</v>
      </c>
    </row>
    <row r="23" spans="2:5" ht="17">
      <c r="B23" s="8" t="s">
        <v>42</v>
      </c>
      <c r="C23" s="9" t="s">
        <v>43</v>
      </c>
      <c r="D23">
        <v>97</v>
      </c>
      <c r="E23" s="10">
        <f t="shared" si="0"/>
        <v>5.6114774962397317E-3</v>
      </c>
    </row>
    <row r="24" spans="2:5" ht="17">
      <c r="B24" s="8" t="s">
        <v>44</v>
      </c>
      <c r="C24" s="9" t="s">
        <v>45</v>
      </c>
      <c r="D24">
        <v>574</v>
      </c>
      <c r="E24" s="10">
        <f t="shared" si="0"/>
        <v>3.3206062709707281E-2</v>
      </c>
    </row>
    <row r="25" spans="2:5" ht="17">
      <c r="B25" s="8" t="s">
        <v>46</v>
      </c>
      <c r="C25" s="9" t="s">
        <v>47</v>
      </c>
      <c r="D25">
        <v>33</v>
      </c>
      <c r="E25" s="10">
        <f t="shared" si="0"/>
        <v>1.9090593543908366E-3</v>
      </c>
    </row>
    <row r="26" spans="2:5" ht="17">
      <c r="B26" s="8" t="s">
        <v>48</v>
      </c>
      <c r="C26" s="9" t="s">
        <v>49</v>
      </c>
      <c r="D26">
        <v>0</v>
      </c>
      <c r="E26" s="10">
        <f t="shared" si="0"/>
        <v>0</v>
      </c>
    </row>
    <row r="27" spans="2:5" ht="17">
      <c r="B27" s="8" t="s">
        <v>50</v>
      </c>
      <c r="C27" s="9" t="s">
        <v>51</v>
      </c>
      <c r="D27">
        <v>426</v>
      </c>
      <c r="E27" s="10">
        <f t="shared" si="0"/>
        <v>2.4644220756681708E-2</v>
      </c>
    </row>
    <row r="28" spans="2:5" ht="17">
      <c r="B28" s="8" t="s">
        <v>52</v>
      </c>
      <c r="C28" s="9" t="s">
        <v>53</v>
      </c>
      <c r="D28">
        <v>0</v>
      </c>
      <c r="E28" s="10">
        <f t="shared" si="0"/>
        <v>0</v>
      </c>
    </row>
    <row r="29" spans="2:5" ht="17">
      <c r="B29" s="8" t="s">
        <v>54</v>
      </c>
      <c r="C29" s="9" t="s">
        <v>55</v>
      </c>
      <c r="D29">
        <v>0</v>
      </c>
      <c r="E29" s="10">
        <f t="shared" si="0"/>
        <v>0</v>
      </c>
    </row>
    <row r="30" spans="2:5" ht="17">
      <c r="B30" s="8" t="s">
        <v>56</v>
      </c>
      <c r="C30" s="9" t="s">
        <v>57</v>
      </c>
      <c r="D30">
        <v>0</v>
      </c>
      <c r="E30" s="10">
        <f t="shared" si="0"/>
        <v>0</v>
      </c>
    </row>
    <row r="31" spans="2:5" ht="17">
      <c r="B31" s="8" t="s">
        <v>58</v>
      </c>
      <c r="C31" s="9" t="s">
        <v>59</v>
      </c>
      <c r="D31">
        <v>0</v>
      </c>
      <c r="E31" s="10">
        <f t="shared" si="0"/>
        <v>0</v>
      </c>
    </row>
    <row r="32" spans="2:5" ht="17">
      <c r="B32" s="8" t="s">
        <v>60</v>
      </c>
      <c r="C32" s="9" t="s">
        <v>61</v>
      </c>
      <c r="D32">
        <v>292</v>
      </c>
      <c r="E32" s="10">
        <f t="shared" si="0"/>
        <v>1.6892282772185584E-2</v>
      </c>
    </row>
    <row r="33" spans="2:5" ht="17">
      <c r="B33" s="8" t="s">
        <v>62</v>
      </c>
      <c r="C33" s="9" t="s">
        <v>63</v>
      </c>
      <c r="D33">
        <v>0</v>
      </c>
      <c r="E33" s="10">
        <f t="shared" si="0"/>
        <v>0</v>
      </c>
    </row>
    <row r="34" spans="2:5" ht="17">
      <c r="B34" s="8" t="s">
        <v>64</v>
      </c>
      <c r="C34" s="9" t="s">
        <v>65</v>
      </c>
      <c r="D34">
        <v>0</v>
      </c>
      <c r="E34" s="10">
        <f t="shared" si="0"/>
        <v>0</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3838</v>
      </c>
      <c r="E37" s="10">
        <f t="shared" si="0"/>
        <v>0.22202938794400093</v>
      </c>
    </row>
    <row r="38" spans="2:5" ht="17">
      <c r="B38" s="8" t="s">
        <v>72</v>
      </c>
      <c r="C38" s="9" t="s">
        <v>73</v>
      </c>
      <c r="D38">
        <v>0</v>
      </c>
      <c r="E38" s="10">
        <f t="shared" si="0"/>
        <v>0</v>
      </c>
    </row>
    <row r="39" spans="2:5" ht="17">
      <c r="B39" s="8" t="s">
        <v>74</v>
      </c>
      <c r="C39" s="9" t="s">
        <v>75</v>
      </c>
      <c r="D39">
        <v>0</v>
      </c>
      <c r="E39" s="10">
        <f t="shared" si="0"/>
        <v>0</v>
      </c>
    </row>
    <row r="40" spans="2:5" ht="17">
      <c r="B40" s="8" t="s">
        <v>76</v>
      </c>
      <c r="C40" s="9" t="s">
        <v>77</v>
      </c>
      <c r="D40">
        <v>675</v>
      </c>
      <c r="E40" s="10">
        <f t="shared" si="0"/>
        <v>3.9048941339812564E-2</v>
      </c>
    </row>
    <row r="41" spans="2:5" ht="17">
      <c r="B41" s="8" t="s">
        <v>78</v>
      </c>
      <c r="C41" s="9" t="s">
        <v>79</v>
      </c>
      <c r="D41">
        <v>0</v>
      </c>
      <c r="E41" s="10">
        <f t="shared" si="0"/>
        <v>0</v>
      </c>
    </row>
    <row r="42" spans="2:5" ht="17">
      <c r="B42" s="8" t="s">
        <v>80</v>
      </c>
      <c r="C42" s="9" t="s">
        <v>81</v>
      </c>
      <c r="D42">
        <v>328</v>
      </c>
      <c r="E42" s="10">
        <f t="shared" si="0"/>
        <v>1.8974892976975587E-2</v>
      </c>
    </row>
    <row r="43" spans="2:5" ht="17">
      <c r="B43" s="8" t="s">
        <v>82</v>
      </c>
      <c r="C43" s="9" t="s">
        <v>83</v>
      </c>
      <c r="D43">
        <v>0</v>
      </c>
      <c r="E43" s="10">
        <f t="shared" si="0"/>
        <v>0</v>
      </c>
    </row>
    <row r="44" spans="2:5" ht="17">
      <c r="B44" s="8" t="s">
        <v>84</v>
      </c>
      <c r="C44" s="9" t="s">
        <v>85</v>
      </c>
      <c r="D44">
        <v>561</v>
      </c>
      <c r="E44" s="10">
        <f t="shared" si="0"/>
        <v>3.2454009024644223E-2</v>
      </c>
    </row>
    <row r="45" spans="2:5" ht="17">
      <c r="B45" s="8" t="s">
        <v>86</v>
      </c>
      <c r="C45" s="9" t="s">
        <v>87</v>
      </c>
      <c r="D45">
        <v>1638</v>
      </c>
      <c r="E45" s="10">
        <f t="shared" si="0"/>
        <v>9.4758764317945152E-2</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0</v>
      </c>
      <c r="E49" s="10">
        <f t="shared" si="0"/>
        <v>0</v>
      </c>
    </row>
    <row r="50" spans="2:5" ht="17">
      <c r="B50" s="8" t="s">
        <v>96</v>
      </c>
      <c r="C50" s="9" t="s">
        <v>97</v>
      </c>
      <c r="D50">
        <v>493</v>
      </c>
      <c r="E50" s="10">
        <f t="shared" si="0"/>
        <v>2.852018974892977E-2</v>
      </c>
    </row>
    <row r="51" spans="2:5" ht="17">
      <c r="B51" s="8" t="s">
        <v>98</v>
      </c>
      <c r="C51" s="9" t="s">
        <v>99</v>
      </c>
      <c r="D51">
        <v>204</v>
      </c>
      <c r="E51" s="10">
        <f t="shared" si="0"/>
        <v>1.1801457827143353E-2</v>
      </c>
    </row>
    <row r="52" spans="2:5" ht="17">
      <c r="B52" s="8" t="s">
        <v>100</v>
      </c>
      <c r="C52" s="9" t="s">
        <v>101</v>
      </c>
      <c r="D52">
        <v>0</v>
      </c>
      <c r="E52" s="10">
        <f t="shared" si="0"/>
        <v>0</v>
      </c>
    </row>
    <row r="53" spans="2:5" ht="17">
      <c r="B53" s="11" t="s">
        <v>102</v>
      </c>
      <c r="C53" s="12" t="s">
        <v>103</v>
      </c>
      <c r="D53" s="13">
        <v>17286</v>
      </c>
      <c r="E53" s="14">
        <f t="shared" si="0"/>
        <v>1</v>
      </c>
    </row>
  </sheetData>
  <mergeCells count="1">
    <mergeCell ref="G7:M12"/>
  </mergeCells>
  <hyperlinks>
    <hyperlink ref="H5" r:id="rId1" location="tab=Tables" display="U.S. Bureau of Labor Statistics Quarterly Census of Employment and Wages" xr:uid="{C7C01920-1EDE-C846-9E89-9E60710CD45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AD40-C040-9B4E-BBAE-C9975D1D3693}">
  <dimension ref="A1:Z53"/>
  <sheetViews>
    <sheetView workbookViewId="0">
      <selection activeCell="K40" sqref="K40"/>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166</v>
      </c>
    </row>
    <row r="4" spans="1:26" ht="17">
      <c r="B4" s="4" t="s">
        <v>2</v>
      </c>
      <c r="C4" s="5" t="s">
        <v>3</v>
      </c>
      <c r="D4" s="6" t="s">
        <v>104</v>
      </c>
      <c r="E4" s="7" t="s">
        <v>5</v>
      </c>
      <c r="G4" s="15" t="s">
        <v>106</v>
      </c>
      <c r="H4" t="s">
        <v>155</v>
      </c>
    </row>
    <row r="5" spans="1:26" ht="17">
      <c r="B5" s="8" t="s">
        <v>6</v>
      </c>
      <c r="C5" s="9" t="s">
        <v>7</v>
      </c>
      <c r="D5">
        <v>1</v>
      </c>
      <c r="E5" s="10">
        <f>D5/D$53</f>
        <v>1.0526315789473684E-2</v>
      </c>
      <c r="G5" s="15" t="s">
        <v>105</v>
      </c>
      <c r="H5" s="17" t="s">
        <v>167</v>
      </c>
      <c r="I5" s="17" t="s">
        <v>168</v>
      </c>
      <c r="J5" s="17" t="s">
        <v>169</v>
      </c>
      <c r="K5" s="17" t="s">
        <v>170</v>
      </c>
      <c r="L5" s="17" t="s">
        <v>171</v>
      </c>
      <c r="M5" s="17" t="s">
        <v>172</v>
      </c>
    </row>
    <row r="6" spans="1:26" ht="17" customHeight="1">
      <c r="B6" s="8" t="s">
        <v>8</v>
      </c>
      <c r="C6" s="9" t="s">
        <v>9</v>
      </c>
      <c r="D6">
        <v>3</v>
      </c>
      <c r="E6" s="10">
        <f t="shared" ref="E6:E53" si="0">D6/D$53</f>
        <v>3.1578947368421054E-2</v>
      </c>
      <c r="G6" s="15"/>
    </row>
    <row r="7" spans="1:26" ht="17" customHeight="1">
      <c r="B7" s="8" t="s">
        <v>10</v>
      </c>
      <c r="C7" s="9" t="s">
        <v>11</v>
      </c>
      <c r="D7">
        <v>1</v>
      </c>
      <c r="E7" s="10">
        <f t="shared" si="0"/>
        <v>1.0526315789473684E-2</v>
      </c>
      <c r="G7" s="38" t="s">
        <v>173</v>
      </c>
      <c r="H7" s="38"/>
      <c r="I7" s="38"/>
      <c r="J7" s="38"/>
      <c r="K7" s="38"/>
      <c r="L7" s="38"/>
      <c r="M7" s="38"/>
    </row>
    <row r="8" spans="1:26" ht="17" customHeight="1">
      <c r="B8" s="8" t="s">
        <v>12</v>
      </c>
      <c r="C8" s="9" t="s">
        <v>13</v>
      </c>
      <c r="D8">
        <v>9</v>
      </c>
      <c r="E8" s="10">
        <f t="shared" si="0"/>
        <v>9.4736842105263161E-2</v>
      </c>
      <c r="G8" s="38"/>
      <c r="H8" s="38"/>
      <c r="I8" s="38"/>
      <c r="J8" s="38"/>
      <c r="K8" s="38"/>
      <c r="L8" s="38"/>
      <c r="M8" s="38"/>
    </row>
    <row r="9" spans="1:26" ht="17" customHeight="1">
      <c r="B9" s="8" t="s">
        <v>14</v>
      </c>
      <c r="C9" s="9" t="s">
        <v>15</v>
      </c>
      <c r="D9">
        <v>2</v>
      </c>
      <c r="E9" s="10">
        <f t="shared" si="0"/>
        <v>2.1052631578947368E-2</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6</v>
      </c>
      <c r="E12" s="10">
        <f t="shared" si="0"/>
        <v>6.3157894736842107E-2</v>
      </c>
      <c r="G12" s="38"/>
      <c r="H12" s="38"/>
      <c r="I12" s="38"/>
      <c r="J12" s="38"/>
      <c r="K12" s="38"/>
      <c r="L12" s="38"/>
      <c r="M12" s="38"/>
    </row>
    <row r="13" spans="1:26" ht="17" customHeight="1">
      <c r="B13" s="8" t="s">
        <v>22</v>
      </c>
      <c r="C13" s="9" t="s">
        <v>23</v>
      </c>
      <c r="D13">
        <v>4</v>
      </c>
      <c r="E13" s="10">
        <f t="shared" si="0"/>
        <v>4.2105263157894736E-2</v>
      </c>
      <c r="H13" s="16"/>
      <c r="I13" s="16"/>
      <c r="J13" s="16"/>
      <c r="K13" s="16"/>
      <c r="L13" s="16"/>
    </row>
    <row r="14" spans="1:26" ht="17">
      <c r="B14" s="8" t="s">
        <v>24</v>
      </c>
      <c r="C14" s="9" t="s">
        <v>25</v>
      </c>
      <c r="D14">
        <v>0</v>
      </c>
      <c r="E14" s="10">
        <f t="shared" si="0"/>
        <v>0</v>
      </c>
      <c r="H14" s="16"/>
      <c r="I14" s="16"/>
      <c r="J14" s="16"/>
      <c r="K14" s="16"/>
      <c r="L14" s="16"/>
      <c r="M14" s="16"/>
    </row>
    <row r="15" spans="1:26" ht="17">
      <c r="B15" s="8" t="s">
        <v>26</v>
      </c>
      <c r="C15" s="9" t="s">
        <v>27</v>
      </c>
      <c r="D15">
        <v>2</v>
      </c>
      <c r="E15" s="10">
        <f t="shared" si="0"/>
        <v>2.1052631578947368E-2</v>
      </c>
      <c r="H15" s="16"/>
      <c r="I15" s="16"/>
      <c r="J15" s="16"/>
      <c r="K15" s="16"/>
      <c r="L15" s="16"/>
    </row>
    <row r="16" spans="1:26" ht="17">
      <c r="B16" s="8" t="s">
        <v>28</v>
      </c>
      <c r="C16" s="9" t="s">
        <v>29</v>
      </c>
      <c r="D16">
        <v>4</v>
      </c>
      <c r="E16" s="10">
        <f t="shared" si="0"/>
        <v>4.2105263157894736E-2</v>
      </c>
      <c r="H16" s="16"/>
      <c r="I16" s="16"/>
      <c r="J16" s="16"/>
      <c r="K16" s="16"/>
      <c r="L16" s="16"/>
    </row>
    <row r="17" spans="2:5" ht="17">
      <c r="B17" s="8" t="s">
        <v>30</v>
      </c>
      <c r="C17" s="9" t="s">
        <v>31</v>
      </c>
      <c r="D17">
        <v>4</v>
      </c>
      <c r="E17" s="10">
        <f t="shared" si="0"/>
        <v>4.2105263157894736E-2</v>
      </c>
    </row>
    <row r="18" spans="2:5" ht="17">
      <c r="B18" s="8" t="s">
        <v>32</v>
      </c>
      <c r="C18" s="9" t="s">
        <v>33</v>
      </c>
      <c r="D18">
        <v>3</v>
      </c>
      <c r="E18" s="10">
        <f t="shared" si="0"/>
        <v>3.1578947368421054E-2</v>
      </c>
    </row>
    <row r="19" spans="2:5" ht="17">
      <c r="B19" s="8" t="s">
        <v>34</v>
      </c>
      <c r="C19" s="9" t="s">
        <v>35</v>
      </c>
      <c r="D19">
        <v>2</v>
      </c>
      <c r="E19" s="10">
        <f t="shared" si="0"/>
        <v>2.1052631578947368E-2</v>
      </c>
    </row>
    <row r="20" spans="2:5" ht="17">
      <c r="B20" s="8" t="s">
        <v>36</v>
      </c>
      <c r="C20" s="9" t="s">
        <v>37</v>
      </c>
      <c r="D20">
        <v>2</v>
      </c>
      <c r="E20" s="10">
        <f t="shared" si="0"/>
        <v>2.1052631578947368E-2</v>
      </c>
    </row>
    <row r="21" spans="2:5" ht="17">
      <c r="B21" s="8" t="s">
        <v>38</v>
      </c>
      <c r="C21" s="9" t="s">
        <v>39</v>
      </c>
      <c r="D21">
        <v>0</v>
      </c>
      <c r="E21" s="10">
        <f t="shared" si="0"/>
        <v>0</v>
      </c>
    </row>
    <row r="22" spans="2:5" ht="17">
      <c r="B22" s="8" t="s">
        <v>40</v>
      </c>
      <c r="C22" s="9" t="s">
        <v>41</v>
      </c>
      <c r="D22">
        <v>2</v>
      </c>
      <c r="E22" s="10">
        <f t="shared" si="0"/>
        <v>2.1052631578947368E-2</v>
      </c>
    </row>
    <row r="23" spans="2:5" ht="17">
      <c r="B23" s="8" t="s">
        <v>42</v>
      </c>
      <c r="C23" s="9" t="s">
        <v>43</v>
      </c>
      <c r="D23">
        <v>0</v>
      </c>
      <c r="E23" s="10">
        <f t="shared" si="0"/>
        <v>0</v>
      </c>
    </row>
    <row r="24" spans="2:5" ht="17">
      <c r="B24" s="8" t="s">
        <v>44</v>
      </c>
      <c r="C24" s="9" t="s">
        <v>45</v>
      </c>
      <c r="D24">
        <v>4</v>
      </c>
      <c r="E24" s="10">
        <f t="shared" si="0"/>
        <v>4.2105263157894736E-2</v>
      </c>
    </row>
    <row r="25" spans="2:5" ht="17">
      <c r="B25" s="8" t="s">
        <v>46</v>
      </c>
      <c r="C25" s="9" t="s">
        <v>47</v>
      </c>
      <c r="D25">
        <v>2</v>
      </c>
      <c r="E25" s="10">
        <f t="shared" si="0"/>
        <v>2.1052631578947368E-2</v>
      </c>
    </row>
    <row r="26" spans="2:5" ht="17">
      <c r="B26" s="8" t="s">
        <v>48</v>
      </c>
      <c r="C26" s="9" t="s">
        <v>49</v>
      </c>
      <c r="D26">
        <v>1</v>
      </c>
      <c r="E26" s="10">
        <f t="shared" si="0"/>
        <v>1.0526315789473684E-2</v>
      </c>
    </row>
    <row r="27" spans="2:5" ht="17">
      <c r="B27" s="8" t="s">
        <v>50</v>
      </c>
      <c r="C27" s="9" t="s">
        <v>51</v>
      </c>
      <c r="D27">
        <v>1</v>
      </c>
      <c r="E27" s="10">
        <f t="shared" si="0"/>
        <v>1.0526315789473684E-2</v>
      </c>
    </row>
    <row r="28" spans="2:5" ht="17">
      <c r="B28" s="8" t="s">
        <v>52</v>
      </c>
      <c r="C28" s="9" t="s">
        <v>53</v>
      </c>
      <c r="D28">
        <v>0</v>
      </c>
      <c r="E28" s="10">
        <f t="shared" si="0"/>
        <v>0</v>
      </c>
    </row>
    <row r="29" spans="2:5" ht="17">
      <c r="B29" s="8" t="s">
        <v>54</v>
      </c>
      <c r="C29" s="9" t="s">
        <v>55</v>
      </c>
      <c r="D29">
        <v>1</v>
      </c>
      <c r="E29" s="10">
        <f t="shared" si="0"/>
        <v>1.0526315789473684E-2</v>
      </c>
    </row>
    <row r="30" spans="2:5" ht="17">
      <c r="B30" s="8" t="s">
        <v>56</v>
      </c>
      <c r="C30" s="9" t="s">
        <v>57</v>
      </c>
      <c r="D30">
        <v>3</v>
      </c>
      <c r="E30" s="10">
        <f t="shared" si="0"/>
        <v>3.1578947368421054E-2</v>
      </c>
    </row>
    <row r="31" spans="2:5" ht="17">
      <c r="B31" s="8" t="s">
        <v>58</v>
      </c>
      <c r="C31" s="9" t="s">
        <v>59</v>
      </c>
      <c r="D31">
        <v>2</v>
      </c>
      <c r="E31" s="10">
        <f t="shared" si="0"/>
        <v>2.1052631578947368E-2</v>
      </c>
    </row>
    <row r="32" spans="2:5" ht="17">
      <c r="B32" s="8" t="s">
        <v>60</v>
      </c>
      <c r="C32" s="9" t="s">
        <v>61</v>
      </c>
      <c r="D32">
        <v>3</v>
      </c>
      <c r="E32" s="10">
        <f t="shared" si="0"/>
        <v>3.1578947368421054E-2</v>
      </c>
    </row>
    <row r="33" spans="2:5" ht="17">
      <c r="B33" s="8" t="s">
        <v>62</v>
      </c>
      <c r="C33" s="9" t="s">
        <v>63</v>
      </c>
      <c r="D33">
        <v>2</v>
      </c>
      <c r="E33" s="10">
        <f t="shared" si="0"/>
        <v>2.1052631578947368E-2</v>
      </c>
    </row>
    <row r="34" spans="2:5" ht="17">
      <c r="B34" s="8" t="s">
        <v>64</v>
      </c>
      <c r="C34" s="9" t="s">
        <v>65</v>
      </c>
      <c r="D34">
        <v>2</v>
      </c>
      <c r="E34" s="10">
        <f t="shared" si="0"/>
        <v>2.1052631578947368E-2</v>
      </c>
    </row>
    <row r="35" spans="2:5" ht="17">
      <c r="B35" s="8" t="s">
        <v>66</v>
      </c>
      <c r="C35" s="9" t="s">
        <v>67</v>
      </c>
      <c r="D35">
        <v>3</v>
      </c>
      <c r="E35" s="10">
        <f t="shared" si="0"/>
        <v>3.1578947368421054E-2</v>
      </c>
    </row>
    <row r="36" spans="2:5" ht="17">
      <c r="B36" s="8" t="s">
        <v>68</v>
      </c>
      <c r="C36" s="9" t="s">
        <v>69</v>
      </c>
      <c r="D36">
        <v>0</v>
      </c>
      <c r="E36" s="10">
        <f t="shared" si="0"/>
        <v>0</v>
      </c>
    </row>
    <row r="37" spans="2:5" ht="17">
      <c r="B37" s="8" t="s">
        <v>70</v>
      </c>
      <c r="C37" s="9" t="s">
        <v>71</v>
      </c>
      <c r="D37">
        <v>2</v>
      </c>
      <c r="E37" s="10">
        <f t="shared" si="0"/>
        <v>2.1052631578947368E-2</v>
      </c>
    </row>
    <row r="38" spans="2:5" ht="17">
      <c r="B38" s="8" t="s">
        <v>72</v>
      </c>
      <c r="C38" s="9" t="s">
        <v>73</v>
      </c>
      <c r="D38">
        <v>3</v>
      </c>
      <c r="E38" s="10">
        <f t="shared" si="0"/>
        <v>3.1578947368421054E-2</v>
      </c>
    </row>
    <row r="39" spans="2:5" ht="17">
      <c r="B39" s="8" t="s">
        <v>74</v>
      </c>
      <c r="C39" s="9" t="s">
        <v>75</v>
      </c>
      <c r="D39">
        <v>1</v>
      </c>
      <c r="E39" s="10">
        <f t="shared" si="0"/>
        <v>1.0526315789473684E-2</v>
      </c>
    </row>
    <row r="40" spans="2:5" ht="17">
      <c r="B40" s="8" t="s">
        <v>76</v>
      </c>
      <c r="C40" s="9" t="s">
        <v>77</v>
      </c>
      <c r="D40">
        <v>3</v>
      </c>
      <c r="E40" s="10">
        <f t="shared" si="0"/>
        <v>3.1578947368421054E-2</v>
      </c>
    </row>
    <row r="41" spans="2:5" ht="17">
      <c r="B41" s="8" t="s">
        <v>78</v>
      </c>
      <c r="C41" s="9" t="s">
        <v>79</v>
      </c>
      <c r="D41">
        <v>0</v>
      </c>
      <c r="E41" s="10">
        <f t="shared" si="0"/>
        <v>0</v>
      </c>
    </row>
    <row r="42" spans="2:5" ht="17">
      <c r="B42" s="8" t="s">
        <v>80</v>
      </c>
      <c r="C42" s="9" t="s">
        <v>81</v>
      </c>
      <c r="D42">
        <v>1</v>
      </c>
      <c r="E42" s="10">
        <f t="shared" si="0"/>
        <v>1.0526315789473684E-2</v>
      </c>
    </row>
    <row r="43" spans="2:5" ht="17">
      <c r="B43" s="8" t="s">
        <v>82</v>
      </c>
      <c r="C43" s="9" t="s">
        <v>83</v>
      </c>
      <c r="D43">
        <v>0</v>
      </c>
      <c r="E43" s="10">
        <f t="shared" si="0"/>
        <v>0</v>
      </c>
    </row>
    <row r="44" spans="2:5" ht="17">
      <c r="B44" s="8" t="s">
        <v>84</v>
      </c>
      <c r="C44" s="9" t="s">
        <v>85</v>
      </c>
      <c r="D44">
        <v>1</v>
      </c>
      <c r="E44" s="10">
        <f t="shared" si="0"/>
        <v>1.0526315789473684E-2</v>
      </c>
    </row>
    <row r="45" spans="2:5" ht="17">
      <c r="B45" s="8" t="s">
        <v>86</v>
      </c>
      <c r="C45" s="9" t="s">
        <v>87</v>
      </c>
      <c r="D45">
        <v>7</v>
      </c>
      <c r="E45" s="10">
        <f t="shared" si="0"/>
        <v>7.3684210526315783E-2</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3</v>
      </c>
      <c r="E49" s="10">
        <f t="shared" si="0"/>
        <v>3.1578947368421054E-2</v>
      </c>
    </row>
    <row r="50" spans="2:5" ht="17">
      <c r="B50" s="8" t="s">
        <v>96</v>
      </c>
      <c r="C50" s="9" t="s">
        <v>97</v>
      </c>
      <c r="D50">
        <v>2</v>
      </c>
      <c r="E50" s="10">
        <f t="shared" si="0"/>
        <v>2.1052631578947368E-2</v>
      </c>
    </row>
    <row r="51" spans="2:5" ht="17">
      <c r="B51" s="8" t="s">
        <v>98</v>
      </c>
      <c r="C51" s="9" t="s">
        <v>99</v>
      </c>
      <c r="D51">
        <v>2</v>
      </c>
      <c r="E51" s="10">
        <f t="shared" si="0"/>
        <v>2.1052631578947368E-2</v>
      </c>
    </row>
    <row r="52" spans="2:5" ht="17">
      <c r="B52" s="8" t="s">
        <v>100</v>
      </c>
      <c r="C52" s="9" t="s">
        <v>101</v>
      </c>
      <c r="D52">
        <v>1</v>
      </c>
      <c r="E52" s="10">
        <f t="shared" si="0"/>
        <v>1.0526315789473684E-2</v>
      </c>
    </row>
    <row r="53" spans="2:5" ht="17">
      <c r="B53" s="11" t="s">
        <v>102</v>
      </c>
      <c r="C53" s="12" t="s">
        <v>103</v>
      </c>
      <c r="D53" s="13">
        <v>95</v>
      </c>
      <c r="E53" s="14">
        <f t="shared" si="0"/>
        <v>1</v>
      </c>
    </row>
  </sheetData>
  <mergeCells count="1">
    <mergeCell ref="G7:M12"/>
  </mergeCells>
  <hyperlinks>
    <hyperlink ref="H5" r:id="rId1" xr:uid="{2AF5D3F7-C3DF-3947-9FD3-E882D2336697}"/>
    <hyperlink ref="I5" r:id="rId2" xr:uid="{3E884A1A-3004-EC48-8A78-5415205EF5CA}"/>
    <hyperlink ref="J5" r:id="rId3" xr:uid="{9D371869-45C1-1C44-9288-564BD0FB578E}"/>
    <hyperlink ref="K5" r:id="rId4" xr:uid="{ADC28EAE-7EB6-F64D-89E1-5290DC09AD69}"/>
    <hyperlink ref="L5" r:id="rId5" xr:uid="{ECEA221E-B946-364F-81CF-140EC1B8ACC0}"/>
    <hyperlink ref="M5" r:id="rId6" xr:uid="{9D8DA530-11D0-AF4A-9097-0592CC7A83F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9446-2A71-0D4A-BD56-9A0A45A373BD}">
  <dimension ref="A1:Z53"/>
  <sheetViews>
    <sheetView workbookViewId="0">
      <selection activeCell="H5" sqref="H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174</v>
      </c>
    </row>
    <row r="4" spans="1:26" ht="17">
      <c r="B4" s="4" t="s">
        <v>2</v>
      </c>
      <c r="C4" s="5" t="s">
        <v>3</v>
      </c>
      <c r="D4" s="6" t="s">
        <v>104</v>
      </c>
      <c r="E4" s="7" t="s">
        <v>5</v>
      </c>
      <c r="G4" s="15" t="s">
        <v>106</v>
      </c>
      <c r="H4" t="s">
        <v>155</v>
      </c>
    </row>
    <row r="5" spans="1:26" ht="17">
      <c r="B5" s="8" t="s">
        <v>6</v>
      </c>
      <c r="C5" s="9" t="s">
        <v>7</v>
      </c>
      <c r="D5">
        <v>1</v>
      </c>
      <c r="E5" s="10">
        <f>D5/D$53</f>
        <v>2.3809523809523808E-2</v>
      </c>
      <c r="G5" s="15" t="s">
        <v>105</v>
      </c>
      <c r="H5" s="17" t="s">
        <v>156</v>
      </c>
    </row>
    <row r="6" spans="1:26" ht="17" customHeight="1">
      <c r="B6" s="8" t="s">
        <v>8</v>
      </c>
      <c r="C6" s="9" t="s">
        <v>9</v>
      </c>
      <c r="D6">
        <v>0</v>
      </c>
      <c r="E6" s="10">
        <f t="shared" ref="E6:E53" si="0">D6/D$53</f>
        <v>0</v>
      </c>
      <c r="G6" s="15"/>
    </row>
    <row r="7" spans="1:26" ht="17" customHeight="1">
      <c r="B7" s="8" t="s">
        <v>10</v>
      </c>
      <c r="C7" s="9" t="s">
        <v>11</v>
      </c>
      <c r="D7">
        <v>3</v>
      </c>
      <c r="E7" s="10">
        <f t="shared" si="0"/>
        <v>7.1428571428571425E-2</v>
      </c>
      <c r="G7" s="38" t="s">
        <v>175</v>
      </c>
      <c r="H7" s="38"/>
      <c r="I7" s="38"/>
      <c r="J7" s="38"/>
      <c r="K7" s="38"/>
      <c r="L7" s="38"/>
      <c r="M7" s="38"/>
    </row>
    <row r="8" spans="1:26" ht="17" customHeight="1">
      <c r="B8" s="8" t="s">
        <v>12</v>
      </c>
      <c r="C8" s="9" t="s">
        <v>13</v>
      </c>
      <c r="D8">
        <v>2</v>
      </c>
      <c r="E8" s="10">
        <f t="shared" si="0"/>
        <v>4.7619047619047616E-2</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0</v>
      </c>
      <c r="E12" s="10">
        <f t="shared" si="0"/>
        <v>0</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3</v>
      </c>
      <c r="E15" s="10">
        <f t="shared" si="0"/>
        <v>7.1428571428571425E-2</v>
      </c>
      <c r="H15" s="16"/>
      <c r="I15" s="16"/>
      <c r="J15" s="16"/>
      <c r="K15" s="16"/>
      <c r="L15" s="16"/>
    </row>
    <row r="16" spans="1:26" ht="17">
      <c r="B16" s="8" t="s">
        <v>28</v>
      </c>
      <c r="C16" s="9" t="s">
        <v>29</v>
      </c>
      <c r="D16">
        <v>13</v>
      </c>
      <c r="E16" s="10">
        <f t="shared" si="0"/>
        <v>0.30952380952380953</v>
      </c>
      <c r="H16" s="16"/>
      <c r="I16" s="16"/>
      <c r="J16" s="16"/>
      <c r="K16" s="16"/>
      <c r="L16" s="16"/>
    </row>
    <row r="17" spans="2:5" ht="17">
      <c r="B17" s="8" t="s">
        <v>30</v>
      </c>
      <c r="C17" s="9" t="s">
        <v>31</v>
      </c>
      <c r="D17">
        <v>0</v>
      </c>
      <c r="E17" s="10">
        <f t="shared" si="0"/>
        <v>0</v>
      </c>
    </row>
    <row r="18" spans="2:5" ht="17">
      <c r="B18" s="8" t="s">
        <v>32</v>
      </c>
      <c r="C18" s="9" t="s">
        <v>33</v>
      </c>
      <c r="D18">
        <v>0</v>
      </c>
      <c r="E18" s="10">
        <f t="shared" si="0"/>
        <v>0</v>
      </c>
    </row>
    <row r="19" spans="2:5" ht="17">
      <c r="B19" s="8" t="s">
        <v>34</v>
      </c>
      <c r="C19" s="9" t="s">
        <v>35</v>
      </c>
      <c r="D19">
        <v>1</v>
      </c>
      <c r="E19" s="10">
        <f t="shared" si="0"/>
        <v>2.3809523809523808E-2</v>
      </c>
    </row>
    <row r="20" spans="2:5" ht="17">
      <c r="B20" s="8" t="s">
        <v>36</v>
      </c>
      <c r="C20" s="9" t="s">
        <v>37</v>
      </c>
      <c r="D20">
        <v>0</v>
      </c>
      <c r="E20" s="10">
        <f t="shared" si="0"/>
        <v>0</v>
      </c>
    </row>
    <row r="21" spans="2:5" ht="17">
      <c r="B21" s="8" t="s">
        <v>38</v>
      </c>
      <c r="C21" s="9" t="s">
        <v>39</v>
      </c>
      <c r="D21">
        <v>0</v>
      </c>
      <c r="E21" s="10">
        <f t="shared" si="0"/>
        <v>0</v>
      </c>
    </row>
    <row r="22" spans="2:5" ht="17">
      <c r="B22" s="8" t="s">
        <v>40</v>
      </c>
      <c r="C22" s="9" t="s">
        <v>41</v>
      </c>
      <c r="D22">
        <v>1</v>
      </c>
      <c r="E22" s="10">
        <f t="shared" si="0"/>
        <v>2.3809523809523808E-2</v>
      </c>
    </row>
    <row r="23" spans="2:5" ht="17">
      <c r="B23" s="8" t="s">
        <v>42</v>
      </c>
      <c r="C23" s="9" t="s">
        <v>43</v>
      </c>
      <c r="D23">
        <v>0</v>
      </c>
      <c r="E23" s="10">
        <f t="shared" si="0"/>
        <v>0</v>
      </c>
    </row>
    <row r="24" spans="2:5" ht="17">
      <c r="B24" s="8" t="s">
        <v>44</v>
      </c>
      <c r="C24" s="9" t="s">
        <v>45</v>
      </c>
      <c r="D24">
        <v>3</v>
      </c>
      <c r="E24" s="10">
        <f t="shared" si="0"/>
        <v>7.1428571428571425E-2</v>
      </c>
    </row>
    <row r="25" spans="2:5" ht="17">
      <c r="B25" s="8" t="s">
        <v>46</v>
      </c>
      <c r="C25" s="9" t="s">
        <v>47</v>
      </c>
      <c r="D25">
        <v>0</v>
      </c>
      <c r="E25" s="10">
        <f t="shared" si="0"/>
        <v>0</v>
      </c>
    </row>
    <row r="26" spans="2:5" ht="17">
      <c r="B26" s="8" t="s">
        <v>48</v>
      </c>
      <c r="C26" s="9" t="s">
        <v>49</v>
      </c>
      <c r="D26">
        <v>0</v>
      </c>
      <c r="E26" s="10">
        <f t="shared" si="0"/>
        <v>0</v>
      </c>
    </row>
    <row r="27" spans="2:5" ht="17">
      <c r="B27" s="8" t="s">
        <v>50</v>
      </c>
      <c r="C27" s="9" t="s">
        <v>51</v>
      </c>
      <c r="D27">
        <v>0</v>
      </c>
      <c r="E27" s="10">
        <f t="shared" si="0"/>
        <v>0</v>
      </c>
    </row>
    <row r="28" spans="2:5" ht="17">
      <c r="B28" s="8" t="s">
        <v>52</v>
      </c>
      <c r="C28" s="9" t="s">
        <v>53</v>
      </c>
      <c r="D28">
        <v>0</v>
      </c>
      <c r="E28" s="10">
        <f t="shared" si="0"/>
        <v>0</v>
      </c>
    </row>
    <row r="29" spans="2:5" ht="17">
      <c r="B29" s="8" t="s">
        <v>54</v>
      </c>
      <c r="C29" s="9" t="s">
        <v>55</v>
      </c>
      <c r="D29">
        <v>0</v>
      </c>
      <c r="E29" s="10">
        <f t="shared" si="0"/>
        <v>0</v>
      </c>
    </row>
    <row r="30" spans="2:5" ht="17">
      <c r="B30" s="8" t="s">
        <v>56</v>
      </c>
      <c r="C30" s="9" t="s">
        <v>57</v>
      </c>
      <c r="D30">
        <v>0</v>
      </c>
      <c r="E30" s="10">
        <f t="shared" si="0"/>
        <v>0</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0</v>
      </c>
      <c r="E33" s="10">
        <f t="shared" si="0"/>
        <v>0</v>
      </c>
    </row>
    <row r="34" spans="2:5" ht="17">
      <c r="B34" s="8" t="s">
        <v>64</v>
      </c>
      <c r="C34" s="9" t="s">
        <v>65</v>
      </c>
      <c r="D34">
        <v>0</v>
      </c>
      <c r="E34" s="10">
        <f t="shared" si="0"/>
        <v>0</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5</v>
      </c>
      <c r="E37" s="10">
        <f t="shared" si="0"/>
        <v>0.11904761904761904</v>
      </c>
    </row>
    <row r="38" spans="2:5" ht="17">
      <c r="B38" s="8" t="s">
        <v>72</v>
      </c>
      <c r="C38" s="9" t="s">
        <v>73</v>
      </c>
      <c r="D38">
        <v>0</v>
      </c>
      <c r="E38" s="10">
        <f t="shared" si="0"/>
        <v>0</v>
      </c>
    </row>
    <row r="39" spans="2:5" ht="17">
      <c r="B39" s="8" t="s">
        <v>74</v>
      </c>
      <c r="C39" s="9" t="s">
        <v>75</v>
      </c>
      <c r="D39">
        <v>0</v>
      </c>
      <c r="E39" s="10">
        <f t="shared" si="0"/>
        <v>0</v>
      </c>
    </row>
    <row r="40" spans="2:5" ht="17">
      <c r="B40" s="8" t="s">
        <v>76</v>
      </c>
      <c r="C40" s="9" t="s">
        <v>77</v>
      </c>
      <c r="D40">
        <v>7</v>
      </c>
      <c r="E40" s="10">
        <f t="shared" si="0"/>
        <v>0.16666666666666666</v>
      </c>
    </row>
    <row r="41" spans="2:5" ht="17">
      <c r="B41" s="8" t="s">
        <v>78</v>
      </c>
      <c r="C41" s="9" t="s">
        <v>79</v>
      </c>
      <c r="D41">
        <v>0</v>
      </c>
      <c r="E41" s="10">
        <f t="shared" si="0"/>
        <v>0</v>
      </c>
    </row>
    <row r="42" spans="2:5" ht="17">
      <c r="B42" s="8" t="s">
        <v>80</v>
      </c>
      <c r="C42" s="9" t="s">
        <v>81</v>
      </c>
      <c r="D42">
        <v>1</v>
      </c>
      <c r="E42" s="10">
        <f t="shared" si="0"/>
        <v>2.3809523809523808E-2</v>
      </c>
    </row>
    <row r="43" spans="2:5" ht="17">
      <c r="B43" s="8" t="s">
        <v>82</v>
      </c>
      <c r="C43" s="9" t="s">
        <v>83</v>
      </c>
      <c r="D43">
        <v>0</v>
      </c>
      <c r="E43" s="10">
        <f t="shared" si="0"/>
        <v>0</v>
      </c>
    </row>
    <row r="44" spans="2:5" ht="17">
      <c r="B44" s="8" t="s">
        <v>84</v>
      </c>
      <c r="C44" s="9" t="s">
        <v>85</v>
      </c>
      <c r="D44">
        <v>0</v>
      </c>
      <c r="E44" s="10">
        <f t="shared" si="0"/>
        <v>0</v>
      </c>
    </row>
    <row r="45" spans="2:5" ht="17">
      <c r="B45" s="8" t="s">
        <v>86</v>
      </c>
      <c r="C45" s="9" t="s">
        <v>87</v>
      </c>
      <c r="D45">
        <v>0</v>
      </c>
      <c r="E45" s="10">
        <f t="shared" si="0"/>
        <v>0</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0</v>
      </c>
      <c r="E49" s="10">
        <f t="shared" si="0"/>
        <v>0</v>
      </c>
    </row>
    <row r="50" spans="2:5" ht="17">
      <c r="B50" s="8" t="s">
        <v>96</v>
      </c>
      <c r="C50" s="9" t="s">
        <v>97</v>
      </c>
      <c r="D50">
        <v>1</v>
      </c>
      <c r="E50" s="10">
        <f t="shared" si="0"/>
        <v>2.3809523809523808E-2</v>
      </c>
    </row>
    <row r="51" spans="2:5" ht="17">
      <c r="B51" s="8" t="s">
        <v>98</v>
      </c>
      <c r="C51" s="9" t="s">
        <v>99</v>
      </c>
      <c r="D51">
        <v>1</v>
      </c>
      <c r="E51" s="10">
        <f t="shared" si="0"/>
        <v>2.3809523809523808E-2</v>
      </c>
    </row>
    <row r="52" spans="2:5" ht="17">
      <c r="B52" s="8" t="s">
        <v>100</v>
      </c>
      <c r="C52" s="9" t="s">
        <v>101</v>
      </c>
      <c r="D52">
        <v>0</v>
      </c>
      <c r="E52" s="10">
        <f t="shared" si="0"/>
        <v>0</v>
      </c>
    </row>
    <row r="53" spans="2:5" ht="17">
      <c r="B53" s="11" t="s">
        <v>102</v>
      </c>
      <c r="C53" s="12" t="s">
        <v>103</v>
      </c>
      <c r="D53" s="13">
        <v>42</v>
      </c>
      <c r="E53" s="14">
        <f t="shared" si="0"/>
        <v>1</v>
      </c>
    </row>
  </sheetData>
  <mergeCells count="1">
    <mergeCell ref="G7:M12"/>
  </mergeCells>
  <hyperlinks>
    <hyperlink ref="H5" r:id="rId1" xr:uid="{DA5FD02E-6CA5-AC46-961E-BDF5BD41665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21D7-761F-044D-AA50-A6A439C31F34}">
  <dimension ref="A1:Z53"/>
  <sheetViews>
    <sheetView workbookViewId="0">
      <selection activeCell="G18" sqref="G18"/>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218</v>
      </c>
    </row>
    <row r="4" spans="1:26" ht="17">
      <c r="B4" s="4" t="s">
        <v>2</v>
      </c>
      <c r="C4" s="5" t="s">
        <v>3</v>
      </c>
      <c r="D4" s="6" t="s">
        <v>104</v>
      </c>
      <c r="E4" s="7" t="s">
        <v>5</v>
      </c>
      <c r="G4" s="15" t="s">
        <v>106</v>
      </c>
      <c r="H4" t="s">
        <v>155</v>
      </c>
    </row>
    <row r="5" spans="1:26" ht="17">
      <c r="B5" s="8" t="s">
        <v>6</v>
      </c>
      <c r="C5" s="9" t="s">
        <v>7</v>
      </c>
      <c r="D5">
        <v>24</v>
      </c>
      <c r="E5" s="10">
        <f>D5/D$53</f>
        <v>3.1088082901554404E-2</v>
      </c>
      <c r="G5" s="15" t="s">
        <v>105</v>
      </c>
      <c r="H5" s="17" t="s">
        <v>156</v>
      </c>
    </row>
    <row r="6" spans="1:26" ht="17" customHeight="1">
      <c r="B6" s="8" t="s">
        <v>8</v>
      </c>
      <c r="C6" s="9" t="s">
        <v>9</v>
      </c>
      <c r="D6">
        <v>0</v>
      </c>
      <c r="E6" s="10">
        <f t="shared" ref="E6:E53" si="0">D6/D$53</f>
        <v>0</v>
      </c>
      <c r="G6" s="15"/>
    </row>
    <row r="7" spans="1:26" ht="17" customHeight="1">
      <c r="B7" s="8" t="s">
        <v>10</v>
      </c>
      <c r="C7" s="9" t="s">
        <v>11</v>
      </c>
      <c r="D7">
        <v>15</v>
      </c>
      <c r="E7" s="10">
        <f t="shared" si="0"/>
        <v>1.9430051813471502E-2</v>
      </c>
      <c r="G7" s="38" t="s">
        <v>157</v>
      </c>
      <c r="H7" s="38"/>
      <c r="I7" s="38"/>
      <c r="J7" s="38"/>
      <c r="K7" s="38"/>
      <c r="L7" s="38"/>
      <c r="M7" s="38"/>
    </row>
    <row r="8" spans="1:26" ht="17" customHeight="1">
      <c r="B8" s="8" t="s">
        <v>12</v>
      </c>
      <c r="C8" s="9" t="s">
        <v>13</v>
      </c>
      <c r="D8">
        <v>60</v>
      </c>
      <c r="E8" s="10">
        <f t="shared" si="0"/>
        <v>7.7720207253886009E-2</v>
      </c>
      <c r="G8" s="38"/>
      <c r="H8" s="38"/>
      <c r="I8" s="38"/>
      <c r="J8" s="38"/>
      <c r="K8" s="38"/>
      <c r="L8" s="38"/>
      <c r="M8" s="38"/>
    </row>
    <row r="9" spans="1:26" ht="17" customHeight="1">
      <c r="B9" s="8" t="s">
        <v>14</v>
      </c>
      <c r="C9" s="9" t="s">
        <v>15</v>
      </c>
      <c r="D9">
        <v>1</v>
      </c>
      <c r="E9" s="10">
        <f t="shared" si="0"/>
        <v>1.2953367875647669E-3</v>
      </c>
      <c r="G9" s="38"/>
      <c r="H9" s="38"/>
      <c r="I9" s="38"/>
      <c r="J9" s="38"/>
      <c r="K9" s="38"/>
      <c r="L9" s="38"/>
      <c r="M9" s="38"/>
    </row>
    <row r="10" spans="1:26" ht="17" customHeight="1">
      <c r="B10" s="8" t="s">
        <v>16</v>
      </c>
      <c r="C10" s="9" t="s">
        <v>17</v>
      </c>
      <c r="D10">
        <v>10</v>
      </c>
      <c r="E10" s="10">
        <f t="shared" si="0"/>
        <v>1.2953367875647668E-2</v>
      </c>
      <c r="G10" s="38"/>
      <c r="H10" s="38"/>
      <c r="I10" s="38"/>
      <c r="J10" s="38"/>
      <c r="K10" s="38"/>
      <c r="L10" s="38"/>
      <c r="M10" s="38"/>
    </row>
    <row r="11" spans="1:26" ht="17" customHeight="1">
      <c r="B11" s="8" t="s">
        <v>18</v>
      </c>
      <c r="C11" s="9" t="s">
        <v>19</v>
      </c>
      <c r="D11">
        <v>2</v>
      </c>
      <c r="E11" s="10">
        <f t="shared" si="0"/>
        <v>2.5906735751295338E-3</v>
      </c>
      <c r="G11" s="38"/>
      <c r="H11" s="38"/>
      <c r="I11" s="38"/>
      <c r="J11" s="38"/>
      <c r="K11" s="38"/>
      <c r="L11" s="38"/>
      <c r="M11" s="38"/>
    </row>
    <row r="12" spans="1:26" ht="17" customHeight="1">
      <c r="B12" s="8" t="s">
        <v>20</v>
      </c>
      <c r="C12" s="9" t="s">
        <v>21</v>
      </c>
      <c r="D12">
        <v>20</v>
      </c>
      <c r="E12" s="10">
        <f t="shared" si="0"/>
        <v>2.5906735751295335E-2</v>
      </c>
      <c r="G12" s="38"/>
      <c r="H12" s="38"/>
      <c r="I12" s="38"/>
      <c r="J12" s="38"/>
      <c r="K12" s="38"/>
      <c r="L12" s="38"/>
      <c r="M12" s="38"/>
    </row>
    <row r="13" spans="1:26" ht="17" customHeight="1">
      <c r="B13" s="8" t="s">
        <v>22</v>
      </c>
      <c r="C13" s="9" t="s">
        <v>23</v>
      </c>
      <c r="D13">
        <v>36</v>
      </c>
      <c r="E13" s="10">
        <f t="shared" si="0"/>
        <v>4.6632124352331605E-2</v>
      </c>
      <c r="H13" s="16"/>
      <c r="I13" s="16"/>
      <c r="J13" s="16"/>
      <c r="K13" s="16"/>
      <c r="L13" s="16"/>
    </row>
    <row r="14" spans="1:26" ht="17">
      <c r="B14" s="8" t="s">
        <v>24</v>
      </c>
      <c r="C14" s="9" t="s">
        <v>25</v>
      </c>
      <c r="D14">
        <v>3</v>
      </c>
      <c r="E14" s="10">
        <f t="shared" si="0"/>
        <v>3.8860103626943004E-3</v>
      </c>
      <c r="H14" s="16"/>
      <c r="I14" s="16"/>
      <c r="J14" s="16"/>
      <c r="K14" s="16"/>
      <c r="L14" s="16"/>
    </row>
    <row r="15" spans="1:26" ht="17">
      <c r="B15" s="8" t="s">
        <v>26</v>
      </c>
      <c r="C15" s="9" t="s">
        <v>27</v>
      </c>
      <c r="D15">
        <v>15</v>
      </c>
      <c r="E15" s="10">
        <f t="shared" si="0"/>
        <v>1.9430051813471502E-2</v>
      </c>
      <c r="H15" s="16"/>
      <c r="I15" s="16"/>
      <c r="J15" s="16"/>
      <c r="K15" s="16"/>
      <c r="L15" s="16"/>
    </row>
    <row r="16" spans="1:26" ht="17">
      <c r="B16" s="8" t="s">
        <v>28</v>
      </c>
      <c r="C16" s="9" t="s">
        <v>29</v>
      </c>
      <c r="D16">
        <v>14</v>
      </c>
      <c r="E16" s="10">
        <f t="shared" si="0"/>
        <v>1.8134715025906734E-2</v>
      </c>
      <c r="H16" s="16"/>
      <c r="I16" s="16"/>
      <c r="J16" s="16"/>
      <c r="K16" s="16"/>
      <c r="L16" s="16"/>
    </row>
    <row r="17" spans="2:5" ht="17">
      <c r="B17" s="8" t="s">
        <v>30</v>
      </c>
      <c r="C17" s="9" t="s">
        <v>31</v>
      </c>
      <c r="D17">
        <v>8</v>
      </c>
      <c r="E17" s="10">
        <f t="shared" si="0"/>
        <v>1.0362694300518135E-2</v>
      </c>
    </row>
    <row r="18" spans="2:5" ht="17">
      <c r="B18" s="8" t="s">
        <v>32</v>
      </c>
      <c r="C18" s="9" t="s">
        <v>33</v>
      </c>
      <c r="D18">
        <v>3</v>
      </c>
      <c r="E18" s="10">
        <f t="shared" si="0"/>
        <v>3.8860103626943004E-3</v>
      </c>
    </row>
    <row r="19" spans="2:5" ht="17">
      <c r="B19" s="8" t="s">
        <v>34</v>
      </c>
      <c r="C19" s="9" t="s">
        <v>35</v>
      </c>
      <c r="D19">
        <v>14</v>
      </c>
      <c r="E19" s="10">
        <f t="shared" si="0"/>
        <v>1.8134715025906734E-2</v>
      </c>
    </row>
    <row r="20" spans="2:5" ht="17">
      <c r="B20" s="8" t="s">
        <v>36</v>
      </c>
      <c r="C20" s="9" t="s">
        <v>37</v>
      </c>
      <c r="D20">
        <v>26</v>
      </c>
      <c r="E20" s="10">
        <f t="shared" si="0"/>
        <v>3.367875647668394E-2</v>
      </c>
    </row>
    <row r="21" spans="2:5" ht="17">
      <c r="B21" s="8" t="s">
        <v>38</v>
      </c>
      <c r="C21" s="9" t="s">
        <v>39</v>
      </c>
      <c r="D21">
        <v>21</v>
      </c>
      <c r="E21" s="10">
        <f t="shared" si="0"/>
        <v>2.7202072538860103E-2</v>
      </c>
    </row>
    <row r="22" spans="2:5" ht="17">
      <c r="B22" s="8" t="s">
        <v>40</v>
      </c>
      <c r="C22" s="9" t="s">
        <v>41</v>
      </c>
      <c r="D22">
        <v>5</v>
      </c>
      <c r="E22" s="10">
        <f t="shared" si="0"/>
        <v>6.4766839378238338E-3</v>
      </c>
    </row>
    <row r="23" spans="2:5" ht="17">
      <c r="B23" s="8" t="s">
        <v>42</v>
      </c>
      <c r="C23" s="9" t="s">
        <v>43</v>
      </c>
      <c r="D23">
        <v>45</v>
      </c>
      <c r="E23" s="10">
        <f t="shared" si="0"/>
        <v>5.8290155440414507E-2</v>
      </c>
    </row>
    <row r="24" spans="2:5" ht="17">
      <c r="B24" s="8" t="s">
        <v>44</v>
      </c>
      <c r="C24" s="9" t="s">
        <v>45</v>
      </c>
      <c r="D24">
        <v>38</v>
      </c>
      <c r="E24" s="10">
        <f t="shared" si="0"/>
        <v>4.9222797927461141E-2</v>
      </c>
    </row>
    <row r="25" spans="2:5" ht="17">
      <c r="B25" s="8" t="s">
        <v>46</v>
      </c>
      <c r="C25" s="9" t="s">
        <v>47</v>
      </c>
      <c r="D25">
        <v>13</v>
      </c>
      <c r="E25" s="10">
        <f t="shared" si="0"/>
        <v>1.683937823834197E-2</v>
      </c>
    </row>
    <row r="26" spans="2:5" ht="17">
      <c r="B26" s="8" t="s">
        <v>48</v>
      </c>
      <c r="C26" s="9" t="s">
        <v>49</v>
      </c>
      <c r="D26">
        <v>14</v>
      </c>
      <c r="E26" s="10">
        <f t="shared" si="0"/>
        <v>1.8134715025906734E-2</v>
      </c>
    </row>
    <row r="27" spans="2:5" ht="17">
      <c r="B27" s="8" t="s">
        <v>50</v>
      </c>
      <c r="C27" s="9" t="s">
        <v>51</v>
      </c>
      <c r="D27">
        <v>9</v>
      </c>
      <c r="E27" s="10">
        <f t="shared" si="0"/>
        <v>1.1658031088082901E-2</v>
      </c>
    </row>
    <row r="28" spans="2:5" ht="17">
      <c r="B28" s="8" t="s">
        <v>52</v>
      </c>
      <c r="C28" s="9" t="s">
        <v>53</v>
      </c>
      <c r="D28">
        <v>1</v>
      </c>
      <c r="E28" s="10">
        <f t="shared" si="0"/>
        <v>1.2953367875647669E-3</v>
      </c>
    </row>
    <row r="29" spans="2:5" ht="17">
      <c r="B29" s="8" t="s">
        <v>54</v>
      </c>
      <c r="C29" s="9" t="s">
        <v>55</v>
      </c>
      <c r="D29">
        <v>1</v>
      </c>
      <c r="E29" s="10">
        <f t="shared" si="0"/>
        <v>1.2953367875647669E-3</v>
      </c>
    </row>
    <row r="30" spans="2:5" ht="17">
      <c r="B30" s="8" t="s">
        <v>56</v>
      </c>
      <c r="C30" s="9" t="s">
        <v>57</v>
      </c>
      <c r="D30">
        <v>2</v>
      </c>
      <c r="E30" s="10">
        <f t="shared" si="0"/>
        <v>2.5906735751295338E-3</v>
      </c>
    </row>
    <row r="31" spans="2:5" ht="17">
      <c r="B31" s="8" t="s">
        <v>58</v>
      </c>
      <c r="C31" s="9" t="s">
        <v>59</v>
      </c>
      <c r="D31">
        <v>6</v>
      </c>
      <c r="E31" s="10">
        <f t="shared" si="0"/>
        <v>7.7720207253886009E-3</v>
      </c>
    </row>
    <row r="32" spans="2:5" ht="17">
      <c r="B32" s="8" t="s">
        <v>60</v>
      </c>
      <c r="C32" s="9" t="s">
        <v>61</v>
      </c>
      <c r="D32">
        <v>23</v>
      </c>
      <c r="E32" s="10">
        <f t="shared" si="0"/>
        <v>2.9792746113989636E-2</v>
      </c>
    </row>
    <row r="33" spans="2:5" ht="17">
      <c r="B33" s="8" t="s">
        <v>62</v>
      </c>
      <c r="C33" s="9" t="s">
        <v>63</v>
      </c>
      <c r="D33">
        <v>4</v>
      </c>
      <c r="E33" s="10">
        <f t="shared" si="0"/>
        <v>5.1813471502590676E-3</v>
      </c>
    </row>
    <row r="34" spans="2:5" ht="17">
      <c r="B34" s="8" t="s">
        <v>64</v>
      </c>
      <c r="C34" s="9" t="s">
        <v>65</v>
      </c>
      <c r="D34">
        <v>56</v>
      </c>
      <c r="E34" s="10">
        <f t="shared" si="0"/>
        <v>7.2538860103626937E-2</v>
      </c>
    </row>
    <row r="35" spans="2:5" ht="17">
      <c r="B35" s="8" t="s">
        <v>66</v>
      </c>
      <c r="C35" s="9" t="s">
        <v>67</v>
      </c>
      <c r="D35">
        <v>20</v>
      </c>
      <c r="E35" s="10">
        <f t="shared" si="0"/>
        <v>2.5906735751295335E-2</v>
      </c>
    </row>
    <row r="36" spans="2:5" ht="17">
      <c r="B36" s="8" t="s">
        <v>68</v>
      </c>
      <c r="C36" s="9" t="s">
        <v>69</v>
      </c>
      <c r="D36">
        <v>0</v>
      </c>
      <c r="E36" s="10">
        <f t="shared" si="0"/>
        <v>0</v>
      </c>
    </row>
    <row r="37" spans="2:5" ht="17">
      <c r="B37" s="8" t="s">
        <v>70</v>
      </c>
      <c r="C37" s="9" t="s">
        <v>71</v>
      </c>
      <c r="D37">
        <v>22</v>
      </c>
      <c r="E37" s="10">
        <f t="shared" si="0"/>
        <v>2.8497409326424871E-2</v>
      </c>
    </row>
    <row r="38" spans="2:5" ht="17">
      <c r="B38" s="8" t="s">
        <v>72</v>
      </c>
      <c r="C38" s="9" t="s">
        <v>73</v>
      </c>
      <c r="D38">
        <v>11</v>
      </c>
      <c r="E38" s="10">
        <f t="shared" si="0"/>
        <v>1.4248704663212436E-2</v>
      </c>
    </row>
    <row r="39" spans="2:5" ht="17">
      <c r="B39" s="8" t="s">
        <v>74</v>
      </c>
      <c r="C39" s="9" t="s">
        <v>75</v>
      </c>
      <c r="D39">
        <v>20</v>
      </c>
      <c r="E39" s="10">
        <f t="shared" si="0"/>
        <v>2.5906735751295335E-2</v>
      </c>
    </row>
    <row r="40" spans="2:5" ht="17">
      <c r="B40" s="8" t="s">
        <v>76</v>
      </c>
      <c r="C40" s="9" t="s">
        <v>77</v>
      </c>
      <c r="D40">
        <v>32</v>
      </c>
      <c r="E40" s="10">
        <f t="shared" si="0"/>
        <v>4.145077720207254E-2</v>
      </c>
    </row>
    <row r="41" spans="2:5" ht="17">
      <c r="B41" s="8" t="s">
        <v>78</v>
      </c>
      <c r="C41" s="9" t="s">
        <v>79</v>
      </c>
      <c r="D41">
        <v>0</v>
      </c>
      <c r="E41" s="10">
        <f t="shared" si="0"/>
        <v>0</v>
      </c>
    </row>
    <row r="42" spans="2:5" ht="17">
      <c r="B42" s="8" t="s">
        <v>80</v>
      </c>
      <c r="C42" s="9" t="s">
        <v>81</v>
      </c>
      <c r="D42">
        <v>23</v>
      </c>
      <c r="E42" s="10">
        <f t="shared" si="0"/>
        <v>2.9792746113989636E-2</v>
      </c>
    </row>
    <row r="43" spans="2:5" ht="17">
      <c r="B43" s="8" t="s">
        <v>82</v>
      </c>
      <c r="C43" s="9" t="s">
        <v>83</v>
      </c>
      <c r="D43">
        <v>0</v>
      </c>
      <c r="E43" s="10">
        <f t="shared" si="0"/>
        <v>0</v>
      </c>
    </row>
    <row r="44" spans="2:5" ht="17">
      <c r="B44" s="8" t="s">
        <v>84</v>
      </c>
      <c r="C44" s="9" t="s">
        <v>85</v>
      </c>
      <c r="D44">
        <v>23</v>
      </c>
      <c r="E44" s="10">
        <f t="shared" si="0"/>
        <v>2.9792746113989636E-2</v>
      </c>
    </row>
    <row r="45" spans="2:5" ht="17">
      <c r="B45" s="8" t="s">
        <v>86</v>
      </c>
      <c r="C45" s="9" t="s">
        <v>87</v>
      </c>
      <c r="D45">
        <v>15</v>
      </c>
      <c r="E45" s="10">
        <f t="shared" si="0"/>
        <v>1.9430051813471502E-2</v>
      </c>
    </row>
    <row r="46" spans="2:5" ht="17">
      <c r="B46" s="8" t="s">
        <v>88</v>
      </c>
      <c r="C46" s="9" t="s">
        <v>89</v>
      </c>
      <c r="D46">
        <v>2</v>
      </c>
      <c r="E46" s="10">
        <f t="shared" si="0"/>
        <v>2.5906735751295338E-3</v>
      </c>
    </row>
    <row r="47" spans="2:5" ht="17">
      <c r="B47" s="8" t="s">
        <v>90</v>
      </c>
      <c r="C47" s="9" t="s">
        <v>91</v>
      </c>
      <c r="D47">
        <v>9</v>
      </c>
      <c r="E47" s="10">
        <f t="shared" si="0"/>
        <v>1.1658031088082901E-2</v>
      </c>
    </row>
    <row r="48" spans="2:5" ht="17">
      <c r="B48" s="8" t="s">
        <v>92</v>
      </c>
      <c r="C48" s="9" t="s">
        <v>93</v>
      </c>
      <c r="D48">
        <v>19</v>
      </c>
      <c r="E48" s="10">
        <f t="shared" si="0"/>
        <v>2.4611398963730571E-2</v>
      </c>
    </row>
    <row r="49" spans="2:5" ht="17">
      <c r="B49" s="8" t="s">
        <v>94</v>
      </c>
      <c r="C49" s="9" t="s">
        <v>95</v>
      </c>
      <c r="D49">
        <v>31</v>
      </c>
      <c r="E49" s="10">
        <f t="shared" si="0"/>
        <v>4.0155440414507769E-2</v>
      </c>
    </row>
    <row r="50" spans="2:5" ht="17">
      <c r="B50" s="8" t="s">
        <v>96</v>
      </c>
      <c r="C50" s="9" t="s">
        <v>97</v>
      </c>
      <c r="D50">
        <v>4</v>
      </c>
      <c r="E50" s="10">
        <f t="shared" si="0"/>
        <v>5.1813471502590676E-3</v>
      </c>
    </row>
    <row r="51" spans="2:5" ht="17">
      <c r="B51" s="8" t="s">
        <v>98</v>
      </c>
      <c r="C51" s="9" t="s">
        <v>99</v>
      </c>
      <c r="D51">
        <v>52</v>
      </c>
      <c r="E51" s="10">
        <f t="shared" si="0"/>
        <v>6.7357512953367879E-2</v>
      </c>
    </row>
    <row r="52" spans="2:5" ht="17">
      <c r="B52" s="8" t="s">
        <v>100</v>
      </c>
      <c r="C52" s="9" t="s">
        <v>101</v>
      </c>
      <c r="D52">
        <v>0</v>
      </c>
      <c r="E52" s="10">
        <f t="shared" si="0"/>
        <v>0</v>
      </c>
    </row>
    <row r="53" spans="2:5" ht="17">
      <c r="B53" s="11" t="s">
        <v>102</v>
      </c>
      <c r="C53" s="12" t="s">
        <v>103</v>
      </c>
      <c r="D53" s="13">
        <v>772</v>
      </c>
      <c r="E53" s="14">
        <f t="shared" si="0"/>
        <v>1</v>
      </c>
    </row>
  </sheetData>
  <mergeCells count="1">
    <mergeCell ref="G7:M12"/>
  </mergeCells>
  <hyperlinks>
    <hyperlink ref="H5" r:id="rId1" xr:uid="{96E11149-72BC-D246-8F8D-03102A0C72E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D844-8D57-CB41-A6D5-50665C4E7BEC}">
  <dimension ref="A1:Z53"/>
  <sheetViews>
    <sheetView workbookViewId="0">
      <selection activeCell="I72" sqref="I7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176</v>
      </c>
    </row>
    <row r="4" spans="1:26" ht="17">
      <c r="B4" s="4" t="s">
        <v>2</v>
      </c>
      <c r="C4" s="5" t="s">
        <v>3</v>
      </c>
      <c r="D4" s="6" t="s">
        <v>104</v>
      </c>
      <c r="E4" s="7" t="s">
        <v>5</v>
      </c>
      <c r="G4" s="15" t="s">
        <v>106</v>
      </c>
      <c r="H4" t="s">
        <v>4</v>
      </c>
    </row>
    <row r="5" spans="1:26" ht="17">
      <c r="B5" s="8" t="s">
        <v>6</v>
      </c>
      <c r="C5" s="9" t="s">
        <v>7</v>
      </c>
      <c r="D5">
        <v>31</v>
      </c>
      <c r="E5" s="10">
        <f>D5/D$53</f>
        <v>1.5734443203735662E-4</v>
      </c>
      <c r="G5" s="15" t="s">
        <v>105</v>
      </c>
      <c r="H5" s="17" t="s">
        <v>111</v>
      </c>
    </row>
    <row r="6" spans="1:26" ht="17" customHeight="1">
      <c r="B6" s="8" t="s">
        <v>8</v>
      </c>
      <c r="C6" s="9" t="s">
        <v>9</v>
      </c>
      <c r="D6">
        <v>19776</v>
      </c>
      <c r="E6" s="10">
        <f t="shared" ref="E6:E53" si="0">D6/D$53</f>
        <v>0.10037559638615369</v>
      </c>
      <c r="G6" s="15"/>
    </row>
    <row r="7" spans="1:26" ht="17" customHeight="1">
      <c r="B7" s="8" t="s">
        <v>10</v>
      </c>
      <c r="C7" s="9" t="s">
        <v>11</v>
      </c>
      <c r="D7">
        <v>161</v>
      </c>
      <c r="E7" s="10">
        <f t="shared" si="0"/>
        <v>8.1717592122627144E-4</v>
      </c>
      <c r="G7" s="38" t="s">
        <v>177</v>
      </c>
      <c r="H7" s="38"/>
      <c r="I7" s="38"/>
      <c r="J7" s="38"/>
      <c r="K7" s="38"/>
      <c r="L7" s="38"/>
      <c r="M7" s="38"/>
    </row>
    <row r="8" spans="1:26" ht="17" customHeight="1">
      <c r="B8" s="8" t="s">
        <v>12</v>
      </c>
      <c r="C8" s="9" t="s">
        <v>13</v>
      </c>
      <c r="D8">
        <v>47177</v>
      </c>
      <c r="E8" s="10">
        <f t="shared" si="0"/>
        <v>0.23945284742665721</v>
      </c>
      <c r="G8" s="38"/>
      <c r="H8" s="38"/>
      <c r="I8" s="38"/>
      <c r="J8" s="38"/>
      <c r="K8" s="38"/>
      <c r="L8" s="38"/>
      <c r="M8" s="38"/>
    </row>
    <row r="9" spans="1:26" ht="17" customHeight="1">
      <c r="B9" s="8" t="s">
        <v>14</v>
      </c>
      <c r="C9" s="9" t="s">
        <v>15</v>
      </c>
      <c r="D9">
        <v>1871</v>
      </c>
      <c r="E9" s="10">
        <f t="shared" si="0"/>
        <v>9.4964978174804596E-3</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8551</v>
      </c>
      <c r="E12" s="10">
        <f t="shared" si="0"/>
        <v>4.3401685108110849E-2</v>
      </c>
      <c r="G12" s="38"/>
      <c r="H12" s="38"/>
      <c r="I12" s="38"/>
      <c r="J12" s="38"/>
      <c r="K12" s="38"/>
      <c r="L12" s="38"/>
      <c r="M12" s="38"/>
    </row>
    <row r="13" spans="1:26" ht="17" customHeight="1">
      <c r="B13" s="8" t="s">
        <v>22</v>
      </c>
      <c r="C13" s="9" t="s">
        <v>23</v>
      </c>
      <c r="D13">
        <v>695</v>
      </c>
      <c r="E13" s="10">
        <f t="shared" si="0"/>
        <v>3.5275606537407368E-3</v>
      </c>
      <c r="H13" s="16"/>
      <c r="I13" s="16"/>
      <c r="J13" s="16"/>
      <c r="K13" s="16"/>
      <c r="L13" s="16"/>
    </row>
    <row r="14" spans="1:26" ht="17">
      <c r="B14" s="8" t="s">
        <v>24</v>
      </c>
      <c r="C14" s="9" t="s">
        <v>25</v>
      </c>
      <c r="D14">
        <v>7114</v>
      </c>
      <c r="E14" s="10">
        <f t="shared" si="0"/>
        <v>3.6108009339153382E-2</v>
      </c>
      <c r="H14" s="16"/>
      <c r="I14" s="16"/>
      <c r="J14" s="16"/>
      <c r="K14" s="16"/>
      <c r="L14" s="16"/>
    </row>
    <row r="15" spans="1:26" ht="17">
      <c r="B15" s="8" t="s">
        <v>26</v>
      </c>
      <c r="C15" s="9" t="s">
        <v>27</v>
      </c>
      <c r="D15">
        <v>282</v>
      </c>
      <c r="E15" s="10">
        <f t="shared" si="0"/>
        <v>1.4313267688559536E-3</v>
      </c>
      <c r="H15" s="16"/>
      <c r="I15" s="16"/>
      <c r="J15" s="16"/>
      <c r="K15" s="16"/>
      <c r="L15" s="16"/>
    </row>
    <row r="16" spans="1:26" ht="17">
      <c r="B16" s="8" t="s">
        <v>28</v>
      </c>
      <c r="C16" s="9" t="s">
        <v>29</v>
      </c>
      <c r="D16">
        <v>109</v>
      </c>
      <c r="E16" s="10">
        <f t="shared" si="0"/>
        <v>5.5324332555070556E-4</v>
      </c>
      <c r="H16" s="16"/>
      <c r="I16" s="16"/>
      <c r="J16" s="16"/>
      <c r="K16" s="16"/>
      <c r="L16" s="16"/>
    </row>
    <row r="17" spans="2:13" ht="17">
      <c r="B17" s="8" t="s">
        <v>30</v>
      </c>
      <c r="C17" s="9" t="s">
        <v>31</v>
      </c>
      <c r="D17">
        <v>0</v>
      </c>
      <c r="E17" s="10">
        <f t="shared" si="0"/>
        <v>0</v>
      </c>
      <c r="I17" s="18"/>
      <c r="J17" s="18"/>
      <c r="K17" s="31"/>
      <c r="L17" s="19"/>
      <c r="M17" s="19"/>
    </row>
    <row r="18" spans="2:13" ht="17">
      <c r="B18" s="8" t="s">
        <v>32</v>
      </c>
      <c r="C18" s="9" t="s">
        <v>33</v>
      </c>
      <c r="D18">
        <v>0</v>
      </c>
      <c r="E18" s="10">
        <f t="shared" si="0"/>
        <v>0</v>
      </c>
      <c r="K18" s="18"/>
      <c r="L18" s="18"/>
      <c r="M18" s="18"/>
    </row>
    <row r="19" spans="2:13" ht="17">
      <c r="B19" s="8" t="s">
        <v>34</v>
      </c>
      <c r="C19" s="9" t="s">
        <v>35</v>
      </c>
      <c r="D19">
        <v>151</v>
      </c>
      <c r="E19" s="10">
        <f t="shared" si="0"/>
        <v>7.6641965282712413E-4</v>
      </c>
      <c r="J19" s="18"/>
      <c r="K19" s="18"/>
      <c r="L19" s="18"/>
      <c r="M19" s="18"/>
    </row>
    <row r="20" spans="2:13" ht="17">
      <c r="B20" s="8" t="s">
        <v>36</v>
      </c>
      <c r="C20" s="9" t="s">
        <v>37</v>
      </c>
      <c r="D20">
        <v>0</v>
      </c>
      <c r="E20" s="10">
        <f t="shared" si="0"/>
        <v>0</v>
      </c>
      <c r="K20" s="18"/>
      <c r="L20" s="18"/>
      <c r="M20" s="18"/>
    </row>
    <row r="21" spans="2:13" ht="17">
      <c r="B21" s="8" t="s">
        <v>38</v>
      </c>
      <c r="C21" s="9" t="s">
        <v>39</v>
      </c>
      <c r="D21">
        <v>0</v>
      </c>
      <c r="E21" s="10">
        <f t="shared" si="0"/>
        <v>0</v>
      </c>
      <c r="J21" s="18"/>
      <c r="K21" s="18"/>
      <c r="L21" s="18"/>
      <c r="M21" s="18"/>
    </row>
    <row r="22" spans="2:13" ht="17">
      <c r="B22" s="8" t="s">
        <v>40</v>
      </c>
      <c r="C22" s="9" t="s">
        <v>41</v>
      </c>
      <c r="D22">
        <v>444</v>
      </c>
      <c r="E22" s="10">
        <f t="shared" si="0"/>
        <v>2.25357831692214E-3</v>
      </c>
      <c r="J22" s="18"/>
      <c r="K22" s="18"/>
      <c r="L22" s="18"/>
      <c r="M22" s="18"/>
    </row>
    <row r="23" spans="2:13" ht="17">
      <c r="B23" s="8" t="s">
        <v>42</v>
      </c>
      <c r="C23" s="9" t="s">
        <v>43</v>
      </c>
      <c r="D23">
        <v>7166</v>
      </c>
      <c r="E23" s="10">
        <f t="shared" si="0"/>
        <v>3.6371941934828948E-2</v>
      </c>
      <c r="J23" s="18"/>
      <c r="K23" s="18"/>
      <c r="L23" s="18"/>
      <c r="M23" s="18"/>
    </row>
    <row r="24" spans="2:13" ht="17">
      <c r="B24" s="8" t="s">
        <v>44</v>
      </c>
      <c r="C24" s="9" t="s">
        <v>45</v>
      </c>
      <c r="D24">
        <v>1527</v>
      </c>
      <c r="E24" s="10">
        <f t="shared" si="0"/>
        <v>7.7504821845497916E-3</v>
      </c>
      <c r="K24" s="18"/>
      <c r="L24" s="18"/>
      <c r="M24" s="18"/>
    </row>
    <row r="25" spans="2:13" ht="17">
      <c r="B25" s="8" t="s">
        <v>46</v>
      </c>
      <c r="C25" s="9" t="s">
        <v>47</v>
      </c>
      <c r="D25">
        <v>2580</v>
      </c>
      <c r="E25" s="10">
        <f t="shared" si="0"/>
        <v>1.3095117246980002E-2</v>
      </c>
      <c r="J25" s="18"/>
      <c r="K25" s="18"/>
      <c r="L25" s="18"/>
      <c r="M25" s="18"/>
    </row>
    <row r="26" spans="2:13" ht="17">
      <c r="B26" s="8" t="s">
        <v>48</v>
      </c>
      <c r="C26" s="9" t="s">
        <v>49</v>
      </c>
      <c r="D26">
        <v>0</v>
      </c>
      <c r="E26" s="10">
        <f t="shared" si="0"/>
        <v>0</v>
      </c>
      <c r="K26" s="18"/>
      <c r="L26" s="18"/>
      <c r="M26" s="18"/>
    </row>
    <row r="27" spans="2:13" ht="17">
      <c r="B27" s="8" t="s">
        <v>50</v>
      </c>
      <c r="C27" s="9" t="s">
        <v>51</v>
      </c>
      <c r="D27">
        <v>917</v>
      </c>
      <c r="E27" s="10">
        <f t="shared" si="0"/>
        <v>4.654349812201807E-3</v>
      </c>
      <c r="K27" s="18"/>
      <c r="L27" s="18"/>
      <c r="M27" s="18"/>
    </row>
    <row r="28" spans="2:13" ht="17">
      <c r="B28" s="8" t="s">
        <v>52</v>
      </c>
      <c r="C28" s="9" t="s">
        <v>53</v>
      </c>
      <c r="D28">
        <v>66</v>
      </c>
      <c r="E28" s="10">
        <f t="shared" si="0"/>
        <v>3.3499137143437217E-4</v>
      </c>
      <c r="K28" s="18"/>
      <c r="L28" s="18"/>
      <c r="M28" s="18"/>
    </row>
    <row r="29" spans="2:13" ht="17">
      <c r="B29" s="8" t="s">
        <v>54</v>
      </c>
      <c r="C29" s="9" t="s">
        <v>55</v>
      </c>
      <c r="D29">
        <v>0</v>
      </c>
      <c r="E29" s="10">
        <f t="shared" si="0"/>
        <v>0</v>
      </c>
      <c r="K29" s="18"/>
      <c r="L29" s="18"/>
      <c r="M29" s="18"/>
    </row>
    <row r="30" spans="2:13" ht="17">
      <c r="B30" s="8" t="s">
        <v>56</v>
      </c>
      <c r="C30" s="9" t="s">
        <v>57</v>
      </c>
      <c r="D30">
        <v>0</v>
      </c>
      <c r="E30" s="10">
        <f t="shared" si="0"/>
        <v>0</v>
      </c>
      <c r="J30" s="18"/>
      <c r="K30" s="18"/>
      <c r="L30" s="18"/>
      <c r="M30" s="18"/>
    </row>
    <row r="31" spans="2:13" ht="17">
      <c r="B31" s="8" t="s">
        <v>58</v>
      </c>
      <c r="C31" s="9" t="s">
        <v>59</v>
      </c>
      <c r="D31">
        <v>666</v>
      </c>
      <c r="E31" s="10">
        <f t="shared" si="0"/>
        <v>3.3803674753832098E-3</v>
      </c>
      <c r="J31" s="18"/>
      <c r="K31" s="18"/>
      <c r="L31" s="18"/>
      <c r="M31" s="18"/>
    </row>
    <row r="32" spans="2:13" ht="17">
      <c r="B32" s="8" t="s">
        <v>60</v>
      </c>
      <c r="C32" s="9" t="s">
        <v>61</v>
      </c>
      <c r="D32">
        <v>2286</v>
      </c>
      <c r="E32" s="10">
        <f t="shared" si="0"/>
        <v>1.1602882956045071E-2</v>
      </c>
      <c r="J32" s="18"/>
      <c r="K32" s="18"/>
      <c r="L32" s="18"/>
      <c r="M32" s="18"/>
    </row>
    <row r="33" spans="2:13" ht="17">
      <c r="B33" s="8" t="s">
        <v>62</v>
      </c>
      <c r="C33" s="9" t="s">
        <v>63</v>
      </c>
      <c r="D33">
        <v>4238</v>
      </c>
      <c r="E33" s="10">
        <f t="shared" si="0"/>
        <v>2.1510506547558622E-2</v>
      </c>
      <c r="K33" s="18"/>
      <c r="L33" s="18"/>
      <c r="M33" s="18"/>
    </row>
    <row r="34" spans="2:13" ht="17">
      <c r="B34" s="8" t="s">
        <v>64</v>
      </c>
      <c r="C34" s="9" t="s">
        <v>65</v>
      </c>
      <c r="D34">
        <v>7784</v>
      </c>
      <c r="E34" s="10">
        <f t="shared" si="0"/>
        <v>3.9508679321896258E-2</v>
      </c>
      <c r="K34" s="18"/>
      <c r="L34" s="18"/>
      <c r="M34" s="18"/>
    </row>
    <row r="35" spans="2:13" ht="17">
      <c r="B35" s="8" t="s">
        <v>66</v>
      </c>
      <c r="C35" s="9" t="s">
        <v>67</v>
      </c>
      <c r="D35">
        <v>5002</v>
      </c>
      <c r="E35" s="10">
        <f t="shared" si="0"/>
        <v>2.5388285453253476E-2</v>
      </c>
      <c r="K35" s="18"/>
      <c r="L35" s="18"/>
      <c r="M35" s="18"/>
    </row>
    <row r="36" spans="2:13" ht="17">
      <c r="B36" s="8" t="s">
        <v>68</v>
      </c>
      <c r="C36" s="9" t="s">
        <v>69</v>
      </c>
      <c r="D36">
        <v>3</v>
      </c>
      <c r="E36" s="10">
        <f t="shared" si="0"/>
        <v>1.5226880519744189E-5</v>
      </c>
      <c r="J36" s="18"/>
      <c r="K36" s="18"/>
      <c r="L36" s="18"/>
      <c r="M36" s="18"/>
    </row>
    <row r="37" spans="2:13" ht="17">
      <c r="B37" s="8" t="s">
        <v>70</v>
      </c>
      <c r="C37" s="9" t="s">
        <v>71</v>
      </c>
      <c r="D37">
        <v>4424</v>
      </c>
      <c r="E37" s="10">
        <f t="shared" si="0"/>
        <v>2.2454573139782764E-2</v>
      </c>
      <c r="J37" s="18"/>
      <c r="K37" s="18"/>
      <c r="L37" s="18"/>
      <c r="M37" s="18"/>
    </row>
    <row r="38" spans="2:13" ht="17">
      <c r="B38" s="8" t="s">
        <v>72</v>
      </c>
      <c r="C38" s="9" t="s">
        <v>73</v>
      </c>
      <c r="D38">
        <v>0</v>
      </c>
      <c r="E38" s="10">
        <f t="shared" si="0"/>
        <v>0</v>
      </c>
      <c r="J38" s="18"/>
      <c r="K38" s="18"/>
      <c r="L38" s="18"/>
      <c r="M38" s="18"/>
    </row>
    <row r="39" spans="2:13" ht="17">
      <c r="B39" s="8" t="s">
        <v>74</v>
      </c>
      <c r="C39" s="9" t="s">
        <v>75</v>
      </c>
      <c r="D39">
        <v>25370</v>
      </c>
      <c r="E39" s="10">
        <f t="shared" si="0"/>
        <v>0.12876865292863668</v>
      </c>
      <c r="J39" s="18"/>
      <c r="K39" s="18"/>
      <c r="L39" s="18"/>
      <c r="M39" s="18"/>
    </row>
    <row r="40" spans="2:13" ht="17">
      <c r="B40" s="8" t="s">
        <v>76</v>
      </c>
      <c r="C40" s="9" t="s">
        <v>77</v>
      </c>
      <c r="D40">
        <v>1735</v>
      </c>
      <c r="E40" s="10">
        <f t="shared" si="0"/>
        <v>8.8062125672520551E-3</v>
      </c>
      <c r="K40" s="18"/>
      <c r="L40" s="18"/>
      <c r="M40" s="18"/>
    </row>
    <row r="41" spans="2:13" ht="17">
      <c r="B41" s="8" t="s">
        <v>78</v>
      </c>
      <c r="C41" s="9" t="s">
        <v>79</v>
      </c>
      <c r="D41">
        <v>0</v>
      </c>
      <c r="E41" s="10">
        <f t="shared" si="0"/>
        <v>0</v>
      </c>
      <c r="J41" s="18"/>
      <c r="K41" s="18"/>
      <c r="L41" s="18"/>
      <c r="M41" s="18"/>
    </row>
    <row r="42" spans="2:13" ht="17">
      <c r="B42" s="8" t="s">
        <v>80</v>
      </c>
      <c r="C42" s="9" t="s">
        <v>81</v>
      </c>
      <c r="D42">
        <v>535</v>
      </c>
      <c r="E42" s="10">
        <f t="shared" si="0"/>
        <v>2.7154603593543803E-3</v>
      </c>
      <c r="J42" s="18"/>
      <c r="K42" s="18"/>
      <c r="L42" s="18"/>
      <c r="M42" s="18"/>
    </row>
    <row r="43" spans="2:13" ht="17">
      <c r="B43" s="8" t="s">
        <v>82</v>
      </c>
      <c r="C43" s="9" t="s">
        <v>83</v>
      </c>
      <c r="D43">
        <v>0</v>
      </c>
      <c r="E43" s="10">
        <f t="shared" si="0"/>
        <v>0</v>
      </c>
      <c r="J43" s="18"/>
      <c r="K43" s="18"/>
      <c r="L43" s="18"/>
      <c r="M43" s="18"/>
    </row>
    <row r="44" spans="2:13" ht="17">
      <c r="B44" s="8" t="s">
        <v>84</v>
      </c>
      <c r="C44" s="9" t="s">
        <v>85</v>
      </c>
      <c r="D44">
        <v>107</v>
      </c>
      <c r="E44" s="10">
        <f t="shared" si="0"/>
        <v>5.4309207187087601E-4</v>
      </c>
      <c r="K44" s="18"/>
      <c r="L44" s="18"/>
      <c r="M44" s="18"/>
    </row>
    <row r="45" spans="2:13" ht="17">
      <c r="B45" s="8" t="s">
        <v>86</v>
      </c>
      <c r="C45" s="9" t="s">
        <v>87</v>
      </c>
      <c r="D45">
        <v>34634</v>
      </c>
      <c r="E45" s="10">
        <f t="shared" si="0"/>
        <v>0.17578925997360675</v>
      </c>
      <c r="K45" s="18"/>
      <c r="L45" s="18"/>
      <c r="M45" s="18"/>
    </row>
    <row r="46" spans="2:13" ht="17">
      <c r="B46" s="8" t="s">
        <v>88</v>
      </c>
      <c r="C46" s="9" t="s">
        <v>89</v>
      </c>
      <c r="D46">
        <v>1239</v>
      </c>
      <c r="E46" s="10">
        <f t="shared" si="0"/>
        <v>6.2887016546543497E-3</v>
      </c>
      <c r="J46" s="18"/>
      <c r="K46" s="18"/>
      <c r="L46" s="18"/>
      <c r="M46" s="18"/>
    </row>
    <row r="47" spans="2:13" ht="17">
      <c r="B47" s="8" t="s">
        <v>90</v>
      </c>
      <c r="C47" s="9" t="s">
        <v>91</v>
      </c>
      <c r="D47">
        <v>0</v>
      </c>
      <c r="E47" s="10">
        <f t="shared" si="0"/>
        <v>0</v>
      </c>
      <c r="J47" s="18"/>
      <c r="K47" s="18"/>
      <c r="L47" s="18"/>
      <c r="M47" s="18"/>
    </row>
    <row r="48" spans="2:13" ht="17">
      <c r="B48" s="8" t="s">
        <v>92</v>
      </c>
      <c r="C48" s="9" t="s">
        <v>93</v>
      </c>
      <c r="D48">
        <v>0</v>
      </c>
      <c r="E48" s="10">
        <f t="shared" si="0"/>
        <v>0</v>
      </c>
      <c r="J48" s="18"/>
      <c r="K48" s="18"/>
      <c r="L48" s="18"/>
      <c r="M48" s="18"/>
    </row>
    <row r="49" spans="2:5" ht="17">
      <c r="B49" s="8" t="s">
        <v>94</v>
      </c>
      <c r="C49" s="9" t="s">
        <v>95</v>
      </c>
      <c r="D49">
        <v>4161</v>
      </c>
      <c r="E49" s="10">
        <f t="shared" si="0"/>
        <v>2.111968328088519E-2</v>
      </c>
    </row>
    <row r="50" spans="2:5" ht="17">
      <c r="B50" s="8" t="s">
        <v>96</v>
      </c>
      <c r="C50" s="9" t="s">
        <v>97</v>
      </c>
      <c r="D50">
        <v>0</v>
      </c>
      <c r="E50" s="10">
        <f t="shared" si="0"/>
        <v>0</v>
      </c>
    </row>
    <row r="51" spans="2:5" ht="17">
      <c r="B51" s="8" t="s">
        <v>98</v>
      </c>
      <c r="C51" s="9" t="s">
        <v>99</v>
      </c>
      <c r="D51">
        <v>0</v>
      </c>
      <c r="E51" s="10">
        <f t="shared" si="0"/>
        <v>0</v>
      </c>
    </row>
    <row r="52" spans="2:5" ht="17">
      <c r="B52" s="8" t="s">
        <v>100</v>
      </c>
      <c r="C52" s="9" t="s">
        <v>101</v>
      </c>
      <c r="D52">
        <v>0</v>
      </c>
      <c r="E52" s="10">
        <f t="shared" si="0"/>
        <v>0</v>
      </c>
    </row>
    <row r="53" spans="2:5" ht="17">
      <c r="B53" s="11" t="s">
        <v>102</v>
      </c>
      <c r="C53" s="12" t="s">
        <v>103</v>
      </c>
      <c r="D53" s="13">
        <v>197020</v>
      </c>
      <c r="E53" s="14">
        <f t="shared" si="0"/>
        <v>1</v>
      </c>
    </row>
  </sheetData>
  <mergeCells count="1">
    <mergeCell ref="G7:M12"/>
  </mergeCells>
  <hyperlinks>
    <hyperlink ref="H5" r:id="rId1" location="tab=Tables" display="U.S. Bureau of Labor Statistics Quarterly Census of Employment and Wages" xr:uid="{515DA0E0-DE50-7C4E-853B-03BF98E27BF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8994-AFF4-5843-8BE1-378A5695BD1F}">
  <dimension ref="A1:Z98"/>
  <sheetViews>
    <sheetView workbookViewId="0">
      <selection activeCell="G28" sqref="G28"/>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219</v>
      </c>
    </row>
    <row r="4" spans="1:26" ht="17">
      <c r="B4" s="4" t="s">
        <v>2</v>
      </c>
      <c r="C4" s="5" t="s">
        <v>3</v>
      </c>
      <c r="D4" s="6" t="s">
        <v>104</v>
      </c>
      <c r="E4" s="7" t="s">
        <v>5</v>
      </c>
      <c r="G4" s="15" t="s">
        <v>106</v>
      </c>
      <c r="H4" t="s">
        <v>189</v>
      </c>
    </row>
    <row r="5" spans="1:26" ht="17">
      <c r="B5" s="8" t="s">
        <v>6</v>
      </c>
      <c r="C5" s="9" t="s">
        <v>7</v>
      </c>
      <c r="D5">
        <v>0</v>
      </c>
      <c r="E5" s="10">
        <f>D5/D$53</f>
        <v>0</v>
      </c>
      <c r="G5" s="15" t="s">
        <v>105</v>
      </c>
      <c r="H5" s="17" t="s">
        <v>190</v>
      </c>
    </row>
    <row r="6" spans="1:26" ht="17" customHeight="1">
      <c r="B6" s="8" t="s">
        <v>8</v>
      </c>
      <c r="C6" s="9" t="s">
        <v>9</v>
      </c>
      <c r="D6">
        <v>57</v>
      </c>
      <c r="E6" s="10">
        <f t="shared" ref="E6:E53" si="0">D6/D$53</f>
        <v>7.5098814229249009E-2</v>
      </c>
      <c r="G6" s="15"/>
    </row>
    <row r="7" spans="1:26" ht="17" customHeight="1">
      <c r="B7" s="8" t="s">
        <v>10</v>
      </c>
      <c r="C7" s="9" t="s">
        <v>11</v>
      </c>
      <c r="D7">
        <v>0</v>
      </c>
      <c r="E7" s="10">
        <f t="shared" si="0"/>
        <v>0</v>
      </c>
      <c r="G7" s="38" t="s">
        <v>191</v>
      </c>
      <c r="H7" s="38"/>
      <c r="I7" s="38"/>
      <c r="J7" s="38"/>
      <c r="K7" s="38"/>
      <c r="L7" s="38"/>
      <c r="M7" s="38"/>
    </row>
    <row r="8" spans="1:26" ht="17" customHeight="1">
      <c r="B8" s="8" t="s">
        <v>12</v>
      </c>
      <c r="C8" s="9" t="s">
        <v>13</v>
      </c>
      <c r="D8">
        <v>4</v>
      </c>
      <c r="E8" s="10">
        <f t="shared" si="0"/>
        <v>5.270092226613966E-3</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1</v>
      </c>
      <c r="E10" s="10">
        <f t="shared" si="0"/>
        <v>1.3175230566534915E-3</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1</v>
      </c>
      <c r="E12" s="10">
        <f t="shared" si="0"/>
        <v>1.3175230566534915E-3</v>
      </c>
      <c r="G12" s="38"/>
      <c r="H12" s="38"/>
      <c r="I12" s="38"/>
      <c r="J12" s="38"/>
      <c r="K12" s="38"/>
      <c r="L12" s="38"/>
      <c r="M12" s="38"/>
    </row>
    <row r="13" spans="1:26" ht="17" customHeight="1">
      <c r="B13" s="8" t="s">
        <v>22</v>
      </c>
      <c r="C13" s="9" t="s">
        <v>23</v>
      </c>
      <c r="D13">
        <v>138</v>
      </c>
      <c r="E13" s="10">
        <f t="shared" si="0"/>
        <v>0.18181818181818182</v>
      </c>
      <c r="H13" s="16"/>
      <c r="I13" s="16"/>
      <c r="J13" s="16"/>
      <c r="K13" s="16"/>
      <c r="L13" s="16"/>
      <c r="M13" s="27"/>
    </row>
    <row r="14" spans="1:26" ht="17">
      <c r="B14" s="8" t="s">
        <v>24</v>
      </c>
      <c r="C14" s="9" t="s">
        <v>25</v>
      </c>
      <c r="D14">
        <v>0</v>
      </c>
      <c r="E14" s="10">
        <f t="shared" si="0"/>
        <v>0</v>
      </c>
      <c r="H14" s="16"/>
      <c r="I14" s="16"/>
      <c r="J14" s="16"/>
      <c r="K14" s="16"/>
      <c r="L14" s="16"/>
      <c r="M14" s="27"/>
    </row>
    <row r="15" spans="1:26" ht="17">
      <c r="B15" s="8" t="s">
        <v>26</v>
      </c>
      <c r="C15" s="9" t="s">
        <v>27</v>
      </c>
      <c r="D15">
        <v>40</v>
      </c>
      <c r="E15" s="10">
        <f t="shared" si="0"/>
        <v>5.2700922266139656E-2</v>
      </c>
      <c r="H15" s="16"/>
      <c r="I15" s="16"/>
      <c r="J15" s="16"/>
      <c r="K15" s="16"/>
      <c r="L15" s="16"/>
      <c r="M15" s="27"/>
    </row>
    <row r="16" spans="1:26" ht="17">
      <c r="B16" s="8" t="s">
        <v>28</v>
      </c>
      <c r="C16" s="9" t="s">
        <v>29</v>
      </c>
      <c r="D16">
        <v>104</v>
      </c>
      <c r="E16" s="10">
        <f t="shared" si="0"/>
        <v>0.1370223978919631</v>
      </c>
      <c r="H16" s="16"/>
      <c r="I16" s="16"/>
      <c r="J16" s="16"/>
      <c r="K16" s="16"/>
      <c r="L16" s="16"/>
      <c r="M16" s="27"/>
    </row>
    <row r="17" spans="2:16" ht="17">
      <c r="B17" s="8" t="s">
        <v>30</v>
      </c>
      <c r="C17" s="9" t="s">
        <v>31</v>
      </c>
      <c r="D17">
        <v>0</v>
      </c>
      <c r="E17" s="10">
        <f t="shared" si="0"/>
        <v>0</v>
      </c>
      <c r="I17" s="16"/>
      <c r="K17" s="16"/>
      <c r="M17" s="27"/>
    </row>
    <row r="18" spans="2:16" ht="17">
      <c r="B18" s="8" t="s">
        <v>32</v>
      </c>
      <c r="C18" s="9" t="s">
        <v>33</v>
      </c>
      <c r="D18">
        <v>5</v>
      </c>
      <c r="E18" s="10">
        <f t="shared" si="0"/>
        <v>6.587615283267457E-3</v>
      </c>
      <c r="I18" s="16"/>
      <c r="K18" s="16"/>
      <c r="M18" s="27"/>
    </row>
    <row r="19" spans="2:16" ht="17">
      <c r="B19" s="8" t="s">
        <v>34</v>
      </c>
      <c r="C19" s="9" t="s">
        <v>35</v>
      </c>
      <c r="D19">
        <v>26</v>
      </c>
      <c r="E19" s="10">
        <f t="shared" si="0"/>
        <v>3.4255599472990776E-2</v>
      </c>
      <c r="I19" s="16"/>
      <c r="K19" s="16"/>
      <c r="M19" s="27"/>
    </row>
    <row r="20" spans="2:16" ht="17">
      <c r="B20" s="8" t="s">
        <v>36</v>
      </c>
      <c r="C20" s="9" t="s">
        <v>37</v>
      </c>
      <c r="D20">
        <v>0</v>
      </c>
      <c r="E20" s="10">
        <f t="shared" si="0"/>
        <v>0</v>
      </c>
      <c r="I20" s="16"/>
      <c r="J20" s="28"/>
      <c r="K20" s="16"/>
      <c r="L20" s="30"/>
      <c r="M20" s="27"/>
      <c r="N20" s="30"/>
      <c r="O20" s="28"/>
      <c r="P20" s="28"/>
    </row>
    <row r="21" spans="2:16" ht="17">
      <c r="B21" s="8" t="s">
        <v>38</v>
      </c>
      <c r="C21" s="9" t="s">
        <v>39</v>
      </c>
      <c r="D21">
        <v>0</v>
      </c>
      <c r="E21" s="10">
        <f t="shared" si="0"/>
        <v>0</v>
      </c>
      <c r="I21" s="16"/>
      <c r="J21" s="28"/>
      <c r="K21" s="16"/>
      <c r="L21" s="29"/>
      <c r="M21" s="27"/>
      <c r="N21" s="29"/>
      <c r="O21" s="28"/>
      <c r="P21" s="28"/>
    </row>
    <row r="22" spans="2:16" ht="17">
      <c r="B22" s="8" t="s">
        <v>40</v>
      </c>
      <c r="C22" s="9" t="s">
        <v>41</v>
      </c>
      <c r="D22">
        <v>0</v>
      </c>
      <c r="E22" s="10">
        <f t="shared" si="0"/>
        <v>0</v>
      </c>
      <c r="I22" s="16"/>
      <c r="J22" s="28"/>
      <c r="K22" s="16"/>
      <c r="L22" s="29"/>
      <c r="M22" s="27"/>
      <c r="N22" s="29"/>
      <c r="O22" s="28"/>
      <c r="P22" s="28"/>
    </row>
    <row r="23" spans="2:16" ht="17">
      <c r="B23" s="8" t="s">
        <v>42</v>
      </c>
      <c r="C23" s="9" t="s">
        <v>43</v>
      </c>
      <c r="D23">
        <v>0</v>
      </c>
      <c r="E23" s="10">
        <f t="shared" si="0"/>
        <v>0</v>
      </c>
      <c r="I23" s="16"/>
      <c r="J23" s="28"/>
      <c r="K23" s="16"/>
      <c r="L23" s="29"/>
      <c r="M23" s="27"/>
      <c r="N23" s="29"/>
      <c r="O23" s="28"/>
      <c r="P23" s="28"/>
    </row>
    <row r="24" spans="2:16" ht="17">
      <c r="B24" s="8" t="s">
        <v>44</v>
      </c>
      <c r="C24" s="9" t="s">
        <v>45</v>
      </c>
      <c r="D24">
        <v>92</v>
      </c>
      <c r="E24" s="10">
        <f t="shared" si="0"/>
        <v>0.12121212121212122</v>
      </c>
      <c r="I24" s="16"/>
      <c r="J24" s="28"/>
      <c r="K24" s="16"/>
      <c r="L24" s="29"/>
      <c r="M24" s="27"/>
      <c r="N24" s="29"/>
      <c r="O24" s="28"/>
      <c r="P24" s="28"/>
    </row>
    <row r="25" spans="2:16" ht="17">
      <c r="B25" s="8" t="s">
        <v>46</v>
      </c>
      <c r="C25" s="9" t="s">
        <v>47</v>
      </c>
      <c r="D25">
        <v>0</v>
      </c>
      <c r="E25" s="10">
        <f t="shared" si="0"/>
        <v>0</v>
      </c>
      <c r="I25" s="16"/>
      <c r="J25" s="28"/>
      <c r="K25" s="16"/>
      <c r="L25" s="29"/>
      <c r="M25" s="27"/>
      <c r="N25" s="29"/>
      <c r="O25" s="28"/>
      <c r="P25" s="28"/>
    </row>
    <row r="26" spans="2:16" ht="17">
      <c r="B26" s="8" t="s">
        <v>48</v>
      </c>
      <c r="C26" s="9" t="s">
        <v>49</v>
      </c>
      <c r="D26">
        <v>21</v>
      </c>
      <c r="E26" s="10">
        <f t="shared" si="0"/>
        <v>2.766798418972332E-2</v>
      </c>
      <c r="I26" s="16"/>
      <c r="J26" s="28"/>
      <c r="K26" s="16"/>
      <c r="L26" s="29"/>
      <c r="M26" s="27"/>
      <c r="N26" s="29"/>
      <c r="O26" s="28"/>
      <c r="P26" s="28"/>
    </row>
    <row r="27" spans="2:16" ht="17">
      <c r="B27" s="8" t="s">
        <v>50</v>
      </c>
      <c r="C27" s="9" t="s">
        <v>51</v>
      </c>
      <c r="D27">
        <v>0</v>
      </c>
      <c r="E27" s="10">
        <f t="shared" si="0"/>
        <v>0</v>
      </c>
      <c r="I27" s="16"/>
      <c r="J27" s="28"/>
      <c r="K27" s="16"/>
      <c r="L27" s="29"/>
      <c r="M27" s="27"/>
      <c r="N27" s="29"/>
      <c r="O27" s="28"/>
      <c r="P27" s="28"/>
    </row>
    <row r="28" spans="2:16" ht="17">
      <c r="B28" s="8" t="s">
        <v>52</v>
      </c>
      <c r="C28" s="9" t="s">
        <v>53</v>
      </c>
      <c r="D28">
        <v>0</v>
      </c>
      <c r="E28" s="10">
        <f t="shared" si="0"/>
        <v>0</v>
      </c>
      <c r="I28" s="16"/>
      <c r="J28" s="28"/>
      <c r="K28" s="16"/>
      <c r="L28" s="29"/>
      <c r="M28" s="27"/>
      <c r="N28" s="29"/>
      <c r="O28" s="28"/>
      <c r="P28" s="28"/>
    </row>
    <row r="29" spans="2:16" ht="17">
      <c r="B29" s="8" t="s">
        <v>54</v>
      </c>
      <c r="C29" s="9" t="s">
        <v>55</v>
      </c>
      <c r="D29">
        <v>0</v>
      </c>
      <c r="E29" s="10">
        <f t="shared" si="0"/>
        <v>0</v>
      </c>
      <c r="I29" s="16"/>
      <c r="J29" s="28"/>
      <c r="K29" s="16"/>
      <c r="L29" s="29"/>
      <c r="M29" s="27"/>
      <c r="N29" s="29"/>
      <c r="O29" s="28"/>
      <c r="P29" s="28"/>
    </row>
    <row r="30" spans="2:16" ht="17">
      <c r="B30" s="8" t="s">
        <v>56</v>
      </c>
      <c r="C30" s="9" t="s">
        <v>57</v>
      </c>
      <c r="D30">
        <v>20</v>
      </c>
      <c r="E30" s="10">
        <f t="shared" si="0"/>
        <v>2.6350461133069828E-2</v>
      </c>
      <c r="I30" s="16"/>
      <c r="J30" s="28"/>
      <c r="K30" s="16"/>
      <c r="L30" s="29"/>
      <c r="M30" s="27"/>
      <c r="N30" s="29"/>
      <c r="O30" s="28"/>
      <c r="P30" s="28"/>
    </row>
    <row r="31" spans="2:16" ht="17">
      <c r="B31" s="8" t="s">
        <v>58</v>
      </c>
      <c r="C31" s="9" t="s">
        <v>59</v>
      </c>
      <c r="D31">
        <v>0</v>
      </c>
      <c r="E31" s="10">
        <f t="shared" si="0"/>
        <v>0</v>
      </c>
      <c r="I31" s="16"/>
      <c r="J31" s="28"/>
      <c r="K31" s="16"/>
      <c r="L31" s="29"/>
      <c r="M31" s="27"/>
      <c r="N31" s="29"/>
      <c r="O31" s="28"/>
      <c r="P31" s="28"/>
    </row>
    <row r="32" spans="2:16" ht="17">
      <c r="B32" s="8" t="s">
        <v>60</v>
      </c>
      <c r="C32" s="9" t="s">
        <v>61</v>
      </c>
      <c r="D32">
        <v>0</v>
      </c>
      <c r="E32" s="10">
        <f t="shared" si="0"/>
        <v>0</v>
      </c>
      <c r="I32" s="16"/>
      <c r="J32" s="28"/>
      <c r="K32" s="16"/>
      <c r="L32" s="29"/>
      <c r="M32" s="27"/>
      <c r="N32" s="29"/>
      <c r="O32" s="28"/>
      <c r="P32" s="28"/>
    </row>
    <row r="33" spans="2:16" ht="17">
      <c r="B33" s="8" t="s">
        <v>62</v>
      </c>
      <c r="C33" s="9" t="s">
        <v>63</v>
      </c>
      <c r="D33">
        <v>0</v>
      </c>
      <c r="E33" s="10">
        <f t="shared" si="0"/>
        <v>0</v>
      </c>
      <c r="I33" s="16"/>
      <c r="J33" s="28"/>
      <c r="K33" s="16"/>
      <c r="L33" s="29"/>
      <c r="M33" s="27"/>
      <c r="N33" s="29"/>
      <c r="O33" s="28"/>
      <c r="P33" s="28"/>
    </row>
    <row r="34" spans="2:16" ht="17">
      <c r="B34" s="8" t="s">
        <v>64</v>
      </c>
      <c r="C34" s="9" t="s">
        <v>65</v>
      </c>
      <c r="D34">
        <v>0</v>
      </c>
      <c r="E34" s="10">
        <f t="shared" si="0"/>
        <v>0</v>
      </c>
      <c r="I34" s="16"/>
      <c r="J34" s="28"/>
      <c r="K34" s="16"/>
      <c r="L34" s="29"/>
      <c r="M34" s="27"/>
      <c r="N34" s="29"/>
      <c r="O34" s="28"/>
      <c r="P34" s="28"/>
    </row>
    <row r="35" spans="2:16" ht="17">
      <c r="B35" s="8" t="s">
        <v>66</v>
      </c>
      <c r="C35" s="9" t="s">
        <v>67</v>
      </c>
      <c r="D35">
        <v>31</v>
      </c>
      <c r="E35" s="10">
        <f t="shared" si="0"/>
        <v>4.0843214756258232E-2</v>
      </c>
      <c r="I35" s="16"/>
      <c r="J35" s="28"/>
      <c r="K35" s="16"/>
      <c r="L35" s="29"/>
      <c r="M35" s="27"/>
      <c r="N35" s="29"/>
      <c r="O35" s="28"/>
      <c r="P35" s="28"/>
    </row>
    <row r="36" spans="2:16" ht="17">
      <c r="B36" s="8" t="s">
        <v>68</v>
      </c>
      <c r="C36" s="9" t="s">
        <v>69</v>
      </c>
      <c r="D36">
        <v>0</v>
      </c>
      <c r="E36" s="10">
        <f t="shared" si="0"/>
        <v>0</v>
      </c>
      <c r="I36" s="16"/>
      <c r="J36" s="28"/>
      <c r="K36" s="16"/>
      <c r="L36" s="29"/>
      <c r="M36" s="27"/>
      <c r="N36" s="29"/>
      <c r="O36" s="28"/>
      <c r="P36" s="28"/>
    </row>
    <row r="37" spans="2:16" ht="17">
      <c r="B37" s="8" t="s">
        <v>70</v>
      </c>
      <c r="C37" s="9" t="s">
        <v>71</v>
      </c>
      <c r="D37">
        <v>85</v>
      </c>
      <c r="E37" s="10">
        <f t="shared" si="0"/>
        <v>0.11198945981554677</v>
      </c>
      <c r="I37" s="16"/>
      <c r="J37" s="28"/>
      <c r="K37" s="16"/>
      <c r="L37" s="29"/>
      <c r="M37" s="27"/>
      <c r="N37" s="29"/>
      <c r="O37" s="28"/>
      <c r="P37" s="28"/>
    </row>
    <row r="38" spans="2:16" ht="17">
      <c r="B38" s="8" t="s">
        <v>72</v>
      </c>
      <c r="C38" s="9" t="s">
        <v>73</v>
      </c>
      <c r="D38">
        <v>0</v>
      </c>
      <c r="E38" s="10">
        <f t="shared" si="0"/>
        <v>0</v>
      </c>
      <c r="I38" s="16"/>
      <c r="J38" s="28"/>
      <c r="K38" s="16"/>
      <c r="L38" s="29"/>
      <c r="M38" s="27"/>
      <c r="N38" s="29"/>
      <c r="O38" s="28"/>
      <c r="P38" s="28"/>
    </row>
    <row r="39" spans="2:16" ht="17">
      <c r="B39" s="8" t="s">
        <v>74</v>
      </c>
      <c r="C39" s="9" t="s">
        <v>75</v>
      </c>
      <c r="D39">
        <v>0</v>
      </c>
      <c r="E39" s="10">
        <f t="shared" si="0"/>
        <v>0</v>
      </c>
      <c r="I39" s="16"/>
      <c r="J39" s="28"/>
      <c r="K39" s="16"/>
      <c r="L39" s="29"/>
      <c r="M39" s="27"/>
      <c r="N39" s="29"/>
      <c r="O39" s="28"/>
      <c r="P39" s="28"/>
    </row>
    <row r="40" spans="2:16" ht="17">
      <c r="B40" s="8" t="s">
        <v>76</v>
      </c>
      <c r="C40" s="9" t="s">
        <v>77</v>
      </c>
      <c r="D40">
        <v>0</v>
      </c>
      <c r="E40" s="10">
        <f t="shared" si="0"/>
        <v>0</v>
      </c>
      <c r="I40" s="16"/>
      <c r="J40" s="28"/>
      <c r="K40" s="16"/>
      <c r="L40" s="29"/>
      <c r="M40" s="27"/>
      <c r="N40" s="29"/>
      <c r="O40" s="28"/>
      <c r="P40" s="28"/>
    </row>
    <row r="41" spans="2:16" ht="17">
      <c r="B41" s="8" t="s">
        <v>78</v>
      </c>
      <c r="C41" s="9" t="s">
        <v>79</v>
      </c>
      <c r="D41">
        <v>0</v>
      </c>
      <c r="E41" s="10">
        <f t="shared" si="0"/>
        <v>0</v>
      </c>
      <c r="I41" s="16"/>
      <c r="J41" s="28"/>
      <c r="K41" s="16"/>
      <c r="L41" s="29"/>
      <c r="M41" s="27"/>
      <c r="N41" s="29"/>
      <c r="O41" s="28"/>
      <c r="P41" s="28"/>
    </row>
    <row r="42" spans="2:16" ht="17">
      <c r="B42" s="8" t="s">
        <v>80</v>
      </c>
      <c r="C42" s="9" t="s">
        <v>81</v>
      </c>
      <c r="D42">
        <v>33</v>
      </c>
      <c r="E42" s="10">
        <f t="shared" si="0"/>
        <v>4.3478260869565216E-2</v>
      </c>
      <c r="I42" s="16"/>
      <c r="J42" s="28"/>
      <c r="K42" s="16"/>
      <c r="L42" s="29"/>
      <c r="M42" s="27"/>
      <c r="N42" s="29"/>
      <c r="O42" s="28"/>
      <c r="P42" s="28"/>
    </row>
    <row r="43" spans="2:16" ht="17">
      <c r="B43" s="8" t="s">
        <v>82</v>
      </c>
      <c r="C43" s="9" t="s">
        <v>83</v>
      </c>
      <c r="D43">
        <v>0</v>
      </c>
      <c r="E43" s="10">
        <f t="shared" si="0"/>
        <v>0</v>
      </c>
      <c r="I43" s="16"/>
      <c r="J43" s="28"/>
      <c r="K43" s="16"/>
      <c r="L43" s="29"/>
      <c r="M43" s="27"/>
      <c r="N43" s="29"/>
      <c r="O43" s="28"/>
      <c r="P43" s="28"/>
    </row>
    <row r="44" spans="2:16" ht="17">
      <c r="B44" s="8" t="s">
        <v>84</v>
      </c>
      <c r="C44" s="9" t="s">
        <v>85</v>
      </c>
      <c r="D44">
        <v>91</v>
      </c>
      <c r="E44" s="10">
        <f t="shared" si="0"/>
        <v>0.11989459815546773</v>
      </c>
      <c r="I44" s="16"/>
      <c r="K44" s="16"/>
      <c r="M44" s="27"/>
    </row>
    <row r="45" spans="2:16" ht="17">
      <c r="B45" s="8" t="s">
        <v>86</v>
      </c>
      <c r="C45" s="9" t="s">
        <v>87</v>
      </c>
      <c r="D45">
        <v>10</v>
      </c>
      <c r="E45" s="10">
        <f t="shared" si="0"/>
        <v>1.3175230566534914E-2</v>
      </c>
      <c r="I45" s="16"/>
      <c r="K45" s="16"/>
      <c r="M45" s="27"/>
    </row>
    <row r="46" spans="2:16" ht="17">
      <c r="B46" s="8" t="s">
        <v>88</v>
      </c>
      <c r="C46" s="9" t="s">
        <v>89</v>
      </c>
      <c r="D46">
        <v>0</v>
      </c>
      <c r="E46" s="10">
        <f t="shared" si="0"/>
        <v>0</v>
      </c>
      <c r="I46" s="16"/>
      <c r="K46" s="16"/>
      <c r="M46" s="27"/>
    </row>
    <row r="47" spans="2:16" ht="17">
      <c r="B47" s="8" t="s">
        <v>90</v>
      </c>
      <c r="C47" s="9" t="s">
        <v>91</v>
      </c>
      <c r="D47">
        <v>0</v>
      </c>
      <c r="E47" s="10">
        <f t="shared" si="0"/>
        <v>0</v>
      </c>
      <c r="I47" s="16"/>
      <c r="K47" s="16"/>
      <c r="M47" s="27"/>
    </row>
    <row r="48" spans="2:16" ht="17">
      <c r="B48" s="8" t="s">
        <v>92</v>
      </c>
      <c r="C48" s="9" t="s">
        <v>93</v>
      </c>
      <c r="D48">
        <v>0</v>
      </c>
      <c r="E48" s="10">
        <f t="shared" si="0"/>
        <v>0</v>
      </c>
      <c r="I48" s="16"/>
      <c r="K48" s="16"/>
      <c r="M48" s="27"/>
    </row>
    <row r="49" spans="2:13" ht="17">
      <c r="B49" s="8" t="s">
        <v>94</v>
      </c>
      <c r="C49" s="9" t="s">
        <v>95</v>
      </c>
      <c r="D49">
        <v>0</v>
      </c>
      <c r="E49" s="10">
        <f t="shared" si="0"/>
        <v>0</v>
      </c>
      <c r="I49" s="16"/>
      <c r="K49" s="16"/>
      <c r="M49" s="27"/>
    </row>
    <row r="50" spans="2:13" ht="17">
      <c r="B50" s="8" t="s">
        <v>96</v>
      </c>
      <c r="C50" s="9" t="s">
        <v>97</v>
      </c>
      <c r="D50">
        <v>0</v>
      </c>
      <c r="E50" s="10">
        <f t="shared" si="0"/>
        <v>0</v>
      </c>
      <c r="I50" s="16"/>
      <c r="K50" s="16"/>
      <c r="M50" s="27"/>
    </row>
    <row r="51" spans="2:13" ht="17">
      <c r="B51" s="8" t="s">
        <v>98</v>
      </c>
      <c r="C51" s="9" t="s">
        <v>99</v>
      </c>
      <c r="D51">
        <v>0</v>
      </c>
      <c r="E51" s="10">
        <f t="shared" si="0"/>
        <v>0</v>
      </c>
      <c r="I51" s="16"/>
      <c r="K51" s="16"/>
      <c r="M51" s="27"/>
    </row>
    <row r="52" spans="2:13" ht="17">
      <c r="B52" s="8" t="s">
        <v>100</v>
      </c>
      <c r="C52" s="9" t="s">
        <v>101</v>
      </c>
      <c r="D52">
        <v>0</v>
      </c>
      <c r="E52" s="10">
        <f t="shared" si="0"/>
        <v>0</v>
      </c>
      <c r="I52" s="16"/>
      <c r="K52" s="16"/>
      <c r="M52" s="27"/>
    </row>
    <row r="53" spans="2:13" ht="17">
      <c r="B53" s="11" t="s">
        <v>102</v>
      </c>
      <c r="C53" s="12" t="s">
        <v>103</v>
      </c>
      <c r="D53">
        <v>759</v>
      </c>
      <c r="E53" s="14">
        <f t="shared" si="0"/>
        <v>1</v>
      </c>
      <c r="I53" s="16"/>
      <c r="K53" s="33"/>
      <c r="M53" s="27"/>
    </row>
    <row r="54" spans="2:13">
      <c r="I54" s="16"/>
      <c r="K54" s="16"/>
      <c r="M54" s="27"/>
    </row>
    <row r="55" spans="2:13">
      <c r="F55" s="32"/>
      <c r="I55" s="16"/>
      <c r="K55" s="16"/>
      <c r="M55" s="27"/>
    </row>
    <row r="56" spans="2:13">
      <c r="I56" s="16"/>
      <c r="K56" s="16"/>
      <c r="M56" s="27"/>
    </row>
    <row r="57" spans="2:13">
      <c r="I57" s="16"/>
      <c r="K57" s="16"/>
      <c r="M57" s="27"/>
    </row>
    <row r="58" spans="2:13">
      <c r="I58" s="16"/>
      <c r="K58" s="16"/>
      <c r="M58" s="27"/>
    </row>
    <row r="59" spans="2:13">
      <c r="I59" s="16"/>
      <c r="K59" s="16"/>
      <c r="M59" s="27"/>
    </row>
    <row r="60" spans="2:13">
      <c r="I60" s="16"/>
      <c r="K60" s="16"/>
      <c r="M60" s="27"/>
    </row>
    <row r="61" spans="2:13">
      <c r="I61" s="16"/>
      <c r="K61" s="16"/>
      <c r="M61" s="27"/>
    </row>
    <row r="62" spans="2:13">
      <c r="I62" s="16"/>
      <c r="K62" s="16"/>
      <c r="M62" s="27"/>
    </row>
    <row r="63" spans="2:13">
      <c r="I63" s="16"/>
      <c r="K63" s="16"/>
      <c r="M63" s="27"/>
    </row>
    <row r="64" spans="2:13">
      <c r="I64" s="16"/>
      <c r="K64" s="16"/>
      <c r="M64" s="27"/>
    </row>
    <row r="65" spans="9:13">
      <c r="I65" s="16"/>
      <c r="K65" s="16"/>
      <c r="M65" s="27"/>
    </row>
    <row r="66" spans="9:13">
      <c r="I66" s="16"/>
      <c r="K66" s="16"/>
      <c r="M66" s="27"/>
    </row>
    <row r="67" spans="9:13">
      <c r="I67" s="16"/>
      <c r="K67" s="16"/>
      <c r="M67" s="27"/>
    </row>
    <row r="68" spans="9:13">
      <c r="I68" s="16"/>
      <c r="K68" s="16"/>
      <c r="M68" s="27"/>
    </row>
    <row r="69" spans="9:13">
      <c r="I69" s="16"/>
      <c r="K69" s="16"/>
      <c r="M69" s="27"/>
    </row>
    <row r="70" spans="9:13">
      <c r="I70" s="16"/>
      <c r="K70" s="16"/>
      <c r="M70" s="27"/>
    </row>
    <row r="71" spans="9:13">
      <c r="I71" s="16"/>
      <c r="K71" s="16"/>
      <c r="M71" s="27"/>
    </row>
    <row r="72" spans="9:13">
      <c r="I72" s="16"/>
      <c r="K72" s="16"/>
      <c r="M72" s="27"/>
    </row>
    <row r="73" spans="9:13">
      <c r="I73" s="16"/>
      <c r="K73" s="16"/>
      <c r="M73" s="27"/>
    </row>
    <row r="74" spans="9:13">
      <c r="I74" s="16"/>
      <c r="K74" s="16"/>
      <c r="M74" s="27"/>
    </row>
    <row r="75" spans="9:13">
      <c r="I75" s="16"/>
      <c r="K75" s="16"/>
      <c r="M75" s="27"/>
    </row>
    <row r="76" spans="9:13">
      <c r="I76" s="16"/>
      <c r="K76" s="16"/>
      <c r="M76" s="27"/>
    </row>
    <row r="77" spans="9:13">
      <c r="I77" s="16"/>
      <c r="K77" s="16"/>
      <c r="M77" s="27"/>
    </row>
    <row r="78" spans="9:13">
      <c r="I78" s="16"/>
      <c r="K78" s="16"/>
      <c r="M78" s="27"/>
    </row>
    <row r="79" spans="9:13">
      <c r="I79" s="16"/>
      <c r="K79" s="16"/>
      <c r="M79" s="27"/>
    </row>
    <row r="80" spans="9:13">
      <c r="I80" s="16"/>
      <c r="K80" s="16"/>
      <c r="M80" s="27"/>
    </row>
    <row r="81" spans="9:13">
      <c r="I81" s="16"/>
      <c r="K81" s="16"/>
      <c r="M81" s="27"/>
    </row>
    <row r="82" spans="9:13">
      <c r="I82" s="16"/>
      <c r="K82" s="16"/>
      <c r="M82" s="27"/>
    </row>
    <row r="83" spans="9:13">
      <c r="I83" s="16"/>
      <c r="K83" s="16"/>
      <c r="M83" s="27"/>
    </row>
    <row r="84" spans="9:13">
      <c r="I84" s="16"/>
      <c r="K84" s="16"/>
      <c r="M84" s="27"/>
    </row>
    <row r="85" spans="9:13">
      <c r="I85" s="16"/>
      <c r="K85" s="16"/>
      <c r="M85" s="27"/>
    </row>
    <row r="86" spans="9:13">
      <c r="I86" s="16"/>
      <c r="K86" s="16"/>
      <c r="M86" s="27"/>
    </row>
    <row r="87" spans="9:13">
      <c r="I87" s="16"/>
      <c r="K87" s="16"/>
      <c r="M87" s="27"/>
    </row>
    <row r="88" spans="9:13">
      <c r="I88" s="16"/>
      <c r="K88" s="16"/>
      <c r="M88" s="27"/>
    </row>
    <row r="89" spans="9:13">
      <c r="I89" s="16"/>
      <c r="K89" s="16"/>
      <c r="M89" s="27"/>
    </row>
    <row r="90" spans="9:13">
      <c r="I90" s="16"/>
      <c r="K90" s="16"/>
      <c r="M90" s="27"/>
    </row>
    <row r="91" spans="9:13">
      <c r="I91" s="16"/>
      <c r="K91" s="16"/>
      <c r="M91" s="27"/>
    </row>
    <row r="92" spans="9:13">
      <c r="I92" s="16"/>
      <c r="K92" s="16"/>
      <c r="M92" s="27"/>
    </row>
    <row r="93" spans="9:13">
      <c r="I93" s="16"/>
      <c r="K93" s="16"/>
      <c r="M93" s="27"/>
    </row>
    <row r="94" spans="9:13">
      <c r="I94" s="16"/>
      <c r="K94" s="16"/>
      <c r="M94" s="27"/>
    </row>
    <row r="95" spans="9:13">
      <c r="I95" s="16"/>
      <c r="K95" s="16"/>
      <c r="M95" s="27"/>
    </row>
    <row r="96" spans="9:13">
      <c r="I96" s="16"/>
      <c r="K96" s="16"/>
      <c r="M96" s="27"/>
    </row>
    <row r="97" spans="9:13">
      <c r="I97" s="16"/>
      <c r="K97" s="16"/>
      <c r="M97" s="27"/>
    </row>
    <row r="98" spans="9:13">
      <c r="I98" s="16"/>
      <c r="K98" s="16"/>
      <c r="M98" s="27"/>
    </row>
  </sheetData>
  <mergeCells count="1">
    <mergeCell ref="G7:M12"/>
  </mergeCells>
  <hyperlinks>
    <hyperlink ref="H5" r:id="rId1" xr:uid="{BE7B3B79-D284-3749-906A-BE233EF7258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40218-F926-2447-BD49-80D7B43837ED}">
  <dimension ref="A1:Z57"/>
  <sheetViews>
    <sheetView workbookViewId="0">
      <selection activeCell="D45" sqref="D4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193</v>
      </c>
    </row>
    <row r="4" spans="1:26" ht="17">
      <c r="B4" s="4" t="s">
        <v>2</v>
      </c>
      <c r="C4" s="5" t="s">
        <v>3</v>
      </c>
      <c r="D4" s="6" t="s">
        <v>104</v>
      </c>
      <c r="E4" s="7" t="s">
        <v>5</v>
      </c>
      <c r="G4" s="15" t="s">
        <v>106</v>
      </c>
      <c r="H4" t="s">
        <v>4</v>
      </c>
    </row>
    <row r="5" spans="1:26" ht="17">
      <c r="B5" s="8" t="s">
        <v>6</v>
      </c>
      <c r="C5" s="9" t="s">
        <v>7</v>
      </c>
      <c r="D5">
        <v>176</v>
      </c>
      <c r="E5" s="10">
        <f>D5/D$53</f>
        <v>3.2374960910913674E-3</v>
      </c>
      <c r="G5" s="15" t="s">
        <v>105</v>
      </c>
      <c r="H5" s="17" t="s">
        <v>111</v>
      </c>
    </row>
    <row r="6" spans="1:26" ht="17" customHeight="1">
      <c r="B6" s="8" t="s">
        <v>8</v>
      </c>
      <c r="C6" s="9" t="s">
        <v>9</v>
      </c>
      <c r="D6">
        <v>429</v>
      </c>
      <c r="E6" s="10">
        <f t="shared" ref="E6:E53" si="0">D6/D$53</f>
        <v>7.8913967220352078E-3</v>
      </c>
      <c r="G6" s="15"/>
    </row>
    <row r="7" spans="1:26" ht="17" customHeight="1">
      <c r="B7" s="8" t="s">
        <v>10</v>
      </c>
      <c r="C7" s="9" t="s">
        <v>11</v>
      </c>
      <c r="D7">
        <v>1186</v>
      </c>
      <c r="E7" s="10">
        <f t="shared" si="0"/>
        <v>2.1816308886558874E-2</v>
      </c>
      <c r="G7" s="38" t="s">
        <v>192</v>
      </c>
      <c r="H7" s="38"/>
      <c r="I7" s="38"/>
      <c r="J7" s="38"/>
      <c r="K7" s="38"/>
      <c r="L7" s="38"/>
      <c r="M7" s="38"/>
    </row>
    <row r="8" spans="1:26" ht="17" customHeight="1">
      <c r="B8" s="8" t="s">
        <v>12</v>
      </c>
      <c r="C8" s="9" t="s">
        <v>13</v>
      </c>
      <c r="D8">
        <v>8104</v>
      </c>
      <c r="E8" s="10">
        <f t="shared" si="0"/>
        <v>0.14907197910343431</v>
      </c>
      <c r="G8" s="38"/>
      <c r="H8" s="38"/>
      <c r="I8" s="38"/>
      <c r="J8" s="38"/>
      <c r="K8" s="38"/>
      <c r="L8" s="38"/>
      <c r="M8" s="38"/>
    </row>
    <row r="9" spans="1:26" ht="17" customHeight="1">
      <c r="B9" s="8" t="s">
        <v>14</v>
      </c>
      <c r="C9" s="9" t="s">
        <v>15</v>
      </c>
      <c r="D9">
        <v>626</v>
      </c>
      <c r="E9" s="10">
        <f t="shared" si="0"/>
        <v>1.1515184960359068E-2</v>
      </c>
      <c r="G9" s="38"/>
      <c r="H9" s="38"/>
      <c r="I9" s="38"/>
      <c r="J9" s="38"/>
      <c r="K9" s="38"/>
      <c r="L9" s="38"/>
      <c r="M9" s="38"/>
    </row>
    <row r="10" spans="1:26" ht="17" customHeight="1">
      <c r="B10" s="8" t="s">
        <v>16</v>
      </c>
      <c r="C10" s="9" t="s">
        <v>17</v>
      </c>
      <c r="D10">
        <v>324</v>
      </c>
      <c r="E10" s="10">
        <f t="shared" si="0"/>
        <v>5.9599359858727441E-3</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2993</v>
      </c>
      <c r="E12" s="10">
        <f t="shared" si="0"/>
        <v>5.5055828412707175E-2</v>
      </c>
      <c r="G12" s="38"/>
      <c r="H12" s="38"/>
      <c r="I12" s="38"/>
      <c r="J12" s="38"/>
      <c r="K12" s="38"/>
      <c r="L12" s="38"/>
      <c r="M12" s="38"/>
    </row>
    <row r="13" spans="1:26" ht="17" customHeight="1">
      <c r="B13" s="8" t="s">
        <v>22</v>
      </c>
      <c r="C13" s="9" t="s">
        <v>23</v>
      </c>
      <c r="D13">
        <v>874</v>
      </c>
      <c r="E13" s="10">
        <f t="shared" si="0"/>
        <v>1.6077111270533267E-2</v>
      </c>
      <c r="H13" s="16"/>
      <c r="I13" s="16"/>
      <c r="J13" s="16"/>
      <c r="K13" s="16"/>
      <c r="L13" s="16"/>
    </row>
    <row r="14" spans="1:26" ht="17">
      <c r="B14" s="8" t="s">
        <v>24</v>
      </c>
      <c r="C14" s="9" t="s">
        <v>25</v>
      </c>
      <c r="D14">
        <v>922</v>
      </c>
      <c r="E14" s="10">
        <f t="shared" si="0"/>
        <v>1.6960064749921823E-2</v>
      </c>
      <c r="H14" s="16"/>
      <c r="I14" s="16"/>
      <c r="J14" s="16"/>
      <c r="K14" s="16"/>
      <c r="L14" s="16"/>
    </row>
    <row r="15" spans="1:26" ht="17">
      <c r="B15" s="8" t="s">
        <v>26</v>
      </c>
      <c r="C15" s="9" t="s">
        <v>27</v>
      </c>
      <c r="D15">
        <v>2839</v>
      </c>
      <c r="E15" s="10">
        <f t="shared" si="0"/>
        <v>5.2223019333002225E-2</v>
      </c>
      <c r="H15" s="16"/>
      <c r="I15" s="16"/>
      <c r="J15" s="16"/>
      <c r="K15" s="16"/>
      <c r="L15" s="16"/>
    </row>
    <row r="16" spans="1:26" ht="17">
      <c r="B16" s="8" t="s">
        <v>28</v>
      </c>
      <c r="C16" s="9" t="s">
        <v>29</v>
      </c>
      <c r="D16">
        <v>1022</v>
      </c>
      <c r="E16" s="10">
        <f t="shared" si="0"/>
        <v>1.8799551165314645E-2</v>
      </c>
      <c r="H16" s="16"/>
      <c r="I16" s="16"/>
      <c r="J16" s="16"/>
      <c r="K16" s="16"/>
      <c r="L16" s="16"/>
    </row>
    <row r="17" spans="2:16" ht="17">
      <c r="B17" s="8" t="s">
        <v>30</v>
      </c>
      <c r="C17" s="9" t="s">
        <v>31</v>
      </c>
      <c r="D17">
        <v>1101</v>
      </c>
      <c r="E17" s="10">
        <f t="shared" si="0"/>
        <v>2.0252745433474974E-2</v>
      </c>
    </row>
    <row r="18" spans="2:16" ht="17">
      <c r="B18" s="8" t="s">
        <v>32</v>
      </c>
      <c r="C18" s="9" t="s">
        <v>33</v>
      </c>
      <c r="D18">
        <v>0</v>
      </c>
      <c r="E18" s="10">
        <f t="shared" si="0"/>
        <v>0</v>
      </c>
      <c r="H18" s="18"/>
      <c r="I18" s="18"/>
      <c r="J18" s="19"/>
      <c r="K18" s="19"/>
      <c r="L18" s="19"/>
    </row>
    <row r="19" spans="2:16" ht="17">
      <c r="B19" s="8" t="s">
        <v>34</v>
      </c>
      <c r="C19" s="9" t="s">
        <v>35</v>
      </c>
      <c r="D19">
        <v>740</v>
      </c>
      <c r="E19" s="10">
        <f t="shared" si="0"/>
        <v>1.3612199473906884E-2</v>
      </c>
      <c r="J19" s="18"/>
      <c r="L19" s="18"/>
    </row>
    <row r="20" spans="2:16" ht="17">
      <c r="B20" s="8" t="s">
        <v>36</v>
      </c>
      <c r="C20" s="9" t="s">
        <v>37</v>
      </c>
      <c r="D20">
        <v>83</v>
      </c>
      <c r="E20" s="10">
        <f t="shared" si="0"/>
        <v>1.5267737247760425E-3</v>
      </c>
      <c r="I20" s="28"/>
      <c r="J20" s="29"/>
      <c r="K20" s="29"/>
      <c r="L20" s="30"/>
      <c r="M20" s="30"/>
      <c r="N20" s="30"/>
      <c r="O20" s="28"/>
      <c r="P20" s="28"/>
    </row>
    <row r="21" spans="2:16" ht="17">
      <c r="B21" s="8" t="s">
        <v>38</v>
      </c>
      <c r="C21" s="9" t="s">
        <v>39</v>
      </c>
      <c r="D21">
        <v>0</v>
      </c>
      <c r="E21" s="10">
        <f t="shared" si="0"/>
        <v>0</v>
      </c>
      <c r="I21" s="29"/>
      <c r="J21" s="29"/>
      <c r="K21" s="29"/>
      <c r="L21" s="29"/>
      <c r="M21" s="29"/>
      <c r="N21" s="29"/>
      <c r="O21" s="28"/>
      <c r="P21" s="28"/>
    </row>
    <row r="22" spans="2:16" ht="17">
      <c r="B22" s="8" t="s">
        <v>40</v>
      </c>
      <c r="C22" s="9" t="s">
        <v>41</v>
      </c>
      <c r="D22">
        <v>460</v>
      </c>
      <c r="E22" s="10">
        <f t="shared" si="0"/>
        <v>8.4616375108069828E-3</v>
      </c>
      <c r="I22" s="29"/>
      <c r="J22" s="29"/>
      <c r="K22" s="29"/>
      <c r="L22" s="29"/>
      <c r="M22" s="29"/>
      <c r="N22" s="29"/>
      <c r="O22" s="28"/>
      <c r="P22" s="28"/>
    </row>
    <row r="23" spans="2:16" ht="17">
      <c r="B23" s="8" t="s">
        <v>42</v>
      </c>
      <c r="C23" s="9" t="s">
        <v>43</v>
      </c>
      <c r="D23">
        <v>68</v>
      </c>
      <c r="E23" s="10">
        <f t="shared" si="0"/>
        <v>1.2508507624671191E-3</v>
      </c>
      <c r="I23" s="28"/>
      <c r="J23" s="29"/>
      <c r="K23" s="28"/>
      <c r="L23" s="29"/>
      <c r="M23" s="29"/>
      <c r="N23" s="29"/>
      <c r="O23" s="28"/>
      <c r="P23" s="28"/>
    </row>
    <row r="24" spans="2:16" ht="17">
      <c r="B24" s="8" t="s">
        <v>44</v>
      </c>
      <c r="C24" s="9" t="s">
        <v>45</v>
      </c>
      <c r="D24">
        <v>102</v>
      </c>
      <c r="E24" s="10">
        <f t="shared" si="0"/>
        <v>1.8762761437006788E-3</v>
      </c>
      <c r="I24" s="28"/>
      <c r="J24" s="29"/>
      <c r="K24" s="29"/>
      <c r="L24" s="29"/>
      <c r="M24" s="29"/>
      <c r="N24" s="29"/>
      <c r="O24" s="28"/>
      <c r="P24" s="28"/>
    </row>
    <row r="25" spans="2:16" ht="17">
      <c r="B25" s="8" t="s">
        <v>46</v>
      </c>
      <c r="C25" s="9" t="s">
        <v>47</v>
      </c>
      <c r="D25">
        <v>2066</v>
      </c>
      <c r="E25" s="10">
        <f t="shared" si="0"/>
        <v>3.8003789342015711E-2</v>
      </c>
      <c r="I25" s="29"/>
      <c r="J25" s="29"/>
      <c r="K25" s="29"/>
      <c r="L25" s="29"/>
      <c r="M25" s="29"/>
      <c r="N25" s="29"/>
      <c r="O25" s="28"/>
      <c r="P25" s="28"/>
    </row>
    <row r="26" spans="2:16" ht="17">
      <c r="B26" s="8" t="s">
        <v>48</v>
      </c>
      <c r="C26" s="9" t="s">
        <v>49</v>
      </c>
      <c r="D26">
        <v>0</v>
      </c>
      <c r="E26" s="10">
        <f t="shared" si="0"/>
        <v>0</v>
      </c>
      <c r="I26" s="28"/>
      <c r="J26" s="29"/>
      <c r="K26" s="29"/>
      <c r="L26" s="29"/>
      <c r="M26" s="29"/>
      <c r="N26" s="29"/>
      <c r="O26" s="28"/>
      <c r="P26" s="28"/>
    </row>
    <row r="27" spans="2:16" ht="17">
      <c r="B27" s="8" t="s">
        <v>50</v>
      </c>
      <c r="C27" s="9" t="s">
        <v>51</v>
      </c>
      <c r="D27">
        <v>904</v>
      </c>
      <c r="E27" s="10">
        <f t="shared" si="0"/>
        <v>1.6628957195151114E-2</v>
      </c>
      <c r="I27" s="28"/>
      <c r="J27" s="29"/>
      <c r="K27" s="28"/>
      <c r="L27" s="29"/>
      <c r="M27" s="29"/>
      <c r="N27" s="29"/>
      <c r="O27" s="28"/>
      <c r="P27" s="28"/>
    </row>
    <row r="28" spans="2:16" ht="17">
      <c r="B28" s="8" t="s">
        <v>52</v>
      </c>
      <c r="C28" s="9" t="s">
        <v>53</v>
      </c>
      <c r="D28">
        <v>35</v>
      </c>
      <c r="E28" s="10">
        <f t="shared" si="0"/>
        <v>6.4382024538748781E-4</v>
      </c>
      <c r="I28" s="28"/>
      <c r="J28" s="29"/>
      <c r="K28" s="28"/>
      <c r="L28" s="29"/>
      <c r="M28" s="29"/>
      <c r="N28" s="29"/>
      <c r="O28" s="28"/>
      <c r="P28" s="28"/>
    </row>
    <row r="29" spans="2:16" ht="17">
      <c r="B29" s="8" t="s">
        <v>54</v>
      </c>
      <c r="C29" s="9" t="s">
        <v>55</v>
      </c>
      <c r="D29">
        <v>0</v>
      </c>
      <c r="E29" s="10">
        <f t="shared" si="0"/>
        <v>0</v>
      </c>
      <c r="I29" s="29"/>
      <c r="J29" s="29"/>
      <c r="K29" s="29"/>
      <c r="L29" s="29"/>
      <c r="M29" s="29"/>
      <c r="N29" s="29"/>
      <c r="O29" s="28"/>
      <c r="P29" s="28"/>
    </row>
    <row r="30" spans="2:16" ht="17">
      <c r="B30" s="8" t="s">
        <v>56</v>
      </c>
      <c r="C30" s="9" t="s">
        <v>57</v>
      </c>
      <c r="D30">
        <v>195</v>
      </c>
      <c r="E30" s="10">
        <f t="shared" si="0"/>
        <v>3.5869985100160035E-3</v>
      </c>
      <c r="I30" s="29"/>
      <c r="J30" s="29"/>
      <c r="K30" s="29"/>
      <c r="L30" s="29"/>
      <c r="M30" s="29"/>
      <c r="N30" s="29"/>
      <c r="O30" s="28"/>
      <c r="P30" s="28"/>
    </row>
    <row r="31" spans="2:16" ht="17">
      <c r="B31" s="8" t="s">
        <v>58</v>
      </c>
      <c r="C31" s="9" t="s">
        <v>59</v>
      </c>
      <c r="D31">
        <v>154</v>
      </c>
      <c r="E31" s="10">
        <f t="shared" si="0"/>
        <v>2.8328090797049466E-3</v>
      </c>
      <c r="I31" s="29"/>
      <c r="J31" s="29"/>
      <c r="K31" s="29"/>
      <c r="L31" s="29"/>
      <c r="M31" s="29"/>
      <c r="N31" s="29"/>
      <c r="O31" s="28"/>
      <c r="P31" s="28"/>
    </row>
    <row r="32" spans="2:16" ht="17">
      <c r="B32" s="8" t="s">
        <v>60</v>
      </c>
      <c r="C32" s="9" t="s">
        <v>61</v>
      </c>
      <c r="D32">
        <v>6128</v>
      </c>
      <c r="E32" s="10">
        <f t="shared" si="0"/>
        <v>0.11272372753527216</v>
      </c>
      <c r="I32" s="28"/>
      <c r="J32" s="29"/>
      <c r="K32" s="29"/>
      <c r="L32" s="29"/>
      <c r="M32" s="29"/>
      <c r="N32" s="29"/>
      <c r="O32" s="28"/>
      <c r="P32" s="28"/>
    </row>
    <row r="33" spans="2:16" ht="17">
      <c r="B33" s="8" t="s">
        <v>62</v>
      </c>
      <c r="C33" s="9" t="s">
        <v>63</v>
      </c>
      <c r="D33">
        <v>95</v>
      </c>
      <c r="E33" s="10">
        <f t="shared" si="0"/>
        <v>1.7475120946231811E-3</v>
      </c>
      <c r="I33" s="28"/>
      <c r="J33" s="29"/>
      <c r="K33" s="29"/>
      <c r="L33" s="29"/>
      <c r="M33" s="29"/>
      <c r="N33" s="29"/>
      <c r="O33" s="28"/>
      <c r="P33" s="28"/>
    </row>
    <row r="34" spans="2:16" ht="17">
      <c r="B34" s="8" t="s">
        <v>64</v>
      </c>
      <c r="C34" s="9" t="s">
        <v>65</v>
      </c>
      <c r="D34">
        <v>4276</v>
      </c>
      <c r="E34" s="10">
        <f t="shared" si="0"/>
        <v>7.865643912219708E-2</v>
      </c>
      <c r="I34" s="28"/>
      <c r="J34" s="29"/>
      <c r="K34" s="29"/>
      <c r="L34" s="29"/>
      <c r="M34" s="28"/>
      <c r="N34" s="29"/>
      <c r="O34" s="28"/>
      <c r="P34" s="28"/>
    </row>
    <row r="35" spans="2:16" ht="17">
      <c r="B35" s="8" t="s">
        <v>66</v>
      </c>
      <c r="C35" s="9" t="s">
        <v>67</v>
      </c>
      <c r="D35">
        <v>2257</v>
      </c>
      <c r="E35" s="10">
        <f t="shared" si="0"/>
        <v>4.1517208395415998E-2</v>
      </c>
      <c r="I35" s="28"/>
      <c r="J35" s="29"/>
      <c r="K35" s="29"/>
      <c r="L35" s="29"/>
      <c r="M35" s="29"/>
      <c r="N35" s="29"/>
      <c r="O35" s="28"/>
      <c r="P35" s="28"/>
    </row>
    <row r="36" spans="2:16" ht="17">
      <c r="B36" s="8" t="s">
        <v>68</v>
      </c>
      <c r="C36" s="9" t="s">
        <v>69</v>
      </c>
      <c r="D36">
        <v>0</v>
      </c>
      <c r="E36" s="10">
        <f t="shared" si="0"/>
        <v>0</v>
      </c>
      <c r="I36" s="28"/>
      <c r="J36" s="29"/>
      <c r="K36" s="29"/>
      <c r="L36" s="29"/>
      <c r="M36" s="29"/>
      <c r="N36" s="29"/>
      <c r="O36" s="28"/>
      <c r="P36" s="28"/>
    </row>
    <row r="37" spans="2:16" ht="17">
      <c r="B37" s="8" t="s">
        <v>70</v>
      </c>
      <c r="C37" s="9" t="s">
        <v>71</v>
      </c>
      <c r="D37">
        <v>3488</v>
      </c>
      <c r="E37" s="10">
        <f t="shared" si="0"/>
        <v>6.4161286168901641E-2</v>
      </c>
      <c r="I37" s="29"/>
      <c r="J37" s="29"/>
      <c r="K37" s="29"/>
      <c r="L37" s="29"/>
      <c r="M37" s="29"/>
      <c r="N37" s="29"/>
      <c r="O37" s="28"/>
      <c r="P37" s="28"/>
    </row>
    <row r="38" spans="2:16" ht="17">
      <c r="B38" s="8" t="s">
        <v>72</v>
      </c>
      <c r="C38" s="9" t="s">
        <v>73</v>
      </c>
      <c r="D38">
        <v>0</v>
      </c>
      <c r="E38" s="10">
        <f t="shared" si="0"/>
        <v>0</v>
      </c>
      <c r="I38" s="28"/>
      <c r="J38" s="29"/>
      <c r="K38" s="29"/>
      <c r="L38" s="29"/>
      <c r="M38" s="29"/>
      <c r="N38" s="29"/>
      <c r="O38" s="28"/>
      <c r="P38" s="28"/>
    </row>
    <row r="39" spans="2:16" ht="17">
      <c r="B39" s="8" t="s">
        <v>74</v>
      </c>
      <c r="C39" s="9" t="s">
        <v>75</v>
      </c>
      <c r="D39">
        <v>216</v>
      </c>
      <c r="E39" s="10">
        <f t="shared" si="0"/>
        <v>3.9732906572484961E-3</v>
      </c>
      <c r="I39" s="28"/>
      <c r="J39" s="29"/>
      <c r="K39" s="29"/>
      <c r="L39" s="29"/>
      <c r="M39" s="29"/>
      <c r="N39" s="29"/>
      <c r="O39" s="28"/>
      <c r="P39" s="28"/>
    </row>
    <row r="40" spans="2:16" ht="17">
      <c r="B40" s="8" t="s">
        <v>76</v>
      </c>
      <c r="C40" s="9" t="s">
        <v>77</v>
      </c>
      <c r="D40">
        <v>3910</v>
      </c>
      <c r="E40" s="10">
        <f t="shared" si="0"/>
        <v>7.1923918841859349E-2</v>
      </c>
      <c r="I40" s="28"/>
      <c r="J40" s="29"/>
      <c r="K40" s="29"/>
      <c r="L40" s="29"/>
      <c r="M40" s="29"/>
      <c r="N40" s="29"/>
      <c r="O40" s="28"/>
      <c r="P40" s="28"/>
    </row>
    <row r="41" spans="2:16" ht="17">
      <c r="B41" s="8" t="s">
        <v>78</v>
      </c>
      <c r="C41" s="9" t="s">
        <v>79</v>
      </c>
      <c r="D41">
        <v>18</v>
      </c>
      <c r="E41" s="10">
        <f t="shared" si="0"/>
        <v>3.3110755477070802E-4</v>
      </c>
      <c r="I41" s="28"/>
      <c r="J41" s="29"/>
      <c r="K41" s="29"/>
      <c r="L41" s="29"/>
      <c r="M41" s="29"/>
      <c r="N41" s="29"/>
      <c r="O41" s="28"/>
      <c r="P41" s="28"/>
    </row>
    <row r="42" spans="2:16" ht="17">
      <c r="B42" s="8" t="s">
        <v>80</v>
      </c>
      <c r="C42" s="9" t="s">
        <v>81</v>
      </c>
      <c r="D42">
        <v>82</v>
      </c>
      <c r="E42" s="10">
        <f t="shared" si="0"/>
        <v>1.5083788606221143E-3</v>
      </c>
      <c r="I42" s="29"/>
      <c r="J42" s="29"/>
      <c r="K42" s="29"/>
      <c r="L42" s="29"/>
      <c r="M42" s="29"/>
      <c r="N42" s="29"/>
      <c r="O42" s="28"/>
      <c r="P42" s="28"/>
    </row>
    <row r="43" spans="2:16" ht="17">
      <c r="B43" s="8" t="s">
        <v>82</v>
      </c>
      <c r="C43" s="9" t="s">
        <v>83</v>
      </c>
      <c r="D43">
        <v>0</v>
      </c>
      <c r="E43" s="10">
        <f t="shared" si="0"/>
        <v>0</v>
      </c>
      <c r="I43" s="28"/>
      <c r="J43" s="29"/>
      <c r="K43" s="28"/>
      <c r="L43" s="29"/>
      <c r="M43" s="29"/>
      <c r="N43" s="29"/>
      <c r="O43" s="28"/>
      <c r="P43" s="28"/>
    </row>
    <row r="44" spans="2:16" ht="17">
      <c r="B44" s="8" t="s">
        <v>84</v>
      </c>
      <c r="C44" s="9" t="s">
        <v>85</v>
      </c>
      <c r="D44">
        <v>2438</v>
      </c>
      <c r="E44" s="10">
        <f t="shared" si="0"/>
        <v>4.484667880727701E-2</v>
      </c>
      <c r="I44" s="18"/>
      <c r="J44" s="18"/>
      <c r="K44" s="18"/>
      <c r="L44" s="18"/>
    </row>
    <row r="45" spans="2:16" ht="17">
      <c r="B45" s="8" t="s">
        <v>86</v>
      </c>
      <c r="C45" s="9" t="s">
        <v>87</v>
      </c>
      <c r="D45">
        <v>3925</v>
      </c>
      <c r="E45" s="10">
        <f t="shared" si="0"/>
        <v>7.2199841804168274E-2</v>
      </c>
      <c r="I45" s="18"/>
      <c r="J45" s="18"/>
      <c r="K45" s="18"/>
      <c r="L45" s="18"/>
    </row>
    <row r="46" spans="2:16" ht="17">
      <c r="B46" s="8" t="s">
        <v>88</v>
      </c>
      <c r="C46" s="9" t="s">
        <v>89</v>
      </c>
      <c r="D46">
        <v>330</v>
      </c>
      <c r="E46" s="10">
        <f t="shared" si="0"/>
        <v>6.0703051707963135E-3</v>
      </c>
      <c r="I46" s="18"/>
      <c r="J46" s="18"/>
      <c r="K46" s="18"/>
      <c r="L46" s="18"/>
    </row>
    <row r="47" spans="2:16" ht="17">
      <c r="B47" s="8" t="s">
        <v>90</v>
      </c>
      <c r="C47" s="9" t="s">
        <v>91</v>
      </c>
      <c r="D47">
        <v>0</v>
      </c>
      <c r="E47" s="10">
        <f t="shared" si="0"/>
        <v>0</v>
      </c>
      <c r="J47" s="18"/>
      <c r="K47" s="18"/>
      <c r="L47" s="18"/>
    </row>
    <row r="48" spans="2:16" ht="17">
      <c r="B48" s="8" t="s">
        <v>92</v>
      </c>
      <c r="C48" s="9" t="s">
        <v>93</v>
      </c>
      <c r="D48">
        <v>203</v>
      </c>
      <c r="E48" s="10">
        <f t="shared" si="0"/>
        <v>3.7341574232474294E-3</v>
      </c>
      <c r="I48" s="18"/>
      <c r="J48" s="18"/>
      <c r="K48" s="18"/>
      <c r="L48" s="18"/>
    </row>
    <row r="49" spans="2:12" ht="17">
      <c r="B49" s="8" t="s">
        <v>94</v>
      </c>
      <c r="C49" s="9" t="s">
        <v>95</v>
      </c>
      <c r="D49">
        <v>301</v>
      </c>
      <c r="E49" s="10">
        <f t="shared" si="0"/>
        <v>5.536854110332395E-3</v>
      </c>
      <c r="J49" s="18"/>
      <c r="L49" s="18"/>
    </row>
    <row r="50" spans="2:12" ht="17">
      <c r="B50" s="8" t="s">
        <v>96</v>
      </c>
      <c r="C50" s="9" t="s">
        <v>97</v>
      </c>
      <c r="D50">
        <v>0</v>
      </c>
      <c r="E50" s="10">
        <f t="shared" si="0"/>
        <v>0</v>
      </c>
      <c r="J50" s="18"/>
      <c r="K50" s="18"/>
      <c r="L50" s="18"/>
    </row>
    <row r="51" spans="2:12" ht="17">
      <c r="B51" s="8" t="s">
        <v>98</v>
      </c>
      <c r="C51" s="9" t="s">
        <v>99</v>
      </c>
      <c r="D51">
        <v>140</v>
      </c>
      <c r="E51" s="10">
        <f t="shared" si="0"/>
        <v>2.5752809815499512E-3</v>
      </c>
      <c r="I51" s="18"/>
      <c r="J51" s="18"/>
      <c r="K51" s="18"/>
      <c r="L51" s="18"/>
    </row>
    <row r="52" spans="2:12" ht="17">
      <c r="B52" s="8" t="s">
        <v>100</v>
      </c>
      <c r="C52" s="9" t="s">
        <v>101</v>
      </c>
      <c r="D52">
        <v>0</v>
      </c>
      <c r="E52" s="10">
        <f t="shared" si="0"/>
        <v>0</v>
      </c>
      <c r="I52" s="18"/>
      <c r="J52" s="18"/>
      <c r="K52" s="18"/>
      <c r="L52" s="18"/>
    </row>
    <row r="53" spans="2:12" ht="17">
      <c r="B53" s="11" t="s">
        <v>102</v>
      </c>
      <c r="C53" s="12" t="s">
        <v>103</v>
      </c>
      <c r="D53" s="13">
        <v>54363</v>
      </c>
      <c r="E53" s="14">
        <f t="shared" si="0"/>
        <v>1</v>
      </c>
      <c r="J53" s="18"/>
      <c r="K53" s="18"/>
      <c r="L53" s="18"/>
    </row>
    <row r="54" spans="2:12">
      <c r="J54" s="18"/>
      <c r="K54" s="18"/>
      <c r="L54" s="18"/>
    </row>
    <row r="55" spans="2:12">
      <c r="F55" s="32"/>
      <c r="J55" s="18"/>
      <c r="K55" s="18"/>
      <c r="L55" s="18"/>
    </row>
    <row r="56" spans="2:12">
      <c r="J56" s="18"/>
      <c r="K56" s="18"/>
      <c r="L56" s="18"/>
    </row>
    <row r="57" spans="2:12">
      <c r="J57" s="18"/>
      <c r="L57" s="18"/>
    </row>
  </sheetData>
  <mergeCells count="1">
    <mergeCell ref="G7:M12"/>
  </mergeCells>
  <hyperlinks>
    <hyperlink ref="H5" r:id="rId1" location="tab=Tables" display="U.S. Bureau of Labor Statistics Quarterly Census of Employment and Wages" xr:uid="{A29A8749-7660-CB40-BC7A-33FBF106E02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FF6D-BB30-1644-84B8-D727BF53ACF6}">
  <dimension ref="A1:Z70"/>
  <sheetViews>
    <sheetView topLeftCell="B1" workbookViewId="0">
      <selection activeCell="G32" sqref="G32"/>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121</v>
      </c>
    </row>
    <row r="4" spans="1:26" ht="17">
      <c r="B4" s="4" t="s">
        <v>2</v>
      </c>
      <c r="C4" s="5" t="s">
        <v>3</v>
      </c>
      <c r="D4" s="6" t="s">
        <v>104</v>
      </c>
      <c r="E4" s="7" t="s">
        <v>5</v>
      </c>
      <c r="G4" s="15" t="s">
        <v>106</v>
      </c>
      <c r="H4" t="s">
        <v>4</v>
      </c>
    </row>
    <row r="5" spans="1:26" ht="17">
      <c r="B5" s="8" t="s">
        <v>6</v>
      </c>
      <c r="C5" s="9" t="s">
        <v>7</v>
      </c>
      <c r="D5">
        <v>1478</v>
      </c>
      <c r="E5" s="10">
        <f>D5/D$53</f>
        <v>2.6780699052347388E-2</v>
      </c>
      <c r="G5" s="15" t="s">
        <v>105</v>
      </c>
      <c r="H5" s="17" t="s">
        <v>111</v>
      </c>
    </row>
    <row r="6" spans="1:26" ht="17" customHeight="1">
      <c r="B6" s="8" t="s">
        <v>8</v>
      </c>
      <c r="C6" s="9" t="s">
        <v>9</v>
      </c>
      <c r="D6">
        <v>7</v>
      </c>
      <c r="E6" s="10">
        <f t="shared" ref="E6:E53" si="0">D6/D$53</f>
        <v>1.2683686966605663E-4</v>
      </c>
      <c r="G6" s="15"/>
    </row>
    <row r="7" spans="1:26" ht="17" customHeight="1">
      <c r="B7" s="8" t="s">
        <v>10</v>
      </c>
      <c r="C7" s="9" t="s">
        <v>11</v>
      </c>
      <c r="D7">
        <v>1113</v>
      </c>
      <c r="E7" s="10">
        <f t="shared" si="0"/>
        <v>2.0167062276903007E-2</v>
      </c>
      <c r="G7" s="38" t="s">
        <v>122</v>
      </c>
      <c r="H7" s="38"/>
      <c r="I7" s="38"/>
      <c r="J7" s="38"/>
      <c r="K7" s="38"/>
      <c r="L7" s="38"/>
      <c r="M7" s="38"/>
    </row>
    <row r="8" spans="1:26" ht="17" customHeight="1">
      <c r="B8" s="8" t="s">
        <v>12</v>
      </c>
      <c r="C8" s="9" t="s">
        <v>13</v>
      </c>
      <c r="D8">
        <v>2400</v>
      </c>
      <c r="E8" s="10">
        <f t="shared" si="0"/>
        <v>4.3486926742647994E-2</v>
      </c>
      <c r="G8" s="38"/>
      <c r="H8" s="38"/>
      <c r="I8" s="38"/>
      <c r="J8" s="38"/>
      <c r="K8" s="38"/>
      <c r="L8" s="38"/>
      <c r="M8" s="38"/>
    </row>
    <row r="9" spans="1:26" ht="17" customHeight="1">
      <c r="B9" s="8" t="s">
        <v>14</v>
      </c>
      <c r="C9" s="9" t="s">
        <v>15</v>
      </c>
      <c r="D9">
        <v>260</v>
      </c>
      <c r="E9" s="10">
        <f t="shared" si="0"/>
        <v>4.7110837304535323E-3</v>
      </c>
      <c r="G9" s="38"/>
      <c r="H9" s="38"/>
      <c r="I9" s="38"/>
      <c r="J9" s="38"/>
      <c r="K9" s="38"/>
      <c r="L9" s="38"/>
      <c r="M9" s="38"/>
    </row>
    <row r="10" spans="1:26" ht="17" customHeight="1">
      <c r="B10" s="8" t="s">
        <v>16</v>
      </c>
      <c r="C10" s="9" t="s">
        <v>17</v>
      </c>
      <c r="D10">
        <v>530</v>
      </c>
      <c r="E10" s="10">
        <f t="shared" si="0"/>
        <v>9.6033629890014318E-3</v>
      </c>
      <c r="G10" s="38"/>
      <c r="H10" s="38"/>
      <c r="I10" s="38"/>
      <c r="J10" s="38"/>
      <c r="K10" s="38"/>
      <c r="L10" s="38"/>
      <c r="M10" s="38"/>
    </row>
    <row r="11" spans="1:26" ht="17" customHeight="1">
      <c r="B11" s="8" t="s">
        <v>18</v>
      </c>
      <c r="C11" s="9" t="s">
        <v>19</v>
      </c>
      <c r="D11">
        <v>780</v>
      </c>
      <c r="E11" s="10">
        <f t="shared" si="0"/>
        <v>1.4133251191360597E-2</v>
      </c>
      <c r="G11" s="38"/>
      <c r="H11" s="38"/>
      <c r="I11" s="38"/>
      <c r="J11" s="38"/>
      <c r="K11" s="38"/>
      <c r="L11" s="38"/>
      <c r="M11" s="38"/>
    </row>
    <row r="12" spans="1:26" ht="17" customHeight="1">
      <c r="B12" s="8" t="s">
        <v>20</v>
      </c>
      <c r="C12" s="9" t="s">
        <v>21</v>
      </c>
      <c r="D12">
        <v>1047</v>
      </c>
      <c r="E12" s="10">
        <f t="shared" si="0"/>
        <v>1.8971171791480185E-2</v>
      </c>
      <c r="G12" s="38"/>
      <c r="H12" s="38"/>
      <c r="I12" s="38"/>
      <c r="J12" s="38"/>
      <c r="K12" s="38"/>
      <c r="L12" s="38"/>
      <c r="M12" s="38"/>
    </row>
    <row r="13" spans="1:26" ht="17" customHeight="1">
      <c r="B13" s="8" t="s">
        <v>22</v>
      </c>
      <c r="C13" s="9" t="s">
        <v>23</v>
      </c>
      <c r="D13">
        <v>601</v>
      </c>
      <c r="E13" s="10">
        <f t="shared" si="0"/>
        <v>1.0889851238471434E-2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2752</v>
      </c>
      <c r="E15" s="10">
        <f t="shared" si="0"/>
        <v>4.9865009331569697E-2</v>
      </c>
      <c r="H15" s="24"/>
      <c r="I15" s="24"/>
      <c r="J15" s="25"/>
      <c r="K15" s="25"/>
      <c r="L15" s="25"/>
    </row>
    <row r="16" spans="1:26" ht="17">
      <c r="B16" s="8" t="s">
        <v>28</v>
      </c>
      <c r="C16" s="9" t="s">
        <v>29</v>
      </c>
      <c r="D16">
        <v>1975</v>
      </c>
      <c r="E16" s="10">
        <f t="shared" si="0"/>
        <v>3.5786116798637413E-2</v>
      </c>
      <c r="H16" s="16"/>
      <c r="I16" s="24"/>
      <c r="J16" s="24"/>
      <c r="K16" s="24"/>
      <c r="L16" s="24"/>
    </row>
    <row r="17" spans="2:12" ht="17">
      <c r="B17" s="8" t="s">
        <v>30</v>
      </c>
      <c r="C17" s="9" t="s">
        <v>31</v>
      </c>
      <c r="D17">
        <v>2279</v>
      </c>
      <c r="E17" s="10">
        <f t="shared" si="0"/>
        <v>4.1294460852706154E-2</v>
      </c>
      <c r="J17" s="18"/>
      <c r="K17" s="18"/>
      <c r="L17" s="18"/>
    </row>
    <row r="18" spans="2:12" ht="17">
      <c r="B18" s="8" t="s">
        <v>32</v>
      </c>
      <c r="C18" s="9" t="s">
        <v>33</v>
      </c>
      <c r="D18">
        <v>927</v>
      </c>
      <c r="E18" s="10">
        <f t="shared" si="0"/>
        <v>1.6796825454347786E-2</v>
      </c>
      <c r="G18" s="20"/>
      <c r="H18" s="18"/>
      <c r="I18" s="18"/>
      <c r="J18" s="19"/>
      <c r="K18" s="19"/>
      <c r="L18" s="19"/>
    </row>
    <row r="19" spans="2:12" ht="17">
      <c r="B19" s="8" t="s">
        <v>34</v>
      </c>
      <c r="C19" s="9" t="s">
        <v>35</v>
      </c>
      <c r="D19">
        <v>1450</v>
      </c>
      <c r="E19" s="10">
        <f t="shared" si="0"/>
        <v>2.627335157368316E-2</v>
      </c>
      <c r="H19" s="18"/>
      <c r="I19" s="18"/>
      <c r="J19" s="18"/>
      <c r="K19" s="18"/>
      <c r="L19" s="18"/>
    </row>
    <row r="20" spans="2:12" ht="17">
      <c r="B20" s="8" t="s">
        <v>36</v>
      </c>
      <c r="C20" s="9" t="s">
        <v>37</v>
      </c>
      <c r="D20">
        <v>0</v>
      </c>
      <c r="E20" s="10">
        <f t="shared" si="0"/>
        <v>0</v>
      </c>
      <c r="J20" s="18"/>
      <c r="K20" s="18"/>
      <c r="L20" s="18"/>
    </row>
    <row r="21" spans="2:12" ht="17">
      <c r="B21" s="8" t="s">
        <v>38</v>
      </c>
      <c r="C21" s="9" t="s">
        <v>39</v>
      </c>
      <c r="D21">
        <v>0</v>
      </c>
      <c r="E21" s="10">
        <f t="shared" si="0"/>
        <v>0</v>
      </c>
      <c r="H21" s="18"/>
      <c r="J21" s="18"/>
      <c r="K21" s="18"/>
      <c r="L21" s="18"/>
    </row>
    <row r="22" spans="2:12" ht="17">
      <c r="B22" s="8" t="s">
        <v>40</v>
      </c>
      <c r="C22" s="9" t="s">
        <v>41</v>
      </c>
      <c r="D22">
        <v>87</v>
      </c>
      <c r="E22" s="10">
        <f t="shared" si="0"/>
        <v>1.5764010944209898E-3</v>
      </c>
      <c r="H22" s="18"/>
      <c r="J22" s="18"/>
      <c r="K22" s="18"/>
      <c r="L22" s="18"/>
    </row>
    <row r="23" spans="2:12" ht="17">
      <c r="B23" s="8" t="s">
        <v>42</v>
      </c>
      <c r="C23" s="9" t="s">
        <v>43</v>
      </c>
      <c r="D23">
        <v>410</v>
      </c>
      <c r="E23" s="10">
        <f t="shared" si="0"/>
        <v>7.4290166518690319E-3</v>
      </c>
      <c r="H23" s="18"/>
      <c r="I23" s="18"/>
      <c r="J23" s="18"/>
      <c r="K23" s="18"/>
      <c r="L23" s="18"/>
    </row>
    <row r="24" spans="2:12" ht="17">
      <c r="B24" s="8" t="s">
        <v>44</v>
      </c>
      <c r="C24" s="9" t="s">
        <v>45</v>
      </c>
      <c r="D24">
        <v>890</v>
      </c>
      <c r="E24" s="10">
        <f t="shared" si="0"/>
        <v>1.6126402000398631E-2</v>
      </c>
      <c r="H24" s="18"/>
      <c r="J24" s="18"/>
      <c r="K24" s="18"/>
      <c r="L24" s="18"/>
    </row>
    <row r="25" spans="2:12" ht="17">
      <c r="B25" s="8" t="s">
        <v>46</v>
      </c>
      <c r="C25" s="9" t="s">
        <v>47</v>
      </c>
      <c r="D25">
        <v>1148</v>
      </c>
      <c r="E25" s="10">
        <f t="shared" si="0"/>
        <v>2.0801246625233288E-2</v>
      </c>
      <c r="H25" s="18"/>
      <c r="I25" s="18"/>
      <c r="J25" s="18"/>
      <c r="K25" s="18"/>
      <c r="L25" s="18"/>
    </row>
    <row r="26" spans="2:12" ht="17">
      <c r="B26" s="8" t="s">
        <v>48</v>
      </c>
      <c r="C26" s="9" t="s">
        <v>49</v>
      </c>
      <c r="D26">
        <v>66</v>
      </c>
      <c r="E26" s="10">
        <f t="shared" si="0"/>
        <v>1.1958904854228198E-3</v>
      </c>
      <c r="H26" s="18"/>
      <c r="I26" s="18"/>
      <c r="J26" s="18"/>
      <c r="K26" s="18"/>
      <c r="L26" s="18"/>
    </row>
    <row r="27" spans="2:12" ht="17">
      <c r="B27" s="8" t="s">
        <v>50</v>
      </c>
      <c r="C27" s="9" t="s">
        <v>51</v>
      </c>
      <c r="D27">
        <v>2587</v>
      </c>
      <c r="E27" s="10">
        <f t="shared" si="0"/>
        <v>4.6875283118012645E-2</v>
      </c>
      <c r="I27" s="18"/>
      <c r="J27" s="18"/>
      <c r="K27" s="18"/>
      <c r="L27" s="18"/>
    </row>
    <row r="28" spans="2:12" ht="17">
      <c r="B28" s="8" t="s">
        <v>52</v>
      </c>
      <c r="C28" s="9" t="s">
        <v>53</v>
      </c>
      <c r="D28">
        <v>0</v>
      </c>
      <c r="E28" s="10">
        <f t="shared" si="0"/>
        <v>0</v>
      </c>
      <c r="H28" s="18"/>
      <c r="J28" s="18"/>
      <c r="K28" s="18"/>
      <c r="L28" s="18"/>
    </row>
    <row r="29" spans="2:12" ht="17">
      <c r="B29" s="8" t="s">
        <v>54</v>
      </c>
      <c r="C29" s="9" t="s">
        <v>55</v>
      </c>
      <c r="D29">
        <v>1876</v>
      </c>
      <c r="E29" s="10">
        <f t="shared" si="0"/>
        <v>3.3992281070503179E-2</v>
      </c>
      <c r="H29" s="18"/>
      <c r="I29" s="18"/>
      <c r="J29" s="18"/>
      <c r="K29" s="18"/>
      <c r="L29" s="18"/>
    </row>
    <row r="30" spans="2:12" ht="17">
      <c r="B30" s="8" t="s">
        <v>56</v>
      </c>
      <c r="C30" s="9" t="s">
        <v>57</v>
      </c>
      <c r="D30">
        <v>0</v>
      </c>
      <c r="E30" s="10">
        <f t="shared" si="0"/>
        <v>0</v>
      </c>
      <c r="J30" s="18"/>
      <c r="K30" s="18"/>
      <c r="L30" s="18"/>
    </row>
    <row r="31" spans="2:12" ht="17">
      <c r="B31" s="8" t="s">
        <v>58</v>
      </c>
      <c r="C31" s="9" t="s">
        <v>59</v>
      </c>
      <c r="D31">
        <v>0</v>
      </c>
      <c r="E31" s="10">
        <f t="shared" si="0"/>
        <v>0</v>
      </c>
      <c r="H31" s="18"/>
      <c r="J31" s="18"/>
      <c r="K31" s="18"/>
      <c r="L31" s="18"/>
    </row>
    <row r="32" spans="2:12" ht="17">
      <c r="B32" s="8" t="s">
        <v>60</v>
      </c>
      <c r="C32" s="9" t="s">
        <v>61</v>
      </c>
      <c r="D32">
        <v>2868</v>
      </c>
      <c r="E32" s="10">
        <f t="shared" si="0"/>
        <v>5.1966877457464353E-2</v>
      </c>
      <c r="H32" s="18"/>
      <c r="J32" s="18"/>
      <c r="K32" s="18"/>
      <c r="L32" s="18"/>
    </row>
    <row r="33" spans="2:12" ht="17">
      <c r="B33" s="8" t="s">
        <v>62</v>
      </c>
      <c r="C33" s="9" t="s">
        <v>63</v>
      </c>
      <c r="D33">
        <v>0</v>
      </c>
      <c r="E33" s="10">
        <f t="shared" si="0"/>
        <v>0</v>
      </c>
      <c r="H33" s="18"/>
      <c r="I33" s="18"/>
      <c r="J33" s="18"/>
      <c r="K33" s="18"/>
      <c r="L33" s="18"/>
    </row>
    <row r="34" spans="2:12" ht="17">
      <c r="B34" s="8" t="s">
        <v>64</v>
      </c>
      <c r="C34" s="9" t="s">
        <v>65</v>
      </c>
      <c r="D34">
        <v>1081</v>
      </c>
      <c r="E34" s="10">
        <f t="shared" si="0"/>
        <v>1.9587236587001032E-2</v>
      </c>
      <c r="H34" s="18"/>
      <c r="J34" s="18"/>
      <c r="K34" s="18"/>
      <c r="L34" s="18"/>
    </row>
    <row r="35" spans="2:12" ht="17">
      <c r="B35" s="8" t="s">
        <v>66</v>
      </c>
      <c r="C35" s="9" t="s">
        <v>67</v>
      </c>
      <c r="D35">
        <v>1620</v>
      </c>
      <c r="E35" s="10">
        <f t="shared" si="0"/>
        <v>2.9353675551287393E-2</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3973</v>
      </c>
      <c r="E37" s="10">
        <f t="shared" si="0"/>
        <v>7.1988983311891866E-2</v>
      </c>
      <c r="H37" s="18"/>
      <c r="I37" s="18"/>
      <c r="J37" s="18"/>
      <c r="K37" s="18"/>
      <c r="L37" s="18"/>
    </row>
    <row r="38" spans="2:12" ht="17">
      <c r="B38" s="8" t="s">
        <v>72</v>
      </c>
      <c r="C38" s="9" t="s">
        <v>73</v>
      </c>
      <c r="D38">
        <v>123</v>
      </c>
      <c r="E38" s="10">
        <f t="shared" si="0"/>
        <v>2.2287049955607096E-3</v>
      </c>
      <c r="H38" s="18"/>
      <c r="I38" s="18"/>
      <c r="J38" s="18"/>
      <c r="K38" s="18"/>
      <c r="L38" s="18"/>
    </row>
    <row r="39" spans="2:12" ht="17">
      <c r="B39" s="8" t="s">
        <v>74</v>
      </c>
      <c r="C39" s="9" t="s">
        <v>75</v>
      </c>
      <c r="D39">
        <v>0</v>
      </c>
      <c r="E39" s="10">
        <f t="shared" si="0"/>
        <v>0</v>
      </c>
      <c r="H39" s="18"/>
      <c r="I39" s="18"/>
      <c r="J39" s="18"/>
      <c r="K39" s="18"/>
      <c r="L39" s="18"/>
    </row>
    <row r="40" spans="2:12" ht="17">
      <c r="B40" s="8" t="s">
        <v>76</v>
      </c>
      <c r="C40" s="9" t="s">
        <v>77</v>
      </c>
      <c r="D40">
        <v>989</v>
      </c>
      <c r="E40" s="10">
        <f t="shared" si="0"/>
        <v>1.7920237728532861E-2</v>
      </c>
      <c r="H40" s="18"/>
      <c r="I40" s="18"/>
      <c r="J40" s="18"/>
      <c r="K40" s="18"/>
      <c r="L40" s="18"/>
    </row>
    <row r="41" spans="2:12" ht="17">
      <c r="B41" s="8" t="s">
        <v>78</v>
      </c>
      <c r="C41" s="9" t="s">
        <v>79</v>
      </c>
      <c r="D41">
        <v>0</v>
      </c>
      <c r="E41" s="10">
        <f t="shared" si="0"/>
        <v>0</v>
      </c>
      <c r="H41" s="18"/>
      <c r="J41" s="18"/>
      <c r="K41" s="18"/>
      <c r="L41" s="18"/>
    </row>
    <row r="42" spans="2:12" ht="17">
      <c r="B42" s="8" t="s">
        <v>80</v>
      </c>
      <c r="C42" s="9" t="s">
        <v>81</v>
      </c>
      <c r="D42">
        <v>1206</v>
      </c>
      <c r="E42" s="10">
        <f t="shared" si="0"/>
        <v>2.1852180688180615E-2</v>
      </c>
      <c r="H42" s="18"/>
      <c r="J42" s="18"/>
      <c r="K42" s="18"/>
      <c r="L42" s="18"/>
    </row>
    <row r="43" spans="2:12" ht="17">
      <c r="B43" s="8" t="s">
        <v>82</v>
      </c>
      <c r="C43" s="9" t="s">
        <v>83</v>
      </c>
      <c r="D43">
        <v>823</v>
      </c>
      <c r="E43" s="10">
        <f t="shared" si="0"/>
        <v>1.4912391962166373E-2</v>
      </c>
      <c r="H43" s="18"/>
      <c r="I43" s="18"/>
      <c r="J43" s="18"/>
      <c r="K43" s="18"/>
      <c r="L43" s="18"/>
    </row>
    <row r="44" spans="2:12" ht="17">
      <c r="B44" s="8" t="s">
        <v>84</v>
      </c>
      <c r="C44" s="9" t="s">
        <v>85</v>
      </c>
      <c r="D44">
        <v>869</v>
      </c>
      <c r="E44" s="10">
        <f t="shared" si="0"/>
        <v>1.5745891391400459E-2</v>
      </c>
      <c r="H44" s="18"/>
      <c r="J44" s="18"/>
      <c r="K44" s="18"/>
      <c r="L44" s="18"/>
    </row>
    <row r="45" spans="2:12" ht="17">
      <c r="B45" s="8" t="s">
        <v>86</v>
      </c>
      <c r="C45" s="9" t="s">
        <v>87</v>
      </c>
      <c r="D45">
        <v>9001</v>
      </c>
      <c r="E45" s="10">
        <f t="shared" si="0"/>
        <v>0.1630940948377394</v>
      </c>
      <c r="H45" s="18"/>
      <c r="J45" s="18"/>
      <c r="K45" s="18"/>
      <c r="L45" s="18"/>
    </row>
    <row r="46" spans="2:12" ht="17">
      <c r="B46" s="8" t="s">
        <v>88</v>
      </c>
      <c r="C46" s="9" t="s">
        <v>89</v>
      </c>
      <c r="D46">
        <v>164</v>
      </c>
      <c r="E46" s="10">
        <f t="shared" si="0"/>
        <v>2.9716066607476128E-3</v>
      </c>
      <c r="H46" s="18"/>
      <c r="I46" s="18"/>
      <c r="J46" s="18"/>
      <c r="K46" s="18"/>
      <c r="L46" s="18"/>
    </row>
    <row r="47" spans="2:12" ht="17">
      <c r="B47" s="8" t="s">
        <v>90</v>
      </c>
      <c r="C47" s="9" t="s">
        <v>91</v>
      </c>
      <c r="D47">
        <v>0</v>
      </c>
      <c r="E47" s="10">
        <f t="shared" si="0"/>
        <v>0</v>
      </c>
      <c r="H47" s="18"/>
      <c r="J47" s="18"/>
      <c r="K47" s="18"/>
      <c r="L47" s="18"/>
    </row>
    <row r="48" spans="2:12" ht="17">
      <c r="B48" s="8" t="s">
        <v>92</v>
      </c>
      <c r="C48" s="9" t="s">
        <v>93</v>
      </c>
      <c r="D48">
        <v>1095</v>
      </c>
      <c r="E48" s="10">
        <f t="shared" si="0"/>
        <v>1.9840910326333148E-2</v>
      </c>
      <c r="H48" s="18"/>
      <c r="I48" s="18"/>
      <c r="J48" s="18"/>
      <c r="K48" s="18"/>
      <c r="L48" s="18"/>
    </row>
    <row r="49" spans="2:12" ht="17">
      <c r="B49" s="8" t="s">
        <v>94</v>
      </c>
      <c r="C49" s="9" t="s">
        <v>95</v>
      </c>
      <c r="D49">
        <v>466</v>
      </c>
      <c r="E49" s="10">
        <f t="shared" si="0"/>
        <v>8.4437116091974854E-3</v>
      </c>
      <c r="H49" s="18"/>
      <c r="J49" s="18"/>
      <c r="K49" s="18"/>
      <c r="L49" s="18"/>
    </row>
    <row r="50" spans="2:12" ht="17">
      <c r="B50" s="8" t="s">
        <v>96</v>
      </c>
      <c r="C50" s="9" t="s">
        <v>97</v>
      </c>
      <c r="D50">
        <v>735</v>
      </c>
      <c r="E50" s="10">
        <f t="shared" si="0"/>
        <v>1.3317871314935947E-2</v>
      </c>
      <c r="H50" s="18"/>
      <c r="J50" s="18"/>
      <c r="K50" s="18"/>
      <c r="L50" s="18"/>
    </row>
    <row r="51" spans="2:12" ht="17">
      <c r="B51" s="8" t="s">
        <v>98</v>
      </c>
      <c r="C51" s="9" t="s">
        <v>99</v>
      </c>
      <c r="D51">
        <v>3009</v>
      </c>
      <c r="E51" s="10">
        <f t="shared" si="0"/>
        <v>5.4521734403594917E-2</v>
      </c>
      <c r="H51" s="18"/>
      <c r="I51" s="18"/>
      <c r="J51" s="18"/>
      <c r="K51" s="18"/>
      <c r="L51" s="18"/>
    </row>
    <row r="52" spans="2:12" ht="17">
      <c r="B52" s="8" t="s">
        <v>100</v>
      </c>
      <c r="C52" s="9" t="s">
        <v>101</v>
      </c>
      <c r="D52">
        <v>0</v>
      </c>
      <c r="E52" s="10">
        <f t="shared" si="0"/>
        <v>0</v>
      </c>
      <c r="H52" s="18"/>
      <c r="J52" s="18"/>
      <c r="K52" s="18"/>
      <c r="L52" s="18"/>
    </row>
    <row r="53" spans="2:12" ht="17">
      <c r="B53" s="11" t="s">
        <v>102</v>
      </c>
      <c r="C53" s="12" t="s">
        <v>103</v>
      </c>
      <c r="D53" s="13">
        <v>55189</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7FFAED7C-6F0F-B24F-BF88-D95AEF8AEB6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EE8C0-D6E0-8441-A3F0-5525055336F3}">
  <dimension ref="A1:Z70"/>
  <sheetViews>
    <sheetView workbookViewId="0">
      <selection activeCell="E8" sqref="E8"/>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123</v>
      </c>
    </row>
    <row r="4" spans="1:26" ht="17">
      <c r="B4" s="4" t="s">
        <v>2</v>
      </c>
      <c r="C4" s="5" t="s">
        <v>3</v>
      </c>
      <c r="D4" s="6" t="s">
        <v>104</v>
      </c>
      <c r="E4" s="7" t="s">
        <v>5</v>
      </c>
      <c r="G4" s="15" t="s">
        <v>106</v>
      </c>
      <c r="H4" t="s">
        <v>4</v>
      </c>
    </row>
    <row r="5" spans="1:26" ht="17">
      <c r="B5" s="8" t="s">
        <v>6</v>
      </c>
      <c r="C5" s="9" t="s">
        <v>7</v>
      </c>
      <c r="D5">
        <v>1535</v>
      </c>
      <c r="E5" s="10">
        <f>D5/D$53</f>
        <v>4.3744282608014183E-3</v>
      </c>
      <c r="G5" s="15" t="s">
        <v>105</v>
      </c>
      <c r="H5" s="17" t="s">
        <v>111</v>
      </c>
    </row>
    <row r="6" spans="1:26" ht="17" customHeight="1">
      <c r="B6" s="8" t="s">
        <v>8</v>
      </c>
      <c r="C6" s="9" t="s">
        <v>9</v>
      </c>
      <c r="D6">
        <v>4982</v>
      </c>
      <c r="E6" s="10">
        <f t="shared" ref="E6:E53" si="0">D6/D$53</f>
        <v>1.4197655762418673E-2</v>
      </c>
      <c r="G6" s="15"/>
    </row>
    <row r="7" spans="1:26" ht="17" customHeight="1">
      <c r="B7" s="8" t="s">
        <v>10</v>
      </c>
      <c r="C7" s="9" t="s">
        <v>11</v>
      </c>
      <c r="D7">
        <v>464</v>
      </c>
      <c r="E7" s="10">
        <f t="shared" si="0"/>
        <v>1.3223027446331323E-3</v>
      </c>
      <c r="G7" s="38" t="s">
        <v>124</v>
      </c>
      <c r="H7" s="38"/>
      <c r="I7" s="38"/>
      <c r="J7" s="38"/>
      <c r="K7" s="38"/>
      <c r="L7" s="38"/>
      <c r="M7" s="38"/>
    </row>
    <row r="8" spans="1:26" ht="17" customHeight="1">
      <c r="B8" s="8" t="s">
        <v>12</v>
      </c>
      <c r="C8" s="9" t="s">
        <v>13</v>
      </c>
      <c r="D8">
        <v>42565</v>
      </c>
      <c r="E8" s="10">
        <f t="shared" si="0"/>
        <v>0.12130132828730447</v>
      </c>
      <c r="G8" s="38"/>
      <c r="H8" s="38"/>
      <c r="I8" s="38"/>
      <c r="J8" s="38"/>
      <c r="K8" s="38"/>
      <c r="L8" s="38"/>
      <c r="M8" s="38"/>
    </row>
    <row r="9" spans="1:26" ht="17" customHeight="1">
      <c r="B9" s="8" t="s">
        <v>14</v>
      </c>
      <c r="C9" s="9" t="s">
        <v>15</v>
      </c>
      <c r="D9">
        <v>4960</v>
      </c>
      <c r="E9" s="10">
        <f t="shared" si="0"/>
        <v>1.4134960373664516E-2</v>
      </c>
      <c r="G9" s="38"/>
      <c r="H9" s="38"/>
      <c r="I9" s="38"/>
      <c r="J9" s="38"/>
      <c r="K9" s="38"/>
      <c r="L9" s="38"/>
      <c r="M9" s="38"/>
    </row>
    <row r="10" spans="1:26" ht="17" customHeight="1">
      <c r="B10" s="8" t="s">
        <v>16</v>
      </c>
      <c r="C10" s="9" t="s">
        <v>17</v>
      </c>
      <c r="D10">
        <v>2715</v>
      </c>
      <c r="E10" s="10">
        <f t="shared" si="0"/>
        <v>7.7371809303425736E-3</v>
      </c>
      <c r="G10" s="38"/>
      <c r="H10" s="38"/>
      <c r="I10" s="38"/>
      <c r="J10" s="38"/>
      <c r="K10" s="38"/>
      <c r="L10" s="38"/>
      <c r="M10" s="38"/>
    </row>
    <row r="11" spans="1:26" ht="17" customHeight="1">
      <c r="B11" s="8" t="s">
        <v>18</v>
      </c>
      <c r="C11" s="9" t="s">
        <v>19</v>
      </c>
      <c r="D11">
        <v>618</v>
      </c>
      <c r="E11" s="10">
        <f t="shared" si="0"/>
        <v>1.7611704659122322E-3</v>
      </c>
      <c r="G11" s="38"/>
      <c r="H11" s="38"/>
      <c r="I11" s="38"/>
      <c r="J11" s="38"/>
      <c r="K11" s="38"/>
      <c r="L11" s="38"/>
      <c r="M11" s="38"/>
    </row>
    <row r="12" spans="1:26" ht="17" customHeight="1">
      <c r="B12" s="8" t="s">
        <v>20</v>
      </c>
      <c r="C12" s="9" t="s">
        <v>21</v>
      </c>
      <c r="D12">
        <v>13320</v>
      </c>
      <c r="E12" s="10">
        <f t="shared" si="0"/>
        <v>3.7959208100244224E-2</v>
      </c>
      <c r="G12" s="38"/>
      <c r="H12" s="38"/>
      <c r="I12" s="38"/>
      <c r="J12" s="38"/>
      <c r="K12" s="38"/>
      <c r="L12" s="38"/>
      <c r="M12" s="38"/>
    </row>
    <row r="13" spans="1:26" ht="17" customHeight="1">
      <c r="B13" s="8" t="s">
        <v>22</v>
      </c>
      <c r="C13" s="9" t="s">
        <v>23</v>
      </c>
      <c r="D13">
        <v>3555</v>
      </c>
      <c r="E13" s="10">
        <f t="shared" si="0"/>
        <v>1.0131004864592209E-2</v>
      </c>
      <c r="H13" s="16"/>
      <c r="I13" s="16"/>
      <c r="J13" s="16"/>
      <c r="K13" s="16"/>
      <c r="L13" s="16"/>
    </row>
    <row r="14" spans="1:26" ht="17">
      <c r="B14" s="8" t="s">
        <v>24</v>
      </c>
      <c r="C14" s="9" t="s">
        <v>25</v>
      </c>
      <c r="D14">
        <v>367</v>
      </c>
      <c r="E14" s="10">
        <f t="shared" si="0"/>
        <v>1.0458730760352576E-3</v>
      </c>
      <c r="H14" s="16"/>
      <c r="I14" s="16"/>
      <c r="J14" s="16"/>
      <c r="K14" s="16"/>
      <c r="L14" s="16"/>
    </row>
    <row r="15" spans="1:26" ht="17">
      <c r="B15" s="8" t="s">
        <v>26</v>
      </c>
      <c r="C15" s="9" t="s">
        <v>27</v>
      </c>
      <c r="D15">
        <v>24257</v>
      </c>
      <c r="E15" s="10">
        <f t="shared" si="0"/>
        <v>6.9127365682254069E-2</v>
      </c>
      <c r="H15" s="24"/>
      <c r="I15" s="24"/>
      <c r="J15" s="25"/>
      <c r="K15" s="25"/>
      <c r="L15" s="25"/>
    </row>
    <row r="16" spans="1:26" ht="17">
      <c r="B16" s="8" t="s">
        <v>28</v>
      </c>
      <c r="C16" s="9" t="s">
        <v>29</v>
      </c>
      <c r="D16">
        <v>23709</v>
      </c>
      <c r="E16" s="10">
        <f t="shared" si="0"/>
        <v>6.7565680544195969E-2</v>
      </c>
      <c r="H16" s="24"/>
      <c r="I16" s="24"/>
      <c r="J16" s="24"/>
      <c r="K16" s="24"/>
      <c r="L16" s="24"/>
    </row>
    <row r="17" spans="2:12" ht="17">
      <c r="B17" s="8" t="s">
        <v>30</v>
      </c>
      <c r="C17" s="9" t="s">
        <v>31</v>
      </c>
      <c r="D17">
        <v>4094</v>
      </c>
      <c r="E17" s="10">
        <f t="shared" si="0"/>
        <v>1.1667041889069059E-2</v>
      </c>
      <c r="I17" s="18"/>
      <c r="J17" s="18"/>
      <c r="K17" s="18"/>
      <c r="L17" s="18"/>
    </row>
    <row r="18" spans="2:12" ht="17">
      <c r="B18" s="8" t="s">
        <v>32</v>
      </c>
      <c r="C18" s="9" t="s">
        <v>33</v>
      </c>
      <c r="D18">
        <v>4686</v>
      </c>
      <c r="E18" s="10">
        <f t="shared" si="0"/>
        <v>1.335411780463547E-2</v>
      </c>
      <c r="G18" s="20"/>
      <c r="H18" s="18"/>
      <c r="I18" s="18"/>
      <c r="J18" s="19"/>
      <c r="K18" s="19"/>
      <c r="L18" s="19"/>
    </row>
    <row r="19" spans="2:12" ht="17">
      <c r="B19" s="8" t="s">
        <v>34</v>
      </c>
      <c r="C19" s="9" t="s">
        <v>35</v>
      </c>
      <c r="D19">
        <v>2045</v>
      </c>
      <c r="E19" s="10">
        <f t="shared" si="0"/>
        <v>5.8278213637386967E-3</v>
      </c>
      <c r="H19" s="18"/>
      <c r="I19" s="18"/>
      <c r="J19" s="18"/>
      <c r="K19" s="18"/>
      <c r="L19" s="18"/>
    </row>
    <row r="20" spans="2:12" ht="17">
      <c r="B20" s="8" t="s">
        <v>36</v>
      </c>
      <c r="C20" s="9" t="s">
        <v>37</v>
      </c>
      <c r="D20">
        <v>748</v>
      </c>
      <c r="E20" s="10">
        <f t="shared" si="0"/>
        <v>2.1316432176413424E-3</v>
      </c>
      <c r="I20" s="18"/>
      <c r="J20" s="18"/>
      <c r="K20" s="18"/>
      <c r="L20" s="18"/>
    </row>
    <row r="21" spans="2:12" ht="17">
      <c r="B21" s="8" t="s">
        <v>38</v>
      </c>
      <c r="C21" s="9" t="s">
        <v>39</v>
      </c>
      <c r="D21">
        <v>2783</v>
      </c>
      <c r="E21" s="10">
        <f t="shared" si="0"/>
        <v>7.9309666774008778E-3</v>
      </c>
      <c r="H21" s="18"/>
      <c r="I21" s="18"/>
      <c r="J21" s="18"/>
      <c r="K21" s="18"/>
      <c r="L21" s="18"/>
    </row>
    <row r="22" spans="2:12" ht="17">
      <c r="B22" s="8" t="s">
        <v>40</v>
      </c>
      <c r="C22" s="9" t="s">
        <v>41</v>
      </c>
      <c r="D22">
        <v>9022</v>
      </c>
      <c r="E22" s="10">
        <f t="shared" si="0"/>
        <v>2.5710808970000255E-2</v>
      </c>
      <c r="H22" s="18"/>
      <c r="I22" s="18"/>
      <c r="J22" s="18"/>
      <c r="K22" s="18"/>
      <c r="L22" s="18"/>
    </row>
    <row r="23" spans="2:12" ht="17">
      <c r="B23" s="8" t="s">
        <v>42</v>
      </c>
      <c r="C23" s="9" t="s">
        <v>43</v>
      </c>
      <c r="D23">
        <v>10181</v>
      </c>
      <c r="E23" s="10">
        <f t="shared" si="0"/>
        <v>2.9013716041185172E-2</v>
      </c>
      <c r="H23" s="18"/>
      <c r="I23" s="18"/>
      <c r="J23" s="18"/>
      <c r="K23" s="18"/>
      <c r="L23" s="18"/>
    </row>
    <row r="24" spans="2:12" ht="17">
      <c r="B24" s="8" t="s">
        <v>44</v>
      </c>
      <c r="C24" s="9" t="s">
        <v>45</v>
      </c>
      <c r="D24">
        <v>11060</v>
      </c>
      <c r="E24" s="10">
        <f t="shared" si="0"/>
        <v>3.1518681800953539E-2</v>
      </c>
      <c r="H24" s="18"/>
      <c r="J24" s="18"/>
      <c r="K24" s="18"/>
      <c r="L24" s="18"/>
    </row>
    <row r="25" spans="2:12" ht="17">
      <c r="B25" s="8" t="s">
        <v>46</v>
      </c>
      <c r="C25" s="9" t="s">
        <v>47</v>
      </c>
      <c r="D25">
        <v>5458</v>
      </c>
      <c r="E25" s="10">
        <f t="shared" si="0"/>
        <v>1.5554155991826801E-2</v>
      </c>
      <c r="H25" s="18"/>
      <c r="I25" s="18"/>
      <c r="J25" s="18"/>
      <c r="K25" s="18"/>
      <c r="L25" s="18"/>
    </row>
    <row r="26" spans="2:12" ht="17">
      <c r="B26" s="8" t="s">
        <v>48</v>
      </c>
      <c r="C26" s="9" t="s">
        <v>49</v>
      </c>
      <c r="D26">
        <v>1138</v>
      </c>
      <c r="E26" s="10">
        <f t="shared" si="0"/>
        <v>3.2430614728286736E-3</v>
      </c>
      <c r="H26" s="18"/>
      <c r="I26" s="18"/>
      <c r="J26" s="18"/>
      <c r="K26" s="18"/>
      <c r="L26" s="18"/>
    </row>
    <row r="27" spans="2:12" ht="17">
      <c r="B27" s="8" t="s">
        <v>50</v>
      </c>
      <c r="C27" s="9" t="s">
        <v>51</v>
      </c>
      <c r="D27">
        <v>6743</v>
      </c>
      <c r="E27" s="10">
        <f t="shared" si="0"/>
        <v>1.9216136653149161E-2</v>
      </c>
      <c r="I27" s="18"/>
      <c r="J27" s="18"/>
      <c r="K27" s="18"/>
      <c r="L27" s="18"/>
    </row>
    <row r="28" spans="2:12" ht="17">
      <c r="B28" s="8" t="s">
        <v>52</v>
      </c>
      <c r="C28" s="9" t="s">
        <v>53</v>
      </c>
      <c r="D28">
        <v>631</v>
      </c>
      <c r="E28" s="10">
        <f t="shared" si="0"/>
        <v>1.7982177410851431E-3</v>
      </c>
      <c r="H28" s="18"/>
      <c r="I28" s="18"/>
      <c r="J28" s="18"/>
      <c r="K28" s="18"/>
      <c r="L28" s="18"/>
    </row>
    <row r="29" spans="2:12" ht="17">
      <c r="B29" s="8" t="s">
        <v>54</v>
      </c>
      <c r="C29" s="9" t="s">
        <v>55</v>
      </c>
      <c r="D29">
        <v>2616</v>
      </c>
      <c r="E29" s="10">
        <f t="shared" si="0"/>
        <v>7.4550516809488666E-3</v>
      </c>
      <c r="H29" s="18"/>
      <c r="I29" s="18"/>
      <c r="J29" s="18"/>
      <c r="K29" s="18"/>
      <c r="L29" s="18"/>
    </row>
    <row r="30" spans="2:12" ht="17">
      <c r="B30" s="8" t="s">
        <v>56</v>
      </c>
      <c r="C30" s="9" t="s">
        <v>57</v>
      </c>
      <c r="D30">
        <v>1434</v>
      </c>
      <c r="E30" s="10">
        <f t="shared" si="0"/>
        <v>4.0865994306118784E-3</v>
      </c>
      <c r="I30" s="18"/>
      <c r="J30" s="18"/>
      <c r="K30" s="18"/>
      <c r="L30" s="18"/>
    </row>
    <row r="31" spans="2:12" ht="17">
      <c r="B31" s="8" t="s">
        <v>58</v>
      </c>
      <c r="C31" s="9" t="s">
        <v>59</v>
      </c>
      <c r="D31">
        <v>2222</v>
      </c>
      <c r="E31" s="10">
        <f t="shared" si="0"/>
        <v>6.33223426416987E-3</v>
      </c>
      <c r="H31" s="18"/>
      <c r="I31" s="18"/>
      <c r="J31" s="18"/>
      <c r="K31" s="18"/>
      <c r="L31" s="18"/>
    </row>
    <row r="32" spans="2:12" ht="17">
      <c r="B32" s="8" t="s">
        <v>60</v>
      </c>
      <c r="C32" s="9" t="s">
        <v>61</v>
      </c>
      <c r="D32">
        <v>30058</v>
      </c>
      <c r="E32" s="10">
        <f t="shared" si="0"/>
        <v>8.5658999780566139E-2</v>
      </c>
      <c r="H32" s="18"/>
      <c r="I32" s="18"/>
      <c r="J32" s="18"/>
      <c r="K32" s="18"/>
      <c r="L32" s="18"/>
    </row>
    <row r="33" spans="2:12" ht="17">
      <c r="B33" s="8" t="s">
        <v>62</v>
      </c>
      <c r="C33" s="9" t="s">
        <v>63</v>
      </c>
      <c r="D33">
        <v>839</v>
      </c>
      <c r="E33" s="10">
        <f t="shared" si="0"/>
        <v>2.3909741438517197E-3</v>
      </c>
      <c r="H33" s="18"/>
      <c r="I33" s="18"/>
      <c r="J33" s="18"/>
      <c r="K33" s="18"/>
      <c r="L33" s="18"/>
    </row>
    <row r="34" spans="2:12" ht="17">
      <c r="B34" s="8" t="s">
        <v>64</v>
      </c>
      <c r="C34" s="9" t="s">
        <v>65</v>
      </c>
      <c r="D34">
        <v>25092</v>
      </c>
      <c r="E34" s="10">
        <f t="shared" si="0"/>
        <v>7.1506940664514129E-2</v>
      </c>
      <c r="H34" s="18"/>
      <c r="I34" s="18"/>
      <c r="J34" s="18"/>
      <c r="K34" s="18"/>
      <c r="L34" s="18"/>
    </row>
    <row r="35" spans="2:12" ht="17">
      <c r="B35" s="8" t="s">
        <v>66</v>
      </c>
      <c r="C35" s="9" t="s">
        <v>67</v>
      </c>
      <c r="D35">
        <v>26998</v>
      </c>
      <c r="E35" s="10">
        <f t="shared" si="0"/>
        <v>7.6938641162942467E-2</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7365</v>
      </c>
      <c r="E37" s="10">
        <f t="shared" si="0"/>
        <v>2.0988706280653059E-2</v>
      </c>
      <c r="H37" s="18"/>
      <c r="I37" s="18"/>
      <c r="J37" s="18"/>
      <c r="K37" s="18"/>
      <c r="L37" s="18"/>
    </row>
    <row r="38" spans="2:12" ht="17">
      <c r="B38" s="8" t="s">
        <v>72</v>
      </c>
      <c r="C38" s="9" t="s">
        <v>73</v>
      </c>
      <c r="D38">
        <v>846</v>
      </c>
      <c r="E38" s="10">
        <f t="shared" si="0"/>
        <v>2.4109226766371333E-3</v>
      </c>
      <c r="H38" s="18"/>
      <c r="I38" s="18"/>
      <c r="J38" s="18"/>
      <c r="K38" s="18"/>
      <c r="L38" s="18"/>
    </row>
    <row r="39" spans="2:12" ht="17">
      <c r="B39" s="8" t="s">
        <v>74</v>
      </c>
      <c r="C39" s="9" t="s">
        <v>75</v>
      </c>
      <c r="D39">
        <v>1212</v>
      </c>
      <c r="E39" s="10">
        <f t="shared" si="0"/>
        <v>3.4539459622744749E-3</v>
      </c>
      <c r="H39" s="18"/>
      <c r="I39" s="18"/>
      <c r="J39" s="18"/>
      <c r="K39" s="18"/>
      <c r="L39" s="18"/>
    </row>
    <row r="40" spans="2:12" ht="17">
      <c r="B40" s="8" t="s">
        <v>76</v>
      </c>
      <c r="C40" s="9" t="s">
        <v>77</v>
      </c>
      <c r="D40">
        <v>20362</v>
      </c>
      <c r="E40" s="10">
        <f t="shared" si="0"/>
        <v>5.8027432082370344E-2</v>
      </c>
      <c r="H40" s="18"/>
      <c r="I40" s="18"/>
      <c r="J40" s="18"/>
      <c r="K40" s="18"/>
      <c r="L40" s="18"/>
    </row>
    <row r="41" spans="2:12" ht="17">
      <c r="B41" s="8" t="s">
        <v>78</v>
      </c>
      <c r="C41" s="9" t="s">
        <v>79</v>
      </c>
      <c r="D41">
        <v>1257</v>
      </c>
      <c r="E41" s="10">
        <f t="shared" si="0"/>
        <v>3.5821865301807051E-3</v>
      </c>
      <c r="H41" s="18"/>
      <c r="J41" s="18"/>
      <c r="K41" s="18"/>
      <c r="L41" s="18"/>
    </row>
    <row r="42" spans="2:12" ht="17">
      <c r="B42" s="8" t="s">
        <v>80</v>
      </c>
      <c r="C42" s="9" t="s">
        <v>81</v>
      </c>
      <c r="D42">
        <v>6516</v>
      </c>
      <c r="E42" s="10">
        <f t="shared" si="0"/>
        <v>1.8569234232822175E-2</v>
      </c>
      <c r="H42" s="18"/>
      <c r="I42" s="18"/>
      <c r="J42" s="18"/>
      <c r="K42" s="18"/>
      <c r="L42" s="18"/>
    </row>
    <row r="43" spans="2:12" ht="17">
      <c r="B43" s="8" t="s">
        <v>82</v>
      </c>
      <c r="C43" s="9" t="s">
        <v>83</v>
      </c>
      <c r="D43">
        <v>0</v>
      </c>
      <c r="E43" s="10">
        <f t="shared" si="0"/>
        <v>0</v>
      </c>
      <c r="H43" s="18"/>
      <c r="I43" s="18"/>
      <c r="J43" s="18"/>
      <c r="K43" s="18"/>
      <c r="L43" s="18"/>
    </row>
    <row r="44" spans="2:12" ht="17">
      <c r="B44" s="8" t="s">
        <v>84</v>
      </c>
      <c r="C44" s="9" t="s">
        <v>85</v>
      </c>
      <c r="D44">
        <v>3025</v>
      </c>
      <c r="E44" s="10">
        <f t="shared" si="0"/>
        <v>8.6206159536966059E-3</v>
      </c>
      <c r="H44" s="18"/>
      <c r="I44" s="18"/>
      <c r="J44" s="18"/>
      <c r="K44" s="18"/>
      <c r="L44" s="18"/>
    </row>
    <row r="45" spans="2:12" ht="17">
      <c r="B45" s="8" t="s">
        <v>86</v>
      </c>
      <c r="C45" s="9" t="s">
        <v>87</v>
      </c>
      <c r="D45">
        <v>15355</v>
      </c>
      <c r="E45" s="10">
        <f t="shared" si="0"/>
        <v>4.3758531560003762E-2</v>
      </c>
      <c r="H45" s="18"/>
      <c r="I45" s="18"/>
      <c r="J45" s="18"/>
      <c r="K45" s="18"/>
      <c r="L45" s="18"/>
    </row>
    <row r="46" spans="2:12" ht="17">
      <c r="B46" s="8" t="s">
        <v>88</v>
      </c>
      <c r="C46" s="9" t="s">
        <v>89</v>
      </c>
      <c r="D46">
        <v>7842</v>
      </c>
      <c r="E46" s="10">
        <f t="shared" si="0"/>
        <v>2.23480563004591E-2</v>
      </c>
      <c r="H46" s="18"/>
      <c r="I46" s="18"/>
      <c r="J46" s="18"/>
      <c r="K46" s="18"/>
      <c r="L46" s="18"/>
    </row>
    <row r="47" spans="2:12" ht="17">
      <c r="B47" s="8" t="s">
        <v>90</v>
      </c>
      <c r="C47" s="9" t="s">
        <v>91</v>
      </c>
      <c r="D47">
        <v>480</v>
      </c>
      <c r="E47" s="10">
        <f t="shared" si="0"/>
        <v>1.3678993909997919E-3</v>
      </c>
      <c r="H47" s="18"/>
      <c r="I47" s="18"/>
      <c r="J47" s="18"/>
      <c r="K47" s="18"/>
      <c r="L47" s="18"/>
    </row>
    <row r="48" spans="2:12" ht="17">
      <c r="B48" s="8" t="s">
        <v>92</v>
      </c>
      <c r="C48" s="9" t="s">
        <v>93</v>
      </c>
      <c r="D48">
        <v>2938</v>
      </c>
      <c r="E48" s="10">
        <f t="shared" si="0"/>
        <v>8.372684189077894E-3</v>
      </c>
      <c r="H48" s="18"/>
      <c r="I48" s="18"/>
      <c r="J48" s="18"/>
      <c r="K48" s="18"/>
      <c r="L48" s="18"/>
    </row>
    <row r="49" spans="2:12" ht="17">
      <c r="B49" s="8" t="s">
        <v>94</v>
      </c>
      <c r="C49" s="9" t="s">
        <v>95</v>
      </c>
      <c r="D49">
        <v>4224</v>
      </c>
      <c r="E49" s="10">
        <f t="shared" si="0"/>
        <v>1.2037514640798169E-2</v>
      </c>
      <c r="H49" s="18"/>
      <c r="I49" s="18"/>
      <c r="J49" s="18"/>
      <c r="K49" s="18"/>
      <c r="L49" s="18"/>
    </row>
    <row r="50" spans="2:12" ht="17">
      <c r="B50" s="8" t="s">
        <v>96</v>
      </c>
      <c r="C50" s="9" t="s">
        <v>97</v>
      </c>
      <c r="D50">
        <v>828</v>
      </c>
      <c r="E50" s="10">
        <f t="shared" si="0"/>
        <v>2.3596264494746412E-3</v>
      </c>
      <c r="H50" s="18"/>
      <c r="J50" s="18"/>
      <c r="K50" s="18"/>
      <c r="L50" s="18"/>
    </row>
    <row r="51" spans="2:12" ht="17">
      <c r="B51" s="8" t="s">
        <v>98</v>
      </c>
      <c r="C51" s="9" t="s">
        <v>99</v>
      </c>
      <c r="D51">
        <v>6578</v>
      </c>
      <c r="E51" s="10">
        <f t="shared" si="0"/>
        <v>1.8745921237492982E-2</v>
      </c>
      <c r="H51" s="18"/>
      <c r="I51" s="18"/>
      <c r="J51" s="18"/>
      <c r="K51" s="18"/>
      <c r="L51" s="18"/>
    </row>
    <row r="52" spans="2:12" ht="17">
      <c r="B52" s="8" t="s">
        <v>100</v>
      </c>
      <c r="C52" s="9" t="s">
        <v>101</v>
      </c>
      <c r="D52">
        <v>65</v>
      </c>
      <c r="E52" s="10">
        <f t="shared" si="0"/>
        <v>1.8523637586455516E-4</v>
      </c>
      <c r="H52" s="18"/>
      <c r="I52" s="18"/>
      <c r="J52" s="18"/>
      <c r="K52" s="18"/>
      <c r="L52" s="18"/>
    </row>
    <row r="53" spans="2:12" ht="17">
      <c r="B53" s="11" t="s">
        <v>102</v>
      </c>
      <c r="C53" s="12" t="s">
        <v>103</v>
      </c>
      <c r="D53">
        <v>350903</v>
      </c>
      <c r="E53" s="14">
        <f t="shared" si="0"/>
        <v>1</v>
      </c>
      <c r="H53" s="18"/>
      <c r="I53" s="18"/>
      <c r="J53" s="18"/>
      <c r="K53" s="18"/>
      <c r="L53" s="18"/>
    </row>
    <row r="54" spans="2:12">
      <c r="H54" s="18"/>
      <c r="I54" s="18"/>
      <c r="J54" s="18"/>
      <c r="K54" s="18"/>
      <c r="L54" s="18"/>
    </row>
    <row r="55" spans="2:12">
      <c r="H55" s="18"/>
      <c r="I55" s="18"/>
      <c r="J55" s="18"/>
      <c r="K55" s="18"/>
      <c r="L55" s="18"/>
    </row>
    <row r="56" spans="2:12">
      <c r="H56" s="18"/>
      <c r="I56" s="18"/>
      <c r="J56" s="18"/>
      <c r="K56" s="18"/>
      <c r="L56" s="18"/>
    </row>
    <row r="57" spans="2:12">
      <c r="H57" s="18"/>
      <c r="I57" s="18"/>
      <c r="J57" s="18"/>
      <c r="K57" s="18"/>
      <c r="L57" s="18"/>
    </row>
    <row r="58" spans="2:12">
      <c r="H58" s="18"/>
      <c r="J58" s="18"/>
      <c r="K58" s="18"/>
      <c r="L58" s="18"/>
    </row>
    <row r="59" spans="2:12">
      <c r="H59" s="18"/>
      <c r="I59" s="18"/>
      <c r="J59" s="18"/>
      <c r="K59" s="18"/>
      <c r="L59" s="18"/>
    </row>
    <row r="60" spans="2:12">
      <c r="H60" s="18"/>
      <c r="I60" s="18"/>
      <c r="J60" s="18"/>
      <c r="K60" s="18"/>
      <c r="L60" s="18"/>
    </row>
    <row r="61" spans="2:12">
      <c r="H61" s="18"/>
      <c r="J61" s="18"/>
      <c r="K61" s="18"/>
      <c r="L61" s="18"/>
    </row>
    <row r="62" spans="2:12">
      <c r="H62" s="18"/>
      <c r="I62" s="18"/>
      <c r="J62" s="18"/>
      <c r="K62" s="18"/>
      <c r="L62" s="18"/>
    </row>
    <row r="63" spans="2:12">
      <c r="H63" s="18"/>
      <c r="J63" s="18"/>
      <c r="K63" s="18"/>
      <c r="L63" s="18"/>
    </row>
    <row r="64" spans="2:12">
      <c r="H64" s="18"/>
      <c r="I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CB86FC0B-C14E-F247-912E-2DE87353CC7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7243D-2482-974E-AAE9-16D721580D19}">
  <dimension ref="A1:Z53"/>
  <sheetViews>
    <sheetView topLeftCell="A4" workbookViewId="0">
      <selection activeCell="I16" sqref="I1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144</v>
      </c>
    </row>
    <row r="4" spans="1:26" ht="17">
      <c r="B4" s="4" t="s">
        <v>2</v>
      </c>
      <c r="C4" s="5" t="s">
        <v>3</v>
      </c>
      <c r="D4" s="6" t="s">
        <v>104</v>
      </c>
      <c r="E4" s="7" t="s">
        <v>5</v>
      </c>
      <c r="G4" s="15" t="s">
        <v>106</v>
      </c>
      <c r="H4" t="s">
        <v>145</v>
      </c>
    </row>
    <row r="5" spans="1:26" ht="17">
      <c r="B5" s="8" t="s">
        <v>6</v>
      </c>
      <c r="C5" s="9" t="s">
        <v>7</v>
      </c>
      <c r="D5">
        <v>0</v>
      </c>
      <c r="E5" s="10">
        <f>D5/D$53</f>
        <v>0</v>
      </c>
      <c r="G5" s="15" t="s">
        <v>105</v>
      </c>
      <c r="H5" s="17" t="s">
        <v>146</v>
      </c>
    </row>
    <row r="6" spans="1:26" ht="17" customHeight="1">
      <c r="B6" s="8" t="s">
        <v>8</v>
      </c>
      <c r="C6" s="9" t="s">
        <v>9</v>
      </c>
      <c r="D6">
        <v>0</v>
      </c>
      <c r="E6" s="10">
        <f t="shared" ref="E6:E53" si="0">D6/D$53</f>
        <v>0</v>
      </c>
      <c r="G6" s="15"/>
    </row>
    <row r="7" spans="1:26" ht="17" customHeight="1">
      <c r="B7" s="8" t="s">
        <v>10</v>
      </c>
      <c r="C7" s="9" t="s">
        <v>11</v>
      </c>
      <c r="D7">
        <v>0</v>
      </c>
      <c r="E7" s="10">
        <f t="shared" si="0"/>
        <v>0</v>
      </c>
      <c r="G7" s="38" t="s">
        <v>147</v>
      </c>
      <c r="H7" s="38"/>
      <c r="I7" s="38"/>
      <c r="J7" s="38"/>
      <c r="K7" s="38"/>
      <c r="L7" s="38"/>
      <c r="M7" s="38"/>
    </row>
    <row r="8" spans="1:26" ht="17" customHeight="1">
      <c r="B8" s="8" t="s">
        <v>12</v>
      </c>
      <c r="C8" s="9" t="s">
        <v>13</v>
      </c>
      <c r="D8">
        <v>0</v>
      </c>
      <c r="E8" s="10">
        <f t="shared" si="0"/>
        <v>0</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0</v>
      </c>
      <c r="E12" s="10">
        <f t="shared" si="0"/>
        <v>0</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5" ht="17">
      <c r="B17" s="8" t="s">
        <v>30</v>
      </c>
      <c r="C17" s="9" t="s">
        <v>31</v>
      </c>
      <c r="D17">
        <v>0</v>
      </c>
      <c r="E17" s="10">
        <f t="shared" si="0"/>
        <v>0</v>
      </c>
    </row>
    <row r="18" spans="2:5" ht="17">
      <c r="B18" s="8" t="s">
        <v>32</v>
      </c>
      <c r="C18" s="9" t="s">
        <v>33</v>
      </c>
      <c r="D18">
        <v>0</v>
      </c>
      <c r="E18" s="10">
        <f t="shared" si="0"/>
        <v>0</v>
      </c>
    </row>
    <row r="19" spans="2:5" ht="17">
      <c r="B19" s="8" t="s">
        <v>34</v>
      </c>
      <c r="C19" s="9" t="s">
        <v>35</v>
      </c>
      <c r="D19">
        <v>0</v>
      </c>
      <c r="E19" s="10">
        <f t="shared" si="0"/>
        <v>0</v>
      </c>
    </row>
    <row r="20" spans="2:5" ht="17">
      <c r="B20" s="8" t="s">
        <v>36</v>
      </c>
      <c r="C20" s="9" t="s">
        <v>37</v>
      </c>
      <c r="D20">
        <v>80</v>
      </c>
      <c r="E20" s="10">
        <f t="shared" si="0"/>
        <v>0.4</v>
      </c>
    </row>
    <row r="21" spans="2:5" ht="17">
      <c r="B21" s="8" t="s">
        <v>38</v>
      </c>
      <c r="C21" s="9" t="s">
        <v>39</v>
      </c>
      <c r="D21">
        <v>0</v>
      </c>
      <c r="E21" s="10">
        <f t="shared" si="0"/>
        <v>0</v>
      </c>
    </row>
    <row r="22" spans="2:5" ht="17">
      <c r="B22" s="8" t="s">
        <v>40</v>
      </c>
      <c r="C22" s="9" t="s">
        <v>41</v>
      </c>
      <c r="D22">
        <v>0</v>
      </c>
      <c r="E22" s="10">
        <f t="shared" si="0"/>
        <v>0</v>
      </c>
    </row>
    <row r="23" spans="2:5" ht="17">
      <c r="B23" s="8" t="s">
        <v>42</v>
      </c>
      <c r="C23" s="9" t="s">
        <v>43</v>
      </c>
      <c r="D23">
        <v>0</v>
      </c>
      <c r="E23" s="10">
        <f t="shared" si="0"/>
        <v>0</v>
      </c>
    </row>
    <row r="24" spans="2:5" ht="17">
      <c r="B24" s="8" t="s">
        <v>44</v>
      </c>
      <c r="C24" s="9" t="s">
        <v>45</v>
      </c>
      <c r="D24">
        <v>0</v>
      </c>
      <c r="E24" s="10">
        <f t="shared" si="0"/>
        <v>0</v>
      </c>
    </row>
    <row r="25" spans="2:5" ht="17">
      <c r="B25" s="8" t="s">
        <v>46</v>
      </c>
      <c r="C25" s="9" t="s">
        <v>47</v>
      </c>
      <c r="D25">
        <v>0</v>
      </c>
      <c r="E25" s="10">
        <f t="shared" si="0"/>
        <v>0</v>
      </c>
    </row>
    <row r="26" spans="2:5" ht="17">
      <c r="B26" s="8" t="s">
        <v>48</v>
      </c>
      <c r="C26" s="9" t="s">
        <v>49</v>
      </c>
      <c r="D26">
        <v>0</v>
      </c>
      <c r="E26" s="10">
        <f t="shared" si="0"/>
        <v>0</v>
      </c>
    </row>
    <row r="27" spans="2:5" ht="17">
      <c r="B27" s="8" t="s">
        <v>50</v>
      </c>
      <c r="C27" s="9" t="s">
        <v>51</v>
      </c>
      <c r="D27">
        <v>0</v>
      </c>
      <c r="E27" s="10">
        <f t="shared" si="0"/>
        <v>0</v>
      </c>
    </row>
    <row r="28" spans="2:5" ht="17">
      <c r="B28" s="8" t="s">
        <v>52</v>
      </c>
      <c r="C28" s="9" t="s">
        <v>53</v>
      </c>
      <c r="D28">
        <v>0</v>
      </c>
      <c r="E28" s="10">
        <f t="shared" si="0"/>
        <v>0</v>
      </c>
    </row>
    <row r="29" spans="2:5" ht="17">
      <c r="B29" s="8" t="s">
        <v>54</v>
      </c>
      <c r="C29" s="9" t="s">
        <v>55</v>
      </c>
      <c r="D29">
        <v>0</v>
      </c>
      <c r="E29" s="10">
        <f t="shared" si="0"/>
        <v>0</v>
      </c>
    </row>
    <row r="30" spans="2:5" ht="17">
      <c r="B30" s="8" t="s">
        <v>56</v>
      </c>
      <c r="C30" s="9" t="s">
        <v>57</v>
      </c>
      <c r="D30">
        <v>0</v>
      </c>
      <c r="E30" s="10">
        <f t="shared" si="0"/>
        <v>0</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0</v>
      </c>
      <c r="E33" s="10">
        <f t="shared" si="0"/>
        <v>0</v>
      </c>
    </row>
    <row r="34" spans="2:5" ht="17">
      <c r="B34" s="8" t="s">
        <v>64</v>
      </c>
      <c r="C34" s="9" t="s">
        <v>65</v>
      </c>
      <c r="D34">
        <v>0</v>
      </c>
      <c r="E34" s="10">
        <f t="shared" si="0"/>
        <v>0</v>
      </c>
    </row>
    <row r="35" spans="2:5" ht="17">
      <c r="B35" s="8" t="s">
        <v>66</v>
      </c>
      <c r="C35" s="9" t="s">
        <v>67</v>
      </c>
      <c r="D35">
        <v>0</v>
      </c>
      <c r="E35" s="10">
        <f t="shared" si="0"/>
        <v>0</v>
      </c>
    </row>
    <row r="36" spans="2:5" ht="17">
      <c r="B36" s="8" t="s">
        <v>68</v>
      </c>
      <c r="C36" s="9" t="s">
        <v>69</v>
      </c>
      <c r="D36">
        <v>0</v>
      </c>
      <c r="E36" s="10">
        <f t="shared" si="0"/>
        <v>0</v>
      </c>
    </row>
    <row r="37" spans="2:5" ht="17">
      <c r="B37" s="8" t="s">
        <v>70</v>
      </c>
      <c r="C37" s="9" t="s">
        <v>71</v>
      </c>
      <c r="D37">
        <v>0</v>
      </c>
      <c r="E37" s="10">
        <f t="shared" si="0"/>
        <v>0</v>
      </c>
    </row>
    <row r="38" spans="2:5" ht="17">
      <c r="B38" s="8" t="s">
        <v>72</v>
      </c>
      <c r="C38" s="9" t="s">
        <v>73</v>
      </c>
      <c r="D38">
        <v>0</v>
      </c>
      <c r="E38" s="10">
        <f t="shared" si="0"/>
        <v>0</v>
      </c>
    </row>
    <row r="39" spans="2:5" ht="17">
      <c r="B39" s="8" t="s">
        <v>74</v>
      </c>
      <c r="C39" s="9" t="s">
        <v>75</v>
      </c>
      <c r="D39">
        <v>0</v>
      </c>
      <c r="E39" s="10">
        <f t="shared" si="0"/>
        <v>0</v>
      </c>
    </row>
    <row r="40" spans="2:5" ht="17">
      <c r="B40" s="8" t="s">
        <v>76</v>
      </c>
      <c r="C40" s="9" t="s">
        <v>77</v>
      </c>
      <c r="D40">
        <v>0</v>
      </c>
      <c r="E40" s="10">
        <f t="shared" si="0"/>
        <v>0</v>
      </c>
    </row>
    <row r="41" spans="2:5" ht="17">
      <c r="B41" s="8" t="s">
        <v>78</v>
      </c>
      <c r="C41" s="9" t="s">
        <v>79</v>
      </c>
      <c r="D41">
        <v>0</v>
      </c>
      <c r="E41" s="10">
        <f t="shared" si="0"/>
        <v>0</v>
      </c>
    </row>
    <row r="42" spans="2:5" ht="17">
      <c r="B42" s="8" t="s">
        <v>80</v>
      </c>
      <c r="C42" s="9" t="s">
        <v>81</v>
      </c>
      <c r="D42">
        <v>0</v>
      </c>
      <c r="E42" s="10">
        <f t="shared" si="0"/>
        <v>0</v>
      </c>
    </row>
    <row r="43" spans="2:5" ht="17">
      <c r="B43" s="8" t="s">
        <v>82</v>
      </c>
      <c r="C43" s="9" t="s">
        <v>83</v>
      </c>
      <c r="D43">
        <v>0</v>
      </c>
      <c r="E43" s="10">
        <f t="shared" si="0"/>
        <v>0</v>
      </c>
    </row>
    <row r="44" spans="2:5" ht="17">
      <c r="B44" s="8" t="s">
        <v>84</v>
      </c>
      <c r="C44" s="9" t="s">
        <v>85</v>
      </c>
      <c r="D44">
        <v>0</v>
      </c>
      <c r="E44" s="10">
        <f t="shared" si="0"/>
        <v>0</v>
      </c>
    </row>
    <row r="45" spans="2:5" ht="17">
      <c r="B45" s="8" t="s">
        <v>86</v>
      </c>
      <c r="C45" s="9" t="s">
        <v>87</v>
      </c>
      <c r="D45">
        <v>120</v>
      </c>
      <c r="E45" s="10">
        <f t="shared" si="0"/>
        <v>0.6</v>
      </c>
    </row>
    <row r="46" spans="2:5" ht="17">
      <c r="B46" s="8" t="s">
        <v>88</v>
      </c>
      <c r="C46" s="9" t="s">
        <v>89</v>
      </c>
      <c r="D46">
        <v>0</v>
      </c>
      <c r="E46" s="10">
        <f t="shared" si="0"/>
        <v>0</v>
      </c>
    </row>
    <row r="47" spans="2:5" ht="17">
      <c r="B47" s="8" t="s">
        <v>90</v>
      </c>
      <c r="C47" s="9" t="s">
        <v>91</v>
      </c>
      <c r="D47">
        <v>0</v>
      </c>
      <c r="E47" s="10">
        <f t="shared" si="0"/>
        <v>0</v>
      </c>
    </row>
    <row r="48" spans="2:5" ht="17">
      <c r="B48" s="8" t="s">
        <v>92</v>
      </c>
      <c r="C48" s="9" t="s">
        <v>93</v>
      </c>
      <c r="D48">
        <v>0</v>
      </c>
      <c r="E48" s="10">
        <f t="shared" si="0"/>
        <v>0</v>
      </c>
    </row>
    <row r="49" spans="2:5" ht="17">
      <c r="B49" s="8" t="s">
        <v>94</v>
      </c>
      <c r="C49" s="9" t="s">
        <v>95</v>
      </c>
      <c r="D49">
        <v>0</v>
      </c>
      <c r="E49" s="10">
        <f t="shared" si="0"/>
        <v>0</v>
      </c>
    </row>
    <row r="50" spans="2:5" ht="17">
      <c r="B50" s="8" t="s">
        <v>96</v>
      </c>
      <c r="C50" s="9" t="s">
        <v>97</v>
      </c>
      <c r="D50">
        <v>0</v>
      </c>
      <c r="E50" s="10">
        <f t="shared" si="0"/>
        <v>0</v>
      </c>
    </row>
    <row r="51" spans="2:5" ht="17">
      <c r="B51" s="8" t="s">
        <v>98</v>
      </c>
      <c r="C51" s="9" t="s">
        <v>99</v>
      </c>
      <c r="D51">
        <v>0</v>
      </c>
      <c r="E51" s="10">
        <f t="shared" si="0"/>
        <v>0</v>
      </c>
    </row>
    <row r="52" spans="2:5" ht="17">
      <c r="B52" s="8" t="s">
        <v>100</v>
      </c>
      <c r="C52" s="9" t="s">
        <v>101</v>
      </c>
      <c r="D52">
        <v>0</v>
      </c>
      <c r="E52" s="10">
        <f t="shared" si="0"/>
        <v>0</v>
      </c>
    </row>
    <row r="53" spans="2:5" ht="17">
      <c r="B53" s="11" t="s">
        <v>102</v>
      </c>
      <c r="C53" s="12" t="s">
        <v>103</v>
      </c>
      <c r="D53" s="13">
        <v>200</v>
      </c>
      <c r="E53" s="14">
        <f t="shared" si="0"/>
        <v>1</v>
      </c>
    </row>
  </sheetData>
  <mergeCells count="1">
    <mergeCell ref="G7:M12"/>
  </mergeCells>
  <hyperlinks>
    <hyperlink ref="H5" r:id="rId1" display="Toxicological Profile for Fluorides, Hydrogen Fluoride, and Fluorine (National Library of Medicine)" xr:uid="{B38830E0-FF77-4B4F-A5D1-4F3B861CD4F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3702-05F5-EC4B-AEC0-167CA0CD04E8}">
  <dimension ref="A1:Z90"/>
  <sheetViews>
    <sheetView workbookViewId="0">
      <selection activeCell="L60" sqref="L60"/>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213</v>
      </c>
    </row>
    <row r="4" spans="1:26" ht="17">
      <c r="B4" s="4" t="s">
        <v>2</v>
      </c>
      <c r="C4" s="5" t="s">
        <v>3</v>
      </c>
      <c r="D4" s="6" t="s">
        <v>104</v>
      </c>
      <c r="E4" s="7" t="s">
        <v>5</v>
      </c>
      <c r="G4" s="15" t="s">
        <v>106</v>
      </c>
      <c r="H4" t="s">
        <v>155</v>
      </c>
    </row>
    <row r="5" spans="1:26" ht="17">
      <c r="B5" s="8" t="s">
        <v>6</v>
      </c>
      <c r="C5" s="9" t="s">
        <v>7</v>
      </c>
      <c r="D5">
        <v>0</v>
      </c>
      <c r="E5" s="10">
        <f>D5/D$53</f>
        <v>0</v>
      </c>
      <c r="G5" s="15" t="s">
        <v>105</v>
      </c>
      <c r="H5" s="17" t="s">
        <v>156</v>
      </c>
    </row>
    <row r="6" spans="1:26" ht="17" customHeight="1">
      <c r="B6" s="8" t="s">
        <v>8</v>
      </c>
      <c r="C6" s="9" t="s">
        <v>9</v>
      </c>
      <c r="D6">
        <v>0</v>
      </c>
      <c r="E6" s="10">
        <f t="shared" ref="E6:E53" si="0">D6/D$53</f>
        <v>0</v>
      </c>
      <c r="G6" s="15"/>
    </row>
    <row r="7" spans="1:26" ht="17" customHeight="1">
      <c r="B7" s="8" t="s">
        <v>10</v>
      </c>
      <c r="C7" s="9" t="s">
        <v>11</v>
      </c>
      <c r="D7">
        <v>0</v>
      </c>
      <c r="E7" s="10">
        <f t="shared" si="0"/>
        <v>0</v>
      </c>
      <c r="G7" s="38" t="s">
        <v>216</v>
      </c>
      <c r="H7" s="38"/>
      <c r="I7" s="38"/>
      <c r="J7" s="38"/>
      <c r="K7" s="38"/>
      <c r="L7" s="38"/>
      <c r="M7" s="38"/>
    </row>
    <row r="8" spans="1:26" ht="17" customHeight="1">
      <c r="B8" s="8" t="s">
        <v>12</v>
      </c>
      <c r="C8" s="9" t="s">
        <v>13</v>
      </c>
      <c r="D8">
        <v>0</v>
      </c>
      <c r="E8" s="10">
        <f t="shared" si="0"/>
        <v>0</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6</v>
      </c>
      <c r="E12" s="10">
        <f t="shared" si="0"/>
        <v>0.5</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2</v>
      </c>
      <c r="E14" s="10">
        <f t="shared" si="0"/>
        <v>0.16666666666666666</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16" ht="17">
      <c r="B17" s="8" t="s">
        <v>30</v>
      </c>
      <c r="C17" s="9" t="s">
        <v>31</v>
      </c>
      <c r="D17">
        <v>0</v>
      </c>
      <c r="E17" s="10">
        <f t="shared" si="0"/>
        <v>0</v>
      </c>
    </row>
    <row r="18" spans="2:16" ht="17">
      <c r="B18" s="8" t="s">
        <v>32</v>
      </c>
      <c r="C18" s="9" t="s">
        <v>33</v>
      </c>
      <c r="D18">
        <v>0</v>
      </c>
      <c r="E18" s="10">
        <f t="shared" si="0"/>
        <v>0</v>
      </c>
    </row>
    <row r="19" spans="2:16" ht="17">
      <c r="B19" s="8" t="s">
        <v>34</v>
      </c>
      <c r="C19" s="9" t="s">
        <v>35</v>
      </c>
      <c r="D19">
        <v>0</v>
      </c>
      <c r="E19" s="10">
        <f t="shared" si="0"/>
        <v>0</v>
      </c>
    </row>
    <row r="20" spans="2:16" ht="17">
      <c r="B20" s="8" t="s">
        <v>36</v>
      </c>
      <c r="C20" s="9" t="s">
        <v>37</v>
      </c>
      <c r="D20">
        <v>0</v>
      </c>
      <c r="E20" s="10">
        <f t="shared" si="0"/>
        <v>0</v>
      </c>
      <c r="I20" s="28"/>
      <c r="J20" s="28"/>
      <c r="K20" s="29"/>
      <c r="L20" s="30"/>
      <c r="M20" s="30"/>
      <c r="N20" s="30"/>
      <c r="O20" s="28"/>
      <c r="P20" s="28"/>
    </row>
    <row r="21" spans="2:16" ht="17">
      <c r="B21" s="8" t="s">
        <v>38</v>
      </c>
      <c r="C21" s="9" t="s">
        <v>39</v>
      </c>
      <c r="D21">
        <v>0</v>
      </c>
      <c r="E21" s="10">
        <f t="shared" si="0"/>
        <v>0</v>
      </c>
      <c r="I21" s="28"/>
      <c r="J21" s="28"/>
      <c r="K21" s="28"/>
      <c r="L21" s="29"/>
      <c r="M21" s="29"/>
      <c r="N21" s="29"/>
      <c r="O21" s="28"/>
      <c r="P21" s="28"/>
    </row>
    <row r="22" spans="2:16" ht="17">
      <c r="B22" s="8" t="s">
        <v>40</v>
      </c>
      <c r="C22" s="9" t="s">
        <v>41</v>
      </c>
      <c r="D22">
        <v>0</v>
      </c>
      <c r="E22" s="10">
        <f t="shared" si="0"/>
        <v>0</v>
      </c>
      <c r="I22" s="28"/>
      <c r="J22" s="28"/>
      <c r="K22" s="29"/>
      <c r="L22" s="29"/>
      <c r="M22" s="29"/>
      <c r="N22" s="29"/>
      <c r="O22" s="28"/>
      <c r="P22" s="28"/>
    </row>
    <row r="23" spans="2:16" ht="17">
      <c r="B23" s="8" t="s">
        <v>42</v>
      </c>
      <c r="C23" s="9" t="s">
        <v>43</v>
      </c>
      <c r="D23">
        <v>0</v>
      </c>
      <c r="E23" s="10">
        <f t="shared" si="0"/>
        <v>0</v>
      </c>
      <c r="I23" s="28"/>
      <c r="J23" s="28"/>
      <c r="K23" s="28"/>
      <c r="L23" s="29"/>
      <c r="M23" s="29"/>
      <c r="N23" s="29"/>
      <c r="O23" s="28"/>
      <c r="P23" s="28"/>
    </row>
    <row r="24" spans="2:16" ht="17">
      <c r="B24" s="8" t="s">
        <v>44</v>
      </c>
      <c r="C24" s="9" t="s">
        <v>45</v>
      </c>
      <c r="D24">
        <v>0</v>
      </c>
      <c r="E24" s="10">
        <f t="shared" si="0"/>
        <v>0</v>
      </c>
      <c r="I24" s="28"/>
      <c r="J24" s="28"/>
      <c r="K24" s="28"/>
      <c r="L24" s="29"/>
      <c r="M24" s="29"/>
      <c r="N24" s="29"/>
      <c r="O24" s="28"/>
      <c r="P24" s="28"/>
    </row>
    <row r="25" spans="2:16" ht="17">
      <c r="B25" s="8" t="s">
        <v>46</v>
      </c>
      <c r="C25" s="9" t="s">
        <v>47</v>
      </c>
      <c r="D25">
        <v>0</v>
      </c>
      <c r="E25" s="10">
        <f t="shared" si="0"/>
        <v>0</v>
      </c>
      <c r="I25" s="28"/>
      <c r="J25" s="28"/>
      <c r="K25" s="29"/>
      <c r="L25" s="29"/>
      <c r="M25" s="29"/>
      <c r="N25" s="29"/>
      <c r="O25" s="28"/>
      <c r="P25" s="28"/>
    </row>
    <row r="26" spans="2:16" ht="17">
      <c r="B26" s="8" t="s">
        <v>48</v>
      </c>
      <c r="C26" s="9" t="s">
        <v>49</v>
      </c>
      <c r="D26">
        <v>0</v>
      </c>
      <c r="E26" s="10">
        <f t="shared" si="0"/>
        <v>0</v>
      </c>
      <c r="I26" s="28"/>
      <c r="J26" s="28"/>
      <c r="K26" s="28"/>
      <c r="L26" s="29"/>
      <c r="M26" s="29"/>
      <c r="N26" s="29"/>
      <c r="O26" s="28"/>
      <c r="P26" s="28"/>
    </row>
    <row r="27" spans="2:16" ht="17">
      <c r="B27" s="8" t="s">
        <v>50</v>
      </c>
      <c r="C27" s="9" t="s">
        <v>51</v>
      </c>
      <c r="D27">
        <v>0</v>
      </c>
      <c r="E27" s="10">
        <f t="shared" si="0"/>
        <v>0</v>
      </c>
      <c r="I27" s="28"/>
      <c r="J27" s="28"/>
      <c r="K27" s="28"/>
      <c r="L27" s="29"/>
      <c r="M27" s="29"/>
      <c r="N27" s="29"/>
      <c r="O27" s="28"/>
      <c r="P27" s="28"/>
    </row>
    <row r="28" spans="2:16" ht="17">
      <c r="B28" s="8" t="s">
        <v>52</v>
      </c>
      <c r="C28" s="9" t="s">
        <v>53</v>
      </c>
      <c r="D28">
        <v>0</v>
      </c>
      <c r="E28" s="10">
        <f t="shared" si="0"/>
        <v>0</v>
      </c>
      <c r="I28" s="28"/>
      <c r="J28" s="28"/>
      <c r="K28" s="28"/>
      <c r="L28" s="29"/>
      <c r="M28" s="29"/>
      <c r="N28" s="29"/>
      <c r="O28" s="28"/>
      <c r="P28" s="28"/>
    </row>
    <row r="29" spans="2:16" ht="17">
      <c r="B29" s="8" t="s">
        <v>54</v>
      </c>
      <c r="C29" s="9" t="s">
        <v>55</v>
      </c>
      <c r="D29">
        <v>0</v>
      </c>
      <c r="E29" s="10">
        <f t="shared" si="0"/>
        <v>0</v>
      </c>
      <c r="I29" s="28"/>
      <c r="J29" s="28"/>
      <c r="K29" s="29"/>
      <c r="L29" s="29"/>
      <c r="M29" s="29"/>
      <c r="N29" s="29"/>
      <c r="O29" s="28"/>
      <c r="P29" s="28"/>
    </row>
    <row r="30" spans="2:16" ht="17">
      <c r="B30" s="8" t="s">
        <v>56</v>
      </c>
      <c r="C30" s="9" t="s">
        <v>57</v>
      </c>
      <c r="D30">
        <v>0</v>
      </c>
      <c r="E30" s="10">
        <f t="shared" si="0"/>
        <v>0</v>
      </c>
      <c r="I30" s="28"/>
      <c r="J30" s="28"/>
      <c r="K30" s="29"/>
      <c r="L30" s="29"/>
      <c r="M30" s="29"/>
      <c r="N30" s="29"/>
      <c r="O30" s="28"/>
      <c r="P30" s="28"/>
    </row>
    <row r="31" spans="2:16" ht="17">
      <c r="B31" s="8" t="s">
        <v>58</v>
      </c>
      <c r="C31" s="9" t="s">
        <v>59</v>
      </c>
      <c r="D31">
        <v>0</v>
      </c>
      <c r="E31" s="10">
        <f t="shared" si="0"/>
        <v>0</v>
      </c>
      <c r="I31" s="28"/>
      <c r="J31" s="28"/>
      <c r="K31" s="29"/>
      <c r="L31" s="29"/>
      <c r="M31" s="29"/>
      <c r="N31" s="29"/>
      <c r="O31" s="28"/>
      <c r="P31" s="28"/>
    </row>
    <row r="32" spans="2:16" ht="17">
      <c r="B32" s="8" t="s">
        <v>60</v>
      </c>
      <c r="C32" s="9" t="s">
        <v>61</v>
      </c>
      <c r="D32">
        <v>0</v>
      </c>
      <c r="E32" s="10">
        <f t="shared" si="0"/>
        <v>0</v>
      </c>
      <c r="I32" s="28"/>
      <c r="J32" s="28"/>
      <c r="K32" s="28"/>
      <c r="L32" s="29"/>
      <c r="M32" s="29"/>
      <c r="N32" s="29"/>
      <c r="O32" s="28"/>
      <c r="P32" s="28"/>
    </row>
    <row r="33" spans="2:16" ht="17">
      <c r="B33" s="8" t="s">
        <v>62</v>
      </c>
      <c r="C33" s="9" t="s">
        <v>63</v>
      </c>
      <c r="D33">
        <v>2</v>
      </c>
      <c r="E33" s="10">
        <f t="shared" si="0"/>
        <v>0.16666666666666666</v>
      </c>
      <c r="I33" s="28"/>
      <c r="J33" s="28"/>
      <c r="K33" s="29"/>
      <c r="L33" s="29"/>
      <c r="M33" s="29"/>
      <c r="N33" s="29"/>
      <c r="O33" s="28"/>
      <c r="P33" s="28"/>
    </row>
    <row r="34" spans="2:16" ht="17">
      <c r="B34" s="8" t="s">
        <v>64</v>
      </c>
      <c r="C34" s="9" t="s">
        <v>65</v>
      </c>
      <c r="D34">
        <v>0</v>
      </c>
      <c r="E34" s="10">
        <f t="shared" si="0"/>
        <v>0</v>
      </c>
      <c r="I34" s="28"/>
      <c r="J34" s="28"/>
      <c r="K34" s="28"/>
      <c r="L34" s="29"/>
      <c r="M34" s="28"/>
      <c r="N34" s="29"/>
      <c r="O34" s="28"/>
      <c r="P34" s="28"/>
    </row>
    <row r="35" spans="2:16" ht="17">
      <c r="B35" s="8" t="s">
        <v>66</v>
      </c>
      <c r="C35" s="9" t="s">
        <v>67</v>
      </c>
      <c r="D35">
        <v>1</v>
      </c>
      <c r="E35" s="10">
        <f t="shared" si="0"/>
        <v>8.3333333333333329E-2</v>
      </c>
      <c r="I35" s="28"/>
      <c r="J35" s="28"/>
      <c r="K35" s="29"/>
      <c r="L35" s="29"/>
      <c r="M35" s="29"/>
      <c r="N35" s="29"/>
      <c r="O35" s="28"/>
      <c r="P35" s="28"/>
    </row>
    <row r="36" spans="2:16" ht="17">
      <c r="B36" s="8" t="s">
        <v>68</v>
      </c>
      <c r="C36" s="9" t="s">
        <v>69</v>
      </c>
      <c r="D36">
        <v>0</v>
      </c>
      <c r="E36" s="10">
        <f t="shared" si="0"/>
        <v>0</v>
      </c>
      <c r="I36" s="28"/>
      <c r="J36" s="28"/>
      <c r="K36" s="28"/>
      <c r="L36" s="29"/>
      <c r="M36" s="29"/>
      <c r="N36" s="29"/>
      <c r="O36" s="28"/>
      <c r="P36" s="28"/>
    </row>
    <row r="37" spans="2:16" ht="17">
      <c r="B37" s="8" t="s">
        <v>70</v>
      </c>
      <c r="C37" s="9" t="s">
        <v>71</v>
      </c>
      <c r="D37">
        <v>0</v>
      </c>
      <c r="E37" s="10">
        <f t="shared" si="0"/>
        <v>0</v>
      </c>
      <c r="I37" s="28"/>
      <c r="J37" s="28"/>
      <c r="K37" s="28"/>
      <c r="L37" s="29"/>
      <c r="M37" s="29"/>
      <c r="N37" s="29"/>
      <c r="O37" s="28"/>
      <c r="P37" s="28"/>
    </row>
    <row r="38" spans="2:16" ht="17">
      <c r="B38" s="8" t="s">
        <v>72</v>
      </c>
      <c r="C38" s="9" t="s">
        <v>73</v>
      </c>
      <c r="D38">
        <v>0</v>
      </c>
      <c r="E38" s="10">
        <f t="shared" si="0"/>
        <v>0</v>
      </c>
      <c r="I38" s="28"/>
      <c r="J38" s="28"/>
      <c r="K38" s="29"/>
      <c r="L38" s="29"/>
      <c r="M38" s="29"/>
      <c r="N38" s="29"/>
      <c r="O38" s="28"/>
      <c r="P38" s="28"/>
    </row>
    <row r="39" spans="2:16" ht="17">
      <c r="B39" s="8" t="s">
        <v>74</v>
      </c>
      <c r="C39" s="9" t="s">
        <v>75</v>
      </c>
      <c r="D39">
        <v>0</v>
      </c>
      <c r="E39" s="10">
        <f t="shared" si="0"/>
        <v>0</v>
      </c>
      <c r="I39" s="28"/>
      <c r="J39" s="28"/>
      <c r="K39" s="29"/>
      <c r="L39" s="29"/>
      <c r="M39" s="29"/>
      <c r="N39" s="29"/>
      <c r="O39" s="28"/>
      <c r="P39" s="28"/>
    </row>
    <row r="40" spans="2:16" ht="17">
      <c r="B40" s="8" t="s">
        <v>76</v>
      </c>
      <c r="C40" s="9" t="s">
        <v>77</v>
      </c>
      <c r="D40">
        <v>0</v>
      </c>
      <c r="E40" s="10">
        <f t="shared" si="0"/>
        <v>0</v>
      </c>
      <c r="I40" s="28"/>
      <c r="J40" s="28"/>
      <c r="K40" s="29"/>
      <c r="M40" s="29"/>
      <c r="N40" s="29"/>
      <c r="O40" s="28"/>
      <c r="P40" s="28"/>
    </row>
    <row r="41" spans="2:16" ht="17">
      <c r="B41" s="8" t="s">
        <v>78</v>
      </c>
      <c r="C41" s="9" t="s">
        <v>79</v>
      </c>
      <c r="D41">
        <v>0</v>
      </c>
      <c r="E41" s="10">
        <f t="shared" si="0"/>
        <v>0</v>
      </c>
      <c r="I41" s="28"/>
      <c r="J41" s="28"/>
      <c r="K41" s="29"/>
      <c r="M41" s="29"/>
      <c r="N41" s="29"/>
      <c r="O41" s="28"/>
      <c r="P41" s="28"/>
    </row>
    <row r="42" spans="2:16" ht="17">
      <c r="B42" s="8" t="s">
        <v>80</v>
      </c>
      <c r="C42" s="9" t="s">
        <v>81</v>
      </c>
      <c r="D42">
        <v>0</v>
      </c>
      <c r="E42" s="10">
        <f t="shared" si="0"/>
        <v>0</v>
      </c>
      <c r="I42" s="28"/>
      <c r="J42" s="28"/>
      <c r="K42" s="28"/>
      <c r="P42" s="28"/>
    </row>
    <row r="43" spans="2:16" ht="17">
      <c r="B43" s="8" t="s">
        <v>82</v>
      </c>
      <c r="C43" s="9" t="s">
        <v>83</v>
      </c>
      <c r="D43">
        <v>0</v>
      </c>
      <c r="E43" s="10">
        <f t="shared" si="0"/>
        <v>0</v>
      </c>
      <c r="I43" s="28"/>
      <c r="J43" s="28"/>
      <c r="K43" s="28"/>
      <c r="P43" s="28"/>
    </row>
    <row r="44" spans="2:16" ht="17">
      <c r="B44" s="8" t="s">
        <v>84</v>
      </c>
      <c r="C44" s="9" t="s">
        <v>85</v>
      </c>
      <c r="D44">
        <v>0</v>
      </c>
      <c r="E44" s="10">
        <f t="shared" si="0"/>
        <v>0</v>
      </c>
    </row>
    <row r="45" spans="2:16" ht="17">
      <c r="B45" s="8" t="s">
        <v>86</v>
      </c>
      <c r="C45" s="9" t="s">
        <v>87</v>
      </c>
      <c r="D45">
        <v>0</v>
      </c>
      <c r="E45" s="10">
        <f t="shared" si="0"/>
        <v>0</v>
      </c>
    </row>
    <row r="46" spans="2:16" ht="17">
      <c r="B46" s="8" t="s">
        <v>88</v>
      </c>
      <c r="C46" s="9" t="s">
        <v>89</v>
      </c>
      <c r="D46">
        <v>0</v>
      </c>
      <c r="E46" s="10">
        <f t="shared" si="0"/>
        <v>0</v>
      </c>
    </row>
    <row r="47" spans="2:16" ht="17">
      <c r="B47" s="8" t="s">
        <v>90</v>
      </c>
      <c r="C47" s="9" t="s">
        <v>91</v>
      </c>
      <c r="D47">
        <v>0</v>
      </c>
      <c r="E47" s="10">
        <f t="shared" si="0"/>
        <v>0</v>
      </c>
    </row>
    <row r="48" spans="2:16" ht="17">
      <c r="B48" s="8" t="s">
        <v>92</v>
      </c>
      <c r="C48" s="9" t="s">
        <v>93</v>
      </c>
      <c r="D48">
        <v>0</v>
      </c>
      <c r="E48" s="10">
        <f t="shared" si="0"/>
        <v>0</v>
      </c>
    </row>
    <row r="49" spans="2:6" ht="17">
      <c r="B49" s="8" t="s">
        <v>94</v>
      </c>
      <c r="C49" s="9" t="s">
        <v>95</v>
      </c>
      <c r="D49">
        <v>0</v>
      </c>
      <c r="E49" s="10">
        <f t="shared" si="0"/>
        <v>0</v>
      </c>
    </row>
    <row r="50" spans="2:6" ht="17">
      <c r="B50" s="8" t="s">
        <v>96</v>
      </c>
      <c r="C50" s="9" t="s">
        <v>97</v>
      </c>
      <c r="D50">
        <v>0</v>
      </c>
      <c r="E50" s="10">
        <f t="shared" si="0"/>
        <v>0</v>
      </c>
    </row>
    <row r="51" spans="2:6" ht="17">
      <c r="B51" s="8" t="s">
        <v>98</v>
      </c>
      <c r="C51" s="9" t="s">
        <v>99</v>
      </c>
      <c r="D51">
        <v>0</v>
      </c>
      <c r="E51" s="10">
        <f t="shared" si="0"/>
        <v>0</v>
      </c>
    </row>
    <row r="52" spans="2:6" ht="17">
      <c r="B52" s="8" t="s">
        <v>100</v>
      </c>
      <c r="C52" s="9" t="s">
        <v>101</v>
      </c>
      <c r="D52">
        <v>1</v>
      </c>
      <c r="E52" s="10">
        <f t="shared" si="0"/>
        <v>8.3333333333333329E-2</v>
      </c>
    </row>
    <row r="53" spans="2:6" ht="17">
      <c r="B53" s="11" t="s">
        <v>102</v>
      </c>
      <c r="C53" s="12" t="s">
        <v>103</v>
      </c>
      <c r="D53" s="13">
        <f>SUM(D5:D52)</f>
        <v>12</v>
      </c>
      <c r="E53" s="14">
        <f t="shared" si="0"/>
        <v>1</v>
      </c>
    </row>
    <row r="55" spans="2:6">
      <c r="F55" s="32"/>
    </row>
    <row r="88" spans="12:15">
      <c r="L88" s="13"/>
    </row>
    <row r="90" spans="12:15">
      <c r="M90" s="13"/>
      <c r="N90" s="13"/>
      <c r="O90" s="13"/>
    </row>
  </sheetData>
  <mergeCells count="1">
    <mergeCell ref="G7:M12"/>
  </mergeCells>
  <hyperlinks>
    <hyperlink ref="H5" r:id="rId1" xr:uid="{2694570E-EF77-DE45-A074-FD12FA97849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DC4A-5845-6F44-9CAB-86E6123C4244}">
  <dimension ref="A1:Z53"/>
  <sheetViews>
    <sheetView workbookViewId="0">
      <selection activeCell="H23" sqref="H2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183</v>
      </c>
    </row>
    <row r="4" spans="1:26" ht="17">
      <c r="B4" s="4" t="s">
        <v>2</v>
      </c>
      <c r="C4" s="5" t="s">
        <v>3</v>
      </c>
      <c r="D4" s="6" t="s">
        <v>104</v>
      </c>
      <c r="E4" s="7" t="s">
        <v>5</v>
      </c>
      <c r="G4" s="15" t="s">
        <v>106</v>
      </c>
      <c r="H4" t="s">
        <v>185</v>
      </c>
    </row>
    <row r="5" spans="1:26" ht="17">
      <c r="B5" s="8" t="s">
        <v>6</v>
      </c>
      <c r="C5" s="9" t="s">
        <v>7</v>
      </c>
      <c r="D5">
        <v>185</v>
      </c>
      <c r="E5" s="10">
        <f>D5/D$53</f>
        <v>1.576211979211042E-2</v>
      </c>
      <c r="G5" s="15" t="s">
        <v>105</v>
      </c>
      <c r="H5" s="17" t="s">
        <v>182</v>
      </c>
    </row>
    <row r="6" spans="1:26" ht="17" customHeight="1">
      <c r="B6" s="8" t="s">
        <v>8</v>
      </c>
      <c r="C6" s="9" t="s">
        <v>9</v>
      </c>
      <c r="D6">
        <v>0</v>
      </c>
      <c r="E6" s="10">
        <f t="shared" ref="E6:E53" si="0">D6/D$53</f>
        <v>0</v>
      </c>
      <c r="G6" s="15"/>
    </row>
    <row r="7" spans="1:26" ht="17" customHeight="1">
      <c r="B7" s="8" t="s">
        <v>10</v>
      </c>
      <c r="C7" s="9" t="s">
        <v>11</v>
      </c>
      <c r="D7">
        <v>490</v>
      </c>
      <c r="E7" s="10">
        <f t="shared" si="0"/>
        <v>4.174831728721138E-2</v>
      </c>
      <c r="G7" s="38" t="s">
        <v>184</v>
      </c>
      <c r="H7" s="38"/>
      <c r="I7" s="38"/>
      <c r="J7" s="38"/>
      <c r="K7" s="38"/>
      <c r="L7" s="38"/>
      <c r="M7" s="38"/>
    </row>
    <row r="8" spans="1:26" ht="17" customHeight="1">
      <c r="B8" s="8" t="s">
        <v>12</v>
      </c>
      <c r="C8" s="9" t="s">
        <v>13</v>
      </c>
      <c r="D8">
        <v>0</v>
      </c>
      <c r="E8" s="10">
        <f t="shared" si="0"/>
        <v>0</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0</v>
      </c>
      <c r="E12" s="10">
        <f t="shared" si="0"/>
        <v>0</v>
      </c>
      <c r="G12" s="38"/>
      <c r="H12" s="38"/>
      <c r="I12" s="38"/>
      <c r="J12" s="38"/>
      <c r="K12" s="38"/>
      <c r="L12" s="38"/>
      <c r="M12" s="38"/>
    </row>
    <row r="13" spans="1:26" ht="17" customHeight="1">
      <c r="B13" s="8" t="s">
        <v>22</v>
      </c>
      <c r="C13" s="9" t="s">
        <v>23</v>
      </c>
      <c r="D13">
        <v>765</v>
      </c>
      <c r="E13" s="10">
        <f t="shared" si="0"/>
        <v>6.5178495356564711E-2</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360</v>
      </c>
      <c r="E15" s="10">
        <f t="shared" si="0"/>
        <v>3.0672233108971627E-2</v>
      </c>
      <c r="H15" s="16"/>
      <c r="I15" s="16"/>
      <c r="J15" s="16"/>
      <c r="K15" s="16"/>
      <c r="L15" s="16"/>
    </row>
    <row r="16" spans="1:26" ht="17">
      <c r="B16" s="8" t="s">
        <v>28</v>
      </c>
      <c r="C16" s="9" t="s">
        <v>29</v>
      </c>
      <c r="D16">
        <v>0</v>
      </c>
      <c r="E16" s="10">
        <f t="shared" si="0"/>
        <v>0</v>
      </c>
      <c r="H16" s="16"/>
      <c r="I16" s="16"/>
      <c r="J16" s="16"/>
      <c r="K16" s="16"/>
      <c r="L16" s="16"/>
    </row>
    <row r="17" spans="2:12" ht="17">
      <c r="B17" s="8" t="s">
        <v>30</v>
      </c>
      <c r="C17" s="9" t="s">
        <v>31</v>
      </c>
      <c r="D17">
        <v>1120</v>
      </c>
      <c r="E17" s="10">
        <f t="shared" si="0"/>
        <v>9.5424725227911733E-2</v>
      </c>
    </row>
    <row r="18" spans="2:12" ht="17">
      <c r="B18" s="8" t="s">
        <v>32</v>
      </c>
      <c r="C18" s="9" t="s">
        <v>33</v>
      </c>
      <c r="D18">
        <v>375</v>
      </c>
      <c r="E18" s="10">
        <f t="shared" si="0"/>
        <v>3.1950242821845443E-2</v>
      </c>
    </row>
    <row r="19" spans="2:12" ht="17">
      <c r="B19" s="8" t="s">
        <v>34</v>
      </c>
      <c r="C19" s="9" t="s">
        <v>35</v>
      </c>
      <c r="D19">
        <v>0</v>
      </c>
      <c r="E19" s="10">
        <f t="shared" si="0"/>
        <v>0</v>
      </c>
    </row>
    <row r="20" spans="2:12" ht="17">
      <c r="B20" s="8" t="s">
        <v>36</v>
      </c>
      <c r="C20" s="9" t="s">
        <v>37</v>
      </c>
      <c r="D20">
        <v>3930</v>
      </c>
      <c r="E20" s="10">
        <f t="shared" si="0"/>
        <v>0.33483854477294028</v>
      </c>
    </row>
    <row r="21" spans="2:12" ht="17">
      <c r="B21" s="8" t="s">
        <v>38</v>
      </c>
      <c r="C21" s="9" t="s">
        <v>39</v>
      </c>
      <c r="D21">
        <v>0</v>
      </c>
      <c r="E21" s="10">
        <f t="shared" si="0"/>
        <v>0</v>
      </c>
    </row>
    <row r="22" spans="2:12" ht="17">
      <c r="B22" s="8" t="s">
        <v>40</v>
      </c>
      <c r="C22" s="9" t="s">
        <v>41</v>
      </c>
      <c r="D22">
        <v>0</v>
      </c>
      <c r="E22" s="10">
        <f t="shared" si="0"/>
        <v>0</v>
      </c>
    </row>
    <row r="23" spans="2:12" ht="17">
      <c r="B23" s="8" t="s">
        <v>42</v>
      </c>
      <c r="C23" s="9" t="s">
        <v>43</v>
      </c>
      <c r="D23">
        <v>0</v>
      </c>
      <c r="E23" s="10">
        <f t="shared" si="0"/>
        <v>0</v>
      </c>
    </row>
    <row r="24" spans="2:12" ht="17">
      <c r="B24" s="8" t="s">
        <v>44</v>
      </c>
      <c r="C24" s="9" t="s">
        <v>45</v>
      </c>
      <c r="D24">
        <v>0</v>
      </c>
      <c r="E24" s="10">
        <f t="shared" si="0"/>
        <v>0</v>
      </c>
      <c r="I24" s="18"/>
      <c r="J24" s="19"/>
      <c r="K24" s="19"/>
      <c r="L24" s="19"/>
    </row>
    <row r="25" spans="2:12" ht="17">
      <c r="B25" s="8" t="s">
        <v>46</v>
      </c>
      <c r="C25" s="9" t="s">
        <v>47</v>
      </c>
      <c r="D25">
        <v>0</v>
      </c>
      <c r="E25" s="10">
        <f t="shared" si="0"/>
        <v>0</v>
      </c>
      <c r="J25" s="18"/>
      <c r="K25" s="18"/>
      <c r="L25" s="18"/>
    </row>
    <row r="26" spans="2:12" ht="17">
      <c r="B26" s="8" t="s">
        <v>48</v>
      </c>
      <c r="C26" s="9" t="s">
        <v>49</v>
      </c>
      <c r="D26">
        <v>517</v>
      </c>
      <c r="E26" s="10">
        <f t="shared" si="0"/>
        <v>4.4048734770384255E-2</v>
      </c>
      <c r="J26" s="18"/>
      <c r="K26" s="18"/>
      <c r="L26" s="18"/>
    </row>
    <row r="27" spans="2:12" ht="17">
      <c r="B27" s="8" t="s">
        <v>50</v>
      </c>
      <c r="C27" s="9" t="s">
        <v>51</v>
      </c>
      <c r="D27">
        <v>0</v>
      </c>
      <c r="E27" s="10">
        <f t="shared" si="0"/>
        <v>0</v>
      </c>
      <c r="I27" s="18"/>
      <c r="J27" s="18"/>
      <c r="K27" s="18"/>
      <c r="L27" s="18"/>
    </row>
    <row r="28" spans="2:12" ht="17">
      <c r="B28" s="8" t="s">
        <v>52</v>
      </c>
      <c r="C28" s="9" t="s">
        <v>53</v>
      </c>
      <c r="D28">
        <v>0</v>
      </c>
      <c r="E28" s="10">
        <f t="shared" si="0"/>
        <v>0</v>
      </c>
      <c r="I28" s="18"/>
      <c r="J28" s="18"/>
      <c r="K28" s="18"/>
      <c r="L28" s="18"/>
    </row>
    <row r="29" spans="2:12" ht="17">
      <c r="B29" s="8" t="s">
        <v>54</v>
      </c>
      <c r="C29" s="9" t="s">
        <v>55</v>
      </c>
      <c r="D29">
        <v>265</v>
      </c>
      <c r="E29" s="10">
        <f t="shared" si="0"/>
        <v>2.2578171594104114E-2</v>
      </c>
      <c r="I29" s="18"/>
      <c r="J29" s="18"/>
      <c r="K29" s="18"/>
      <c r="L29" s="18"/>
    </row>
    <row r="30" spans="2:12" ht="17">
      <c r="B30" s="8" t="s">
        <v>56</v>
      </c>
      <c r="C30" s="9" t="s">
        <v>57</v>
      </c>
      <c r="D30">
        <v>0</v>
      </c>
      <c r="E30" s="10">
        <f t="shared" si="0"/>
        <v>0</v>
      </c>
      <c r="I30" s="18"/>
      <c r="J30" s="18"/>
      <c r="K30" s="18"/>
      <c r="L30" s="18"/>
    </row>
    <row r="31" spans="2:12" ht="17">
      <c r="B31" s="8" t="s">
        <v>58</v>
      </c>
      <c r="C31" s="9" t="s">
        <v>59</v>
      </c>
      <c r="D31">
        <v>0</v>
      </c>
      <c r="E31" s="10">
        <f t="shared" si="0"/>
        <v>0</v>
      </c>
      <c r="I31" s="18"/>
      <c r="J31" s="18"/>
      <c r="K31" s="18"/>
      <c r="L31" s="18"/>
    </row>
    <row r="32" spans="2:12" ht="17">
      <c r="B32" s="8" t="s">
        <v>60</v>
      </c>
      <c r="C32" s="9" t="s">
        <v>61</v>
      </c>
      <c r="D32">
        <v>0</v>
      </c>
      <c r="E32" s="10">
        <f t="shared" si="0"/>
        <v>0</v>
      </c>
      <c r="I32" s="18"/>
      <c r="J32" s="18"/>
      <c r="K32" s="18"/>
      <c r="L32" s="18"/>
    </row>
    <row r="33" spans="2:12" ht="17">
      <c r="B33" s="8" t="s">
        <v>62</v>
      </c>
      <c r="C33" s="9" t="s">
        <v>63</v>
      </c>
      <c r="D33">
        <v>0</v>
      </c>
      <c r="E33" s="10">
        <f t="shared" si="0"/>
        <v>0</v>
      </c>
      <c r="I33" s="18"/>
      <c r="J33" s="18"/>
      <c r="K33" s="18"/>
      <c r="L33" s="18"/>
    </row>
    <row r="34" spans="2:12" ht="17">
      <c r="B34" s="8" t="s">
        <v>64</v>
      </c>
      <c r="C34" s="9" t="s">
        <v>65</v>
      </c>
      <c r="D34">
        <v>0</v>
      </c>
      <c r="E34" s="10">
        <f t="shared" si="0"/>
        <v>0</v>
      </c>
      <c r="I34" s="18"/>
      <c r="J34" s="18"/>
      <c r="K34" s="18"/>
      <c r="L34" s="18"/>
    </row>
    <row r="35" spans="2:12" ht="17">
      <c r="B35" s="8" t="s">
        <v>66</v>
      </c>
      <c r="C35" s="9" t="s">
        <v>67</v>
      </c>
      <c r="D35">
        <v>0</v>
      </c>
      <c r="E35" s="10">
        <f t="shared" si="0"/>
        <v>0</v>
      </c>
      <c r="I35" s="18"/>
      <c r="J35" s="18"/>
      <c r="K35" s="18"/>
      <c r="L35" s="18"/>
    </row>
    <row r="36" spans="2:12" ht="17">
      <c r="B36" s="8" t="s">
        <v>68</v>
      </c>
      <c r="C36" s="9" t="s">
        <v>69</v>
      </c>
      <c r="D36">
        <v>355</v>
      </c>
      <c r="E36" s="10">
        <f t="shared" si="0"/>
        <v>3.0246229871347022E-2</v>
      </c>
      <c r="I36" s="18"/>
      <c r="J36" s="18"/>
      <c r="K36" s="18"/>
      <c r="L36" s="18"/>
    </row>
    <row r="37" spans="2:12" ht="17">
      <c r="B37" s="8" t="s">
        <v>70</v>
      </c>
      <c r="C37" s="9" t="s">
        <v>71</v>
      </c>
      <c r="D37">
        <v>725</v>
      </c>
      <c r="E37" s="10">
        <f t="shared" si="0"/>
        <v>6.1770469455567863E-2</v>
      </c>
      <c r="I37" s="18"/>
      <c r="J37" s="18"/>
      <c r="K37" s="18"/>
      <c r="L37" s="18"/>
    </row>
    <row r="38" spans="2:12" ht="17">
      <c r="B38" s="8" t="s">
        <v>72</v>
      </c>
      <c r="C38" s="9" t="s">
        <v>73</v>
      </c>
      <c r="D38">
        <v>1100</v>
      </c>
      <c r="E38" s="10">
        <f t="shared" si="0"/>
        <v>9.3720712277413312E-2</v>
      </c>
      <c r="I38" s="18"/>
      <c r="J38" s="18"/>
      <c r="K38" s="18"/>
      <c r="L38" s="18"/>
    </row>
    <row r="39" spans="2:12" ht="17">
      <c r="B39" s="8" t="s">
        <v>74</v>
      </c>
      <c r="C39" s="9" t="s">
        <v>75</v>
      </c>
      <c r="D39">
        <v>100</v>
      </c>
      <c r="E39" s="10">
        <f t="shared" si="0"/>
        <v>8.5200647524921198E-3</v>
      </c>
      <c r="I39" s="18"/>
      <c r="J39" s="18"/>
      <c r="K39" s="18"/>
      <c r="L39" s="18"/>
    </row>
    <row r="40" spans="2:12" ht="17">
      <c r="B40" s="8" t="s">
        <v>76</v>
      </c>
      <c r="C40" s="9" t="s">
        <v>77</v>
      </c>
      <c r="D40">
        <v>0</v>
      </c>
      <c r="E40" s="10">
        <f t="shared" si="0"/>
        <v>0</v>
      </c>
      <c r="I40" s="18"/>
      <c r="J40" s="18"/>
      <c r="K40" s="18"/>
      <c r="L40" s="18"/>
    </row>
    <row r="41" spans="2:12" ht="17">
      <c r="B41" s="8" t="s">
        <v>78</v>
      </c>
      <c r="C41" s="9" t="s">
        <v>79</v>
      </c>
      <c r="D41">
        <v>0</v>
      </c>
      <c r="E41" s="10">
        <f t="shared" si="0"/>
        <v>0</v>
      </c>
      <c r="I41" s="18"/>
      <c r="J41" s="18"/>
      <c r="K41" s="18"/>
      <c r="L41" s="18"/>
    </row>
    <row r="42" spans="2:12" ht="17">
      <c r="B42" s="8" t="s">
        <v>80</v>
      </c>
      <c r="C42" s="9" t="s">
        <v>81</v>
      </c>
      <c r="D42">
        <v>0</v>
      </c>
      <c r="E42" s="10">
        <f t="shared" si="0"/>
        <v>0</v>
      </c>
      <c r="I42" s="18"/>
      <c r="J42" s="18"/>
      <c r="K42" s="18"/>
      <c r="L42" s="18"/>
    </row>
    <row r="43" spans="2:12" ht="17">
      <c r="B43" s="8" t="s">
        <v>82</v>
      </c>
      <c r="C43" s="9" t="s">
        <v>83</v>
      </c>
      <c r="D43">
        <v>0</v>
      </c>
      <c r="E43" s="10">
        <f t="shared" si="0"/>
        <v>0</v>
      </c>
      <c r="I43" s="18"/>
      <c r="J43" s="18"/>
      <c r="K43" s="18"/>
      <c r="L43" s="18"/>
    </row>
    <row r="44" spans="2:12" ht="17">
      <c r="B44" s="8" t="s">
        <v>84</v>
      </c>
      <c r="C44" s="9" t="s">
        <v>85</v>
      </c>
      <c r="D44">
        <v>62</v>
      </c>
      <c r="E44" s="10">
        <f t="shared" si="0"/>
        <v>5.2824401465451139E-3</v>
      </c>
      <c r="I44" s="18"/>
      <c r="J44" s="18"/>
      <c r="K44" s="18"/>
      <c r="L44" s="18"/>
    </row>
    <row r="45" spans="2:12" ht="17">
      <c r="B45" s="8" t="s">
        <v>86</v>
      </c>
      <c r="C45" s="9" t="s">
        <v>87</v>
      </c>
      <c r="D45">
        <v>490</v>
      </c>
      <c r="E45" s="10">
        <f t="shared" si="0"/>
        <v>4.174831728721138E-2</v>
      </c>
      <c r="I45" s="18"/>
      <c r="J45" s="18"/>
      <c r="K45" s="18"/>
      <c r="L45" s="18"/>
    </row>
    <row r="46" spans="2:12" ht="17">
      <c r="B46" s="8" t="s">
        <v>88</v>
      </c>
      <c r="C46" s="9" t="s">
        <v>89</v>
      </c>
      <c r="D46">
        <v>0</v>
      </c>
      <c r="E46" s="10">
        <f t="shared" si="0"/>
        <v>0</v>
      </c>
      <c r="I46" s="18"/>
      <c r="J46" s="18"/>
      <c r="K46" s="18"/>
      <c r="L46" s="18"/>
    </row>
    <row r="47" spans="2:12" ht="17">
      <c r="B47" s="8" t="s">
        <v>90</v>
      </c>
      <c r="C47" s="9" t="s">
        <v>91</v>
      </c>
      <c r="D47">
        <v>0</v>
      </c>
      <c r="E47" s="10">
        <f t="shared" si="0"/>
        <v>0</v>
      </c>
      <c r="I47" s="18"/>
      <c r="J47" s="18"/>
      <c r="K47" s="18"/>
      <c r="L47" s="18"/>
    </row>
    <row r="48" spans="2:12" ht="17">
      <c r="B48" s="8" t="s">
        <v>92</v>
      </c>
      <c r="C48" s="9" t="s">
        <v>93</v>
      </c>
      <c r="D48">
        <v>540</v>
      </c>
      <c r="E48" s="10">
        <f t="shared" si="0"/>
        <v>4.6008349663457446E-2</v>
      </c>
      <c r="I48" s="18"/>
      <c r="J48" s="18"/>
      <c r="K48" s="18"/>
      <c r="L48" s="18"/>
    </row>
    <row r="49" spans="2:12" ht="17">
      <c r="B49" s="8" t="s">
        <v>94</v>
      </c>
      <c r="C49" s="9" t="s">
        <v>95</v>
      </c>
      <c r="D49">
        <v>180</v>
      </c>
      <c r="E49" s="10">
        <f t="shared" si="0"/>
        <v>1.5336116554485813E-2</v>
      </c>
      <c r="I49" s="18"/>
      <c r="J49" s="18"/>
      <c r="K49" s="18"/>
      <c r="L49" s="18"/>
    </row>
    <row r="50" spans="2:12" ht="17">
      <c r="B50" s="8" t="s">
        <v>96</v>
      </c>
      <c r="C50" s="9" t="s">
        <v>97</v>
      </c>
      <c r="D50">
        <v>0</v>
      </c>
      <c r="E50" s="10">
        <f t="shared" si="0"/>
        <v>0</v>
      </c>
      <c r="I50" s="18"/>
      <c r="J50" s="18"/>
      <c r="L50" s="18"/>
    </row>
    <row r="51" spans="2:12" ht="17">
      <c r="B51" s="8" t="s">
        <v>98</v>
      </c>
      <c r="C51" s="9" t="s">
        <v>99</v>
      </c>
      <c r="D51">
        <v>0</v>
      </c>
      <c r="E51" s="10">
        <f t="shared" si="0"/>
        <v>0</v>
      </c>
      <c r="I51" s="18"/>
      <c r="J51" s="18"/>
      <c r="K51" s="18"/>
      <c r="L51" s="18"/>
    </row>
    <row r="52" spans="2:12" ht="17">
      <c r="B52" s="8" t="s">
        <v>100</v>
      </c>
      <c r="C52" s="9" t="s">
        <v>101</v>
      </c>
      <c r="D52">
        <v>178</v>
      </c>
      <c r="E52" s="10">
        <f t="shared" si="0"/>
        <v>1.5165715259435972E-2</v>
      </c>
      <c r="I52" s="18"/>
      <c r="J52" s="18"/>
      <c r="K52" s="18"/>
      <c r="L52" s="18"/>
    </row>
    <row r="53" spans="2:12" ht="17">
      <c r="B53" s="11" t="s">
        <v>102</v>
      </c>
      <c r="C53" s="12" t="s">
        <v>103</v>
      </c>
      <c r="D53" s="13">
        <v>11737</v>
      </c>
      <c r="E53" s="14">
        <f t="shared" si="0"/>
        <v>1</v>
      </c>
      <c r="I53" s="18"/>
    </row>
  </sheetData>
  <mergeCells count="1">
    <mergeCell ref="G7:M12"/>
  </mergeCells>
  <hyperlinks>
    <hyperlink ref="H5" r:id="rId1" xr:uid="{980BFDB8-F498-3F4C-AD5D-5B83CC5ABAB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894E-7AD7-F84A-886D-F75F576197C3}">
  <dimension ref="A1:Z70"/>
  <sheetViews>
    <sheetView workbookViewId="0">
      <selection activeCell="D18" sqref="D18"/>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119</v>
      </c>
    </row>
    <row r="4" spans="1:26" ht="17">
      <c r="B4" s="4" t="s">
        <v>2</v>
      </c>
      <c r="C4" s="5" t="s">
        <v>3</v>
      </c>
      <c r="D4" s="6" t="s">
        <v>104</v>
      </c>
      <c r="E4" s="7" t="s">
        <v>5</v>
      </c>
      <c r="G4" s="15" t="s">
        <v>106</v>
      </c>
      <c r="H4" t="s">
        <v>4</v>
      </c>
    </row>
    <row r="5" spans="1:26" ht="17">
      <c r="B5" s="8" t="s">
        <v>6</v>
      </c>
      <c r="C5" s="9" t="s">
        <v>7</v>
      </c>
      <c r="D5">
        <v>11317</v>
      </c>
      <c r="E5" s="10">
        <f>D5/D$53</f>
        <v>1.2681461892302261E-2</v>
      </c>
      <c r="G5" s="15" t="s">
        <v>105</v>
      </c>
      <c r="H5" s="17" t="s">
        <v>111</v>
      </c>
    </row>
    <row r="6" spans="1:26" ht="17" customHeight="1">
      <c r="B6" s="8" t="s">
        <v>8</v>
      </c>
      <c r="C6" s="9" t="s">
        <v>9</v>
      </c>
      <c r="D6">
        <v>9076</v>
      </c>
      <c r="E6" s="10">
        <f t="shared" ref="E6:E53" si="0">D6/D$53</f>
        <v>1.0170270224841861E-2</v>
      </c>
      <c r="G6" s="15"/>
    </row>
    <row r="7" spans="1:26" ht="17" customHeight="1">
      <c r="B7" s="8" t="s">
        <v>10</v>
      </c>
      <c r="C7" s="9" t="s">
        <v>11</v>
      </c>
      <c r="D7">
        <v>5199</v>
      </c>
      <c r="E7" s="10">
        <f t="shared" si="0"/>
        <v>5.8258302004134893E-3</v>
      </c>
      <c r="G7" s="38" t="s">
        <v>120</v>
      </c>
      <c r="H7" s="38"/>
      <c r="I7" s="38"/>
      <c r="J7" s="38"/>
      <c r="K7" s="38"/>
      <c r="L7" s="38"/>
      <c r="M7" s="38"/>
    </row>
    <row r="8" spans="1:26" ht="17" customHeight="1">
      <c r="B8" s="8" t="s">
        <v>12</v>
      </c>
      <c r="C8" s="9" t="s">
        <v>13</v>
      </c>
      <c r="D8">
        <v>75500</v>
      </c>
      <c r="E8" s="10">
        <f t="shared" si="0"/>
        <v>8.4602842879634252E-2</v>
      </c>
      <c r="G8" s="38"/>
      <c r="H8" s="38"/>
      <c r="I8" s="38"/>
      <c r="J8" s="38"/>
      <c r="K8" s="38"/>
      <c r="L8" s="38"/>
      <c r="M8" s="38"/>
    </row>
    <row r="9" spans="1:26" ht="17" customHeight="1">
      <c r="B9" s="8" t="s">
        <v>14</v>
      </c>
      <c r="C9" s="9" t="s">
        <v>15</v>
      </c>
      <c r="D9">
        <v>8342</v>
      </c>
      <c r="E9" s="10">
        <f t="shared" si="0"/>
        <v>9.3477737126080648E-3</v>
      </c>
      <c r="G9" s="38"/>
      <c r="H9" s="38"/>
      <c r="I9" s="38"/>
      <c r="J9" s="38"/>
      <c r="K9" s="38"/>
      <c r="L9" s="38"/>
      <c r="M9" s="38"/>
    </row>
    <row r="10" spans="1:26" ht="17" customHeight="1">
      <c r="B10" s="8" t="s">
        <v>16</v>
      </c>
      <c r="C10" s="9" t="s">
        <v>17</v>
      </c>
      <c r="D10">
        <v>7658</v>
      </c>
      <c r="E10" s="10">
        <f t="shared" si="0"/>
        <v>8.5813055731422394E-3</v>
      </c>
      <c r="G10" s="38"/>
      <c r="H10" s="38"/>
      <c r="I10" s="38"/>
      <c r="J10" s="38"/>
      <c r="K10" s="38"/>
      <c r="L10" s="38"/>
      <c r="M10" s="38"/>
    </row>
    <row r="11" spans="1:26" ht="17" customHeight="1">
      <c r="B11" s="8" t="s">
        <v>18</v>
      </c>
      <c r="C11" s="9" t="s">
        <v>19</v>
      </c>
      <c r="D11">
        <v>3078</v>
      </c>
      <c r="E11" s="10">
        <f t="shared" si="0"/>
        <v>3.4491066275962145E-3</v>
      </c>
      <c r="G11" s="38"/>
      <c r="H11" s="38"/>
      <c r="I11" s="38"/>
      <c r="J11" s="38"/>
      <c r="K11" s="38"/>
      <c r="L11" s="38"/>
      <c r="M11" s="38"/>
    </row>
    <row r="12" spans="1:26" ht="17" customHeight="1">
      <c r="B12" s="8" t="s">
        <v>20</v>
      </c>
      <c r="C12" s="9" t="s">
        <v>21</v>
      </c>
      <c r="D12">
        <v>29385</v>
      </c>
      <c r="E12" s="10">
        <f t="shared" si="0"/>
        <v>3.292787467573579E-2</v>
      </c>
      <c r="G12" s="38"/>
      <c r="H12" s="38"/>
      <c r="I12" s="38"/>
      <c r="J12" s="38"/>
      <c r="K12" s="38"/>
      <c r="L12" s="38"/>
      <c r="M12" s="38"/>
    </row>
    <row r="13" spans="1:26" ht="17" customHeight="1">
      <c r="B13" s="8" t="s">
        <v>22</v>
      </c>
      <c r="C13" s="9" t="s">
        <v>23</v>
      </c>
      <c r="D13">
        <v>23372</v>
      </c>
      <c r="E13" s="10">
        <f t="shared" si="0"/>
        <v>2.6189902566659755E-2</v>
      </c>
      <c r="H13" s="16"/>
      <c r="I13" s="16"/>
      <c r="J13" s="16"/>
      <c r="K13" s="16"/>
      <c r="L13" s="16"/>
    </row>
    <row r="14" spans="1:26" ht="17">
      <c r="B14" s="8" t="s">
        <v>24</v>
      </c>
      <c r="C14" s="9" t="s">
        <v>25</v>
      </c>
      <c r="D14">
        <v>3089</v>
      </c>
      <c r="E14" s="10">
        <f t="shared" si="0"/>
        <v>3.4614328696051682E-3</v>
      </c>
      <c r="H14" s="16"/>
      <c r="I14" s="16"/>
      <c r="J14" s="16"/>
      <c r="K14" s="16"/>
      <c r="L14" s="16"/>
    </row>
    <row r="15" spans="1:26" ht="17">
      <c r="B15" s="8" t="s">
        <v>26</v>
      </c>
      <c r="C15" s="9" t="s">
        <v>27</v>
      </c>
      <c r="D15">
        <v>48745</v>
      </c>
      <c r="E15" s="10">
        <f t="shared" si="0"/>
        <v>5.4622060611493661E-2</v>
      </c>
      <c r="H15" s="16"/>
      <c r="I15" s="16"/>
      <c r="J15" s="16"/>
      <c r="K15" s="16"/>
      <c r="L15" s="16"/>
    </row>
    <row r="16" spans="1:26" ht="17">
      <c r="B16" s="8" t="s">
        <v>28</v>
      </c>
      <c r="C16" s="9" t="s">
        <v>29</v>
      </c>
      <c r="D16">
        <v>38177</v>
      </c>
      <c r="E16" s="10">
        <f t="shared" si="0"/>
        <v>4.2779903743255583E-2</v>
      </c>
      <c r="H16" s="16"/>
      <c r="I16" s="16"/>
      <c r="J16" s="16"/>
      <c r="K16" s="16"/>
      <c r="L16" s="16"/>
    </row>
    <row r="17" spans="2:12" ht="17">
      <c r="B17" s="8" t="s">
        <v>30</v>
      </c>
      <c r="C17" s="9" t="s">
        <v>31</v>
      </c>
      <c r="D17">
        <v>12447</v>
      </c>
      <c r="E17" s="10">
        <f t="shared" si="0"/>
        <v>1.3947703116858378E-2</v>
      </c>
    </row>
    <row r="18" spans="2:12" ht="17">
      <c r="B18" s="8" t="s">
        <v>32</v>
      </c>
      <c r="C18" s="9" t="s">
        <v>33</v>
      </c>
      <c r="D18">
        <v>9232</v>
      </c>
      <c r="E18" s="10">
        <f t="shared" si="0"/>
        <v>1.0345078747877925E-2</v>
      </c>
      <c r="G18" s="20"/>
      <c r="H18" s="18"/>
      <c r="J18" s="19"/>
      <c r="K18" s="19"/>
      <c r="L18" s="19"/>
    </row>
    <row r="19" spans="2:12" ht="17">
      <c r="B19" s="8" t="s">
        <v>34</v>
      </c>
      <c r="C19" s="9" t="s">
        <v>35</v>
      </c>
      <c r="D19">
        <v>12533</v>
      </c>
      <c r="E19" s="10">
        <f t="shared" si="0"/>
        <v>1.4044071918019286E-2</v>
      </c>
      <c r="H19" s="18"/>
      <c r="J19" s="18"/>
      <c r="K19" s="18"/>
      <c r="L19" s="18"/>
    </row>
    <row r="20" spans="2:12" ht="17">
      <c r="B20" s="8" t="s">
        <v>36</v>
      </c>
      <c r="C20" s="9" t="s">
        <v>37</v>
      </c>
      <c r="D20">
        <v>28918</v>
      </c>
      <c r="E20" s="10">
        <f t="shared" si="0"/>
        <v>3.2404569674082957E-2</v>
      </c>
      <c r="J20" s="18"/>
      <c r="L20" s="18"/>
    </row>
    <row r="21" spans="2:12" ht="17">
      <c r="B21" s="8" t="s">
        <v>38</v>
      </c>
      <c r="C21" s="9" t="s">
        <v>39</v>
      </c>
      <c r="D21">
        <v>3496</v>
      </c>
      <c r="E21" s="10">
        <f t="shared" si="0"/>
        <v>3.9175038239364418E-3</v>
      </c>
      <c r="H21" s="18"/>
      <c r="J21" s="18"/>
      <c r="K21" s="18"/>
      <c r="L21" s="18"/>
    </row>
    <row r="22" spans="2:12" ht="17">
      <c r="B22" s="8" t="s">
        <v>40</v>
      </c>
      <c r="C22" s="9" t="s">
        <v>41</v>
      </c>
      <c r="D22">
        <v>12613</v>
      </c>
      <c r="E22" s="10">
        <f t="shared" si="0"/>
        <v>1.4133717314448036E-2</v>
      </c>
      <c r="H22" s="18"/>
      <c r="J22" s="18"/>
      <c r="K22" s="18"/>
      <c r="L22" s="18"/>
    </row>
    <row r="23" spans="2:12" ht="17">
      <c r="B23" s="8" t="s">
        <v>42</v>
      </c>
      <c r="C23" s="9" t="s">
        <v>43</v>
      </c>
      <c r="D23">
        <v>15844</v>
      </c>
      <c r="E23" s="10">
        <f t="shared" si="0"/>
        <v>1.7754270762714238E-2</v>
      </c>
      <c r="H23" s="18"/>
      <c r="J23" s="18"/>
      <c r="K23" s="18"/>
      <c r="L23" s="18"/>
    </row>
    <row r="24" spans="2:12" ht="17">
      <c r="B24" s="8" t="s">
        <v>44</v>
      </c>
      <c r="C24" s="9" t="s">
        <v>45</v>
      </c>
      <c r="D24">
        <v>28876</v>
      </c>
      <c r="E24" s="10">
        <f t="shared" si="0"/>
        <v>3.2357505840957861E-2</v>
      </c>
      <c r="H24" s="18"/>
      <c r="J24" s="18"/>
      <c r="K24" s="18"/>
      <c r="L24" s="18"/>
    </row>
    <row r="25" spans="2:12" ht="17">
      <c r="B25" s="8" t="s">
        <v>46</v>
      </c>
      <c r="C25" s="9" t="s">
        <v>47</v>
      </c>
      <c r="D25">
        <v>13756</v>
      </c>
      <c r="E25" s="10">
        <f t="shared" si="0"/>
        <v>1.5414525915923823E-2</v>
      </c>
      <c r="H25" s="18"/>
      <c r="J25" s="18"/>
      <c r="K25" s="18"/>
      <c r="L25" s="18"/>
    </row>
    <row r="26" spans="2:12" ht="17">
      <c r="B26" s="8" t="s">
        <v>48</v>
      </c>
      <c r="C26" s="9" t="s">
        <v>49</v>
      </c>
      <c r="D26">
        <v>6138</v>
      </c>
      <c r="E26" s="10">
        <f t="shared" si="0"/>
        <v>6.8780430409959604E-3</v>
      </c>
      <c r="H26" s="18"/>
      <c r="J26" s="18"/>
      <c r="K26" s="18"/>
      <c r="L26" s="18"/>
    </row>
    <row r="27" spans="2:12" ht="17">
      <c r="B27" s="8" t="s">
        <v>50</v>
      </c>
      <c r="C27" s="9" t="s">
        <v>51</v>
      </c>
      <c r="D27">
        <v>22972</v>
      </c>
      <c r="E27" s="10">
        <f t="shared" si="0"/>
        <v>2.5741675584516E-2</v>
      </c>
      <c r="J27" s="18"/>
      <c r="K27" s="18"/>
      <c r="L27" s="18"/>
    </row>
    <row r="28" spans="2:12" ht="17">
      <c r="B28" s="8" t="s">
        <v>52</v>
      </c>
      <c r="C28" s="9" t="s">
        <v>53</v>
      </c>
      <c r="D28">
        <v>1040</v>
      </c>
      <c r="E28" s="10">
        <f t="shared" si="0"/>
        <v>1.1653901535737697E-3</v>
      </c>
      <c r="H28" s="18"/>
      <c r="J28" s="18"/>
      <c r="K28" s="18"/>
      <c r="L28" s="18"/>
    </row>
    <row r="29" spans="2:12" ht="17">
      <c r="B29" s="8" t="s">
        <v>54</v>
      </c>
      <c r="C29" s="9" t="s">
        <v>55</v>
      </c>
      <c r="D29">
        <v>6234</v>
      </c>
      <c r="E29" s="10">
        <f t="shared" si="0"/>
        <v>6.9856175167104621E-3</v>
      </c>
      <c r="H29" s="18"/>
      <c r="J29" s="18"/>
      <c r="K29" s="18"/>
      <c r="L29" s="18"/>
    </row>
    <row r="30" spans="2:12" ht="17">
      <c r="B30" s="8" t="s">
        <v>56</v>
      </c>
      <c r="C30" s="9" t="s">
        <v>57</v>
      </c>
      <c r="D30">
        <v>2840</v>
      </c>
      <c r="E30" s="10">
        <f t="shared" si="0"/>
        <v>3.1824115732206788E-3</v>
      </c>
      <c r="J30" s="18"/>
      <c r="K30" s="18"/>
      <c r="L30" s="18"/>
    </row>
    <row r="31" spans="2:12" ht="17">
      <c r="B31" s="8" t="s">
        <v>58</v>
      </c>
      <c r="C31" s="9" t="s">
        <v>59</v>
      </c>
      <c r="D31">
        <v>3013</v>
      </c>
      <c r="E31" s="10">
        <f t="shared" si="0"/>
        <v>3.3762697429978541E-3</v>
      </c>
      <c r="H31" s="18"/>
      <c r="J31" s="18"/>
      <c r="K31" s="18"/>
      <c r="L31" s="18"/>
    </row>
    <row r="32" spans="2:12" ht="17">
      <c r="B32" s="8" t="s">
        <v>60</v>
      </c>
      <c r="C32" s="9" t="s">
        <v>61</v>
      </c>
      <c r="D32">
        <v>47966</v>
      </c>
      <c r="E32" s="10">
        <f t="shared" si="0"/>
        <v>5.3749138563768693E-2</v>
      </c>
      <c r="H32" s="18"/>
      <c r="J32" s="18"/>
      <c r="K32" s="18"/>
      <c r="L32" s="18"/>
    </row>
    <row r="33" spans="2:12" ht="17">
      <c r="B33" s="8" t="s">
        <v>62</v>
      </c>
      <c r="C33" s="9" t="s">
        <v>63</v>
      </c>
      <c r="D33">
        <v>1709</v>
      </c>
      <c r="E33" s="10">
        <f t="shared" si="0"/>
        <v>1.9150497812092044E-3</v>
      </c>
      <c r="H33" s="18"/>
      <c r="J33" s="18"/>
      <c r="K33" s="18"/>
      <c r="L33" s="18"/>
    </row>
    <row r="34" spans="2:12" ht="17">
      <c r="B34" s="8" t="s">
        <v>64</v>
      </c>
      <c r="C34" s="9" t="s">
        <v>65</v>
      </c>
      <c r="D34">
        <v>40550</v>
      </c>
      <c r="E34" s="10">
        <f t="shared" si="0"/>
        <v>4.5439010314823426E-2</v>
      </c>
      <c r="H34" s="18"/>
      <c r="J34" s="18"/>
      <c r="K34" s="18"/>
      <c r="L34" s="18"/>
    </row>
    <row r="35" spans="2:12" ht="17">
      <c r="B35" s="8" t="s">
        <v>66</v>
      </c>
      <c r="C35" s="9" t="s">
        <v>67</v>
      </c>
      <c r="D35">
        <v>47758</v>
      </c>
      <c r="E35" s="10">
        <f t="shared" si="0"/>
        <v>5.3516060533053939E-2</v>
      </c>
      <c r="H35" s="18"/>
      <c r="J35" s="18"/>
      <c r="K35" s="18"/>
      <c r="L35" s="18"/>
    </row>
    <row r="36" spans="2:12" ht="17">
      <c r="B36" s="8" t="s">
        <v>68</v>
      </c>
      <c r="C36" s="9" t="s">
        <v>69</v>
      </c>
      <c r="D36">
        <v>1235</v>
      </c>
      <c r="E36" s="10">
        <f t="shared" si="0"/>
        <v>1.3839008073688517E-3</v>
      </c>
      <c r="H36" s="18"/>
      <c r="J36" s="18"/>
      <c r="K36" s="18"/>
      <c r="L36" s="18"/>
    </row>
    <row r="37" spans="2:12" ht="17">
      <c r="B37" s="8" t="s">
        <v>70</v>
      </c>
      <c r="C37" s="9" t="s">
        <v>71</v>
      </c>
      <c r="D37">
        <v>49325</v>
      </c>
      <c r="E37" s="10">
        <f t="shared" si="0"/>
        <v>5.5271989735602108E-2</v>
      </c>
      <c r="H37" s="18"/>
      <c r="J37" s="18"/>
      <c r="K37" s="18"/>
      <c r="L37" s="18"/>
    </row>
    <row r="38" spans="2:12" ht="17">
      <c r="B38" s="8" t="s">
        <v>72</v>
      </c>
      <c r="C38" s="9" t="s">
        <v>73</v>
      </c>
      <c r="D38">
        <v>4090</v>
      </c>
      <c r="E38" s="10">
        <f t="shared" si="0"/>
        <v>4.5831208924199214E-3</v>
      </c>
      <c r="H38" s="18"/>
      <c r="J38" s="18"/>
      <c r="K38" s="18"/>
      <c r="L38" s="18"/>
    </row>
    <row r="39" spans="2:12" ht="17">
      <c r="B39" s="8" t="s">
        <v>74</v>
      </c>
      <c r="C39" s="9" t="s">
        <v>75</v>
      </c>
      <c r="D39">
        <v>4812</v>
      </c>
      <c r="E39" s="10">
        <f t="shared" si="0"/>
        <v>5.3921705951894038E-3</v>
      </c>
      <c r="H39" s="18"/>
      <c r="J39" s="18"/>
      <c r="K39" s="18"/>
      <c r="L39" s="18"/>
    </row>
    <row r="40" spans="2:12" ht="17">
      <c r="B40" s="8" t="s">
        <v>76</v>
      </c>
      <c r="C40" s="9" t="s">
        <v>77</v>
      </c>
      <c r="D40">
        <v>42940</v>
      </c>
      <c r="E40" s="10">
        <f t="shared" si="0"/>
        <v>4.8117166533132381E-2</v>
      </c>
      <c r="H40" s="18"/>
      <c r="J40" s="18"/>
      <c r="K40" s="18"/>
      <c r="L40" s="18"/>
    </row>
    <row r="41" spans="2:12" ht="17">
      <c r="B41" s="8" t="s">
        <v>78</v>
      </c>
      <c r="C41" s="9" t="s">
        <v>79</v>
      </c>
      <c r="D41">
        <v>2554</v>
      </c>
      <c r="E41" s="10">
        <f t="shared" si="0"/>
        <v>2.8619292809878923E-3</v>
      </c>
      <c r="H41" s="18"/>
      <c r="J41" s="18"/>
      <c r="K41" s="18"/>
      <c r="L41" s="18"/>
    </row>
    <row r="42" spans="2:12" ht="17">
      <c r="B42" s="8" t="s">
        <v>80</v>
      </c>
      <c r="C42" s="9" t="s">
        <v>81</v>
      </c>
      <c r="D42">
        <v>22681</v>
      </c>
      <c r="E42" s="10">
        <f t="shared" si="0"/>
        <v>2.5415590455006416E-2</v>
      </c>
      <c r="H42" s="18"/>
      <c r="J42" s="18"/>
      <c r="K42" s="18"/>
      <c r="L42" s="18"/>
    </row>
    <row r="43" spans="2:12" ht="17">
      <c r="B43" s="8" t="s">
        <v>82</v>
      </c>
      <c r="C43" s="9" t="s">
        <v>83</v>
      </c>
      <c r="D43">
        <v>1294</v>
      </c>
      <c r="E43" s="10">
        <f t="shared" si="0"/>
        <v>1.4500142872350557E-3</v>
      </c>
      <c r="H43" s="18"/>
      <c r="J43" s="18"/>
      <c r="K43" s="18"/>
      <c r="L43" s="18"/>
    </row>
    <row r="44" spans="2:12" ht="17">
      <c r="B44" s="8" t="s">
        <v>84</v>
      </c>
      <c r="C44" s="9" t="s">
        <v>85</v>
      </c>
      <c r="D44">
        <v>27200</v>
      </c>
      <c r="E44" s="10">
        <f t="shared" si="0"/>
        <v>3.0479434785775517E-2</v>
      </c>
      <c r="H44" s="18"/>
      <c r="J44" s="18"/>
      <c r="K44" s="18"/>
      <c r="L44" s="18"/>
    </row>
    <row r="45" spans="2:12" ht="17">
      <c r="B45" s="8" t="s">
        <v>86</v>
      </c>
      <c r="C45" s="9" t="s">
        <v>87</v>
      </c>
      <c r="D45">
        <v>90312</v>
      </c>
      <c r="E45" s="10">
        <f t="shared" si="0"/>
        <v>0.10120068802841758</v>
      </c>
      <c r="H45" s="18"/>
      <c r="J45" s="18"/>
      <c r="K45" s="18"/>
      <c r="L45" s="18"/>
    </row>
    <row r="46" spans="2:12" ht="17">
      <c r="B46" s="8" t="s">
        <v>88</v>
      </c>
      <c r="C46" s="9" t="s">
        <v>89</v>
      </c>
      <c r="D46">
        <v>10756</v>
      </c>
      <c r="E46" s="10">
        <f t="shared" si="0"/>
        <v>1.2052823549845642E-2</v>
      </c>
      <c r="H46" s="18"/>
      <c r="J46" s="18"/>
      <c r="K46" s="18"/>
      <c r="L46" s="18"/>
    </row>
    <row r="47" spans="2:12" ht="17">
      <c r="B47" s="8" t="s">
        <v>90</v>
      </c>
      <c r="C47" s="9" t="s">
        <v>91</v>
      </c>
      <c r="D47">
        <v>1495</v>
      </c>
      <c r="E47" s="10">
        <f t="shared" si="0"/>
        <v>1.6752483457622941E-3</v>
      </c>
      <c r="H47" s="18"/>
      <c r="J47" s="18"/>
      <c r="K47" s="18"/>
      <c r="L47" s="18"/>
    </row>
    <row r="48" spans="2:12" ht="17">
      <c r="B48" s="8" t="s">
        <v>92</v>
      </c>
      <c r="C48" s="9" t="s">
        <v>93</v>
      </c>
      <c r="D48">
        <v>14119</v>
      </c>
      <c r="E48" s="10">
        <f t="shared" si="0"/>
        <v>1.5821291902219283E-2</v>
      </c>
      <c r="H48" s="18"/>
      <c r="J48" s="18"/>
      <c r="K48" s="18"/>
      <c r="L48" s="18"/>
    </row>
    <row r="49" spans="2:12" ht="17">
      <c r="B49" s="8" t="s">
        <v>94</v>
      </c>
      <c r="C49" s="9" t="s">
        <v>95</v>
      </c>
      <c r="D49">
        <v>8155</v>
      </c>
      <c r="E49" s="10">
        <f t="shared" si="0"/>
        <v>9.1382275984558583E-3</v>
      </c>
      <c r="H49" s="18"/>
      <c r="J49" s="18"/>
      <c r="K49" s="18"/>
      <c r="L49" s="18"/>
    </row>
    <row r="50" spans="2:12" ht="17">
      <c r="B50" s="8" t="s">
        <v>96</v>
      </c>
      <c r="C50" s="9" t="s">
        <v>97</v>
      </c>
      <c r="D50">
        <v>7580</v>
      </c>
      <c r="E50" s="10">
        <f t="shared" si="0"/>
        <v>8.4939013116242072E-3</v>
      </c>
      <c r="H50" s="18"/>
      <c r="J50" s="18"/>
      <c r="K50" s="18"/>
      <c r="L50" s="18"/>
    </row>
    <row r="51" spans="2:12" ht="17">
      <c r="B51" s="8" t="s">
        <v>98</v>
      </c>
      <c r="C51" s="9" t="s">
        <v>99</v>
      </c>
      <c r="D51">
        <v>20601</v>
      </c>
      <c r="E51" s="10">
        <f t="shared" si="0"/>
        <v>2.3084810147858875E-2</v>
      </c>
      <c r="H51" s="18"/>
      <c r="J51" s="18"/>
      <c r="K51" s="18"/>
      <c r="L51" s="18"/>
    </row>
    <row r="52" spans="2:12" ht="17">
      <c r="B52" s="8" t="s">
        <v>100</v>
      </c>
      <c r="C52" s="9" t="s">
        <v>101</v>
      </c>
      <c r="D52">
        <v>1811</v>
      </c>
      <c r="E52" s="10">
        <f t="shared" si="0"/>
        <v>2.0293476616558624E-3</v>
      </c>
      <c r="H52" s="18"/>
      <c r="J52" s="18"/>
      <c r="K52" s="18"/>
      <c r="L52" s="18"/>
    </row>
    <row r="53" spans="2:12" ht="17">
      <c r="B53" s="11" t="s">
        <v>102</v>
      </c>
      <c r="C53" s="12" t="s">
        <v>103</v>
      </c>
      <c r="D53" s="13">
        <v>892405</v>
      </c>
      <c r="E53" s="14">
        <f t="shared" si="0"/>
        <v>1</v>
      </c>
      <c r="H53" s="18"/>
      <c r="J53" s="18"/>
      <c r="K53" s="18"/>
      <c r="L53" s="18"/>
    </row>
    <row r="54" spans="2:12">
      <c r="H54" s="18"/>
      <c r="J54" s="18"/>
      <c r="K54" s="18"/>
      <c r="L54" s="18"/>
    </row>
    <row r="55" spans="2:12">
      <c r="H55" s="18"/>
      <c r="J55" s="18"/>
      <c r="K55" s="18"/>
      <c r="L55" s="18"/>
    </row>
    <row r="56" spans="2:12">
      <c r="H56" s="18"/>
      <c r="J56" s="18"/>
      <c r="K56" s="18"/>
      <c r="L56" s="18"/>
    </row>
    <row r="57" spans="2:12">
      <c r="H57" s="18"/>
      <c r="J57" s="18"/>
      <c r="K57" s="18"/>
      <c r="L57" s="18"/>
    </row>
    <row r="58" spans="2:12">
      <c r="H58" s="18"/>
      <c r="J58" s="18"/>
      <c r="K58" s="18"/>
      <c r="L58" s="18"/>
    </row>
    <row r="59" spans="2:12">
      <c r="H59" s="18"/>
      <c r="J59" s="18"/>
      <c r="K59" s="18"/>
      <c r="L59" s="18"/>
    </row>
    <row r="60" spans="2:12">
      <c r="H60" s="18"/>
      <c r="J60" s="18"/>
      <c r="K60" s="18"/>
      <c r="L60" s="18"/>
    </row>
    <row r="61" spans="2:12">
      <c r="H61" s="18"/>
      <c r="J61" s="18"/>
      <c r="K61" s="18"/>
      <c r="L61" s="18"/>
    </row>
    <row r="62" spans="2:12">
      <c r="H62" s="18"/>
      <c r="J62" s="18"/>
      <c r="K62" s="18"/>
      <c r="L62" s="18"/>
    </row>
    <row r="63" spans="2:12">
      <c r="H63" s="18"/>
      <c r="J63" s="18"/>
      <c r="K63" s="18"/>
      <c r="L63" s="18"/>
    </row>
    <row r="64" spans="2:12">
      <c r="H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0D591165-71A1-B24F-8590-0D9FF1ABB23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36C0C-46B4-5B4B-90DD-3DF1D0F2AE5A}">
  <dimension ref="A1:Z63"/>
  <sheetViews>
    <sheetView workbookViewId="0">
      <selection activeCell="E8" sqref="E8"/>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108</v>
      </c>
    </row>
    <row r="4" spans="1:26" ht="17">
      <c r="B4" s="4" t="s">
        <v>2</v>
      </c>
      <c r="C4" s="5" t="s">
        <v>3</v>
      </c>
      <c r="D4" s="6" t="s">
        <v>104</v>
      </c>
      <c r="E4" s="7" t="s">
        <v>5</v>
      </c>
      <c r="G4" s="15" t="s">
        <v>106</v>
      </c>
      <c r="H4" t="s">
        <v>4</v>
      </c>
    </row>
    <row r="5" spans="1:26" ht="17">
      <c r="B5" s="8" t="s">
        <v>6</v>
      </c>
      <c r="C5" s="9" t="s">
        <v>7</v>
      </c>
      <c r="D5">
        <v>284137</v>
      </c>
      <c r="E5" s="10">
        <f>D5/D$53</f>
        <v>2.2590618044460595E-2</v>
      </c>
      <c r="G5" s="15" t="s">
        <v>105</v>
      </c>
      <c r="H5" s="17" t="s">
        <v>111</v>
      </c>
    </row>
    <row r="6" spans="1:26" ht="17" customHeight="1">
      <c r="B6" s="8" t="s">
        <v>8</v>
      </c>
      <c r="C6" s="9" t="s">
        <v>9</v>
      </c>
      <c r="D6">
        <v>192980</v>
      </c>
      <c r="E6" s="10">
        <f t="shared" ref="E6:E53" si="0">D6/D$53</f>
        <v>1.5343082633447969E-2</v>
      </c>
      <c r="G6" s="15"/>
    </row>
    <row r="7" spans="1:26" ht="17" customHeight="1">
      <c r="B7" s="8" t="s">
        <v>10</v>
      </c>
      <c r="C7" s="9" t="s">
        <v>11</v>
      </c>
      <c r="D7">
        <v>158985</v>
      </c>
      <c r="E7" s="10">
        <f t="shared" si="0"/>
        <v>1.2640273564507851E-2</v>
      </c>
      <c r="G7" s="38" t="s">
        <v>109</v>
      </c>
      <c r="H7" s="38"/>
      <c r="I7" s="38"/>
      <c r="J7" s="38"/>
      <c r="K7" s="38"/>
      <c r="L7" s="38"/>
      <c r="M7" s="38"/>
    </row>
    <row r="8" spans="1:26" ht="17" customHeight="1">
      <c r="B8" s="8" t="s">
        <v>12</v>
      </c>
      <c r="C8" s="9" t="s">
        <v>13</v>
      </c>
      <c r="D8">
        <v>1216214</v>
      </c>
      <c r="E8" s="10">
        <f t="shared" si="0"/>
        <v>9.6696403264360492E-2</v>
      </c>
      <c r="G8" s="38"/>
      <c r="H8" s="38"/>
      <c r="I8" s="38"/>
      <c r="J8" s="38"/>
      <c r="K8" s="38"/>
      <c r="L8" s="38"/>
      <c r="M8" s="38"/>
    </row>
    <row r="9" spans="1:26" ht="17" customHeight="1">
      <c r="B9" s="8" t="s">
        <v>14</v>
      </c>
      <c r="C9" s="9" t="s">
        <v>15</v>
      </c>
      <c r="D9">
        <v>146442</v>
      </c>
      <c r="E9" s="10">
        <f t="shared" si="0"/>
        <v>1.1643028847587248E-2</v>
      </c>
      <c r="G9" s="38"/>
      <c r="H9" s="38"/>
      <c r="I9" s="38"/>
      <c r="J9" s="38"/>
      <c r="K9" s="38"/>
      <c r="L9" s="38"/>
      <c r="M9" s="38"/>
    </row>
    <row r="10" spans="1:26" ht="17" customHeight="1">
      <c r="B10" s="8" t="s">
        <v>16</v>
      </c>
      <c r="C10" s="9" t="s">
        <v>17</v>
      </c>
      <c r="D10">
        <v>152764</v>
      </c>
      <c r="E10" s="10">
        <f t="shared" si="0"/>
        <v>1.2145666262908309E-2</v>
      </c>
      <c r="G10" s="38"/>
      <c r="H10" s="38"/>
      <c r="I10" s="38"/>
      <c r="J10" s="38"/>
      <c r="K10" s="38"/>
      <c r="L10" s="38"/>
      <c r="M10" s="38"/>
    </row>
    <row r="11" spans="1:26" ht="17" customHeight="1">
      <c r="B11" s="8" t="s">
        <v>18</v>
      </c>
      <c r="C11" s="9" t="s">
        <v>19</v>
      </c>
      <c r="D11">
        <v>26674</v>
      </c>
      <c r="E11" s="10">
        <f t="shared" si="0"/>
        <v>2.1207450832448497E-3</v>
      </c>
      <c r="G11" s="38"/>
      <c r="H11" s="38"/>
      <c r="I11" s="38"/>
      <c r="J11" s="38"/>
      <c r="K11" s="38"/>
      <c r="L11" s="38"/>
      <c r="M11" s="38"/>
    </row>
    <row r="12" spans="1:26" ht="17" customHeight="1">
      <c r="B12" s="8" t="s">
        <v>20</v>
      </c>
      <c r="C12" s="9" t="s">
        <v>21</v>
      </c>
      <c r="D12">
        <v>426716</v>
      </c>
      <c r="E12" s="10">
        <f t="shared" si="0"/>
        <v>3.3926514918718953E-2</v>
      </c>
      <c r="G12" s="38"/>
      <c r="H12" s="38"/>
      <c r="I12" s="38"/>
      <c r="J12" s="38"/>
      <c r="K12" s="38"/>
      <c r="L12" s="38"/>
      <c r="M12" s="38"/>
    </row>
    <row r="13" spans="1:26" ht="17" customHeight="1">
      <c r="B13" s="8" t="s">
        <v>22</v>
      </c>
      <c r="C13" s="9" t="s">
        <v>23</v>
      </c>
      <c r="D13">
        <v>425209</v>
      </c>
      <c r="E13" s="10">
        <f t="shared" si="0"/>
        <v>3.3806699261507811E-2</v>
      </c>
      <c r="H13" s="16"/>
      <c r="I13" s="16"/>
      <c r="J13" s="16"/>
      <c r="K13" s="16"/>
      <c r="L13" s="16"/>
    </row>
    <row r="14" spans="1:26" ht="17">
      <c r="B14" s="8" t="s">
        <v>24</v>
      </c>
      <c r="C14" s="9" t="s">
        <v>25</v>
      </c>
      <c r="D14">
        <v>74291</v>
      </c>
      <c r="E14" s="10">
        <f t="shared" si="0"/>
        <v>5.9065859255958281E-3</v>
      </c>
      <c r="H14" s="16"/>
      <c r="I14" s="16"/>
      <c r="J14" s="16"/>
      <c r="K14" s="16"/>
      <c r="L14" s="16"/>
    </row>
    <row r="15" spans="1:26" ht="17">
      <c r="B15" s="8" t="s">
        <v>26</v>
      </c>
      <c r="C15" s="9" t="s">
        <v>27</v>
      </c>
      <c r="D15">
        <v>569596</v>
      </c>
      <c r="E15" s="10">
        <f t="shared" si="0"/>
        <v>4.5286343121988953E-2</v>
      </c>
      <c r="G15" s="20"/>
      <c r="H15" s="16"/>
      <c r="I15" s="16"/>
      <c r="J15" s="16"/>
      <c r="K15" s="16"/>
      <c r="L15" s="16"/>
    </row>
    <row r="16" spans="1:26" ht="17" customHeight="1">
      <c r="B16" s="8" t="s">
        <v>28</v>
      </c>
      <c r="C16" s="9" t="s">
        <v>29</v>
      </c>
      <c r="D16">
        <v>517542</v>
      </c>
      <c r="E16" s="10">
        <f t="shared" si="0"/>
        <v>4.1147733818426409E-2</v>
      </c>
      <c r="H16" s="16"/>
      <c r="I16" s="16"/>
      <c r="J16" s="16"/>
      <c r="K16" s="16"/>
      <c r="L16" s="16"/>
    </row>
    <row r="17" spans="2:13" ht="17">
      <c r="B17" s="8" t="s">
        <v>30</v>
      </c>
      <c r="C17" s="9" t="s">
        <v>31</v>
      </c>
      <c r="D17">
        <v>216458</v>
      </c>
      <c r="E17" s="10">
        <f t="shared" si="0"/>
        <v>1.7209726296356514E-2</v>
      </c>
      <c r="I17" s="18"/>
      <c r="K17" s="19"/>
      <c r="L17" s="19"/>
      <c r="M17" s="19"/>
    </row>
    <row r="18" spans="2:13" ht="17">
      <c r="B18" s="8" t="s">
        <v>32</v>
      </c>
      <c r="C18" s="9" t="s">
        <v>33</v>
      </c>
      <c r="D18">
        <v>173920</v>
      </c>
      <c r="E18" s="10">
        <f t="shared" si="0"/>
        <v>1.3827696816298427E-2</v>
      </c>
      <c r="I18" s="18"/>
      <c r="K18" s="18"/>
      <c r="L18" s="18"/>
      <c r="M18" s="18"/>
    </row>
    <row r="19" spans="2:13" ht="17">
      <c r="B19" s="8" t="s">
        <v>34</v>
      </c>
      <c r="C19" s="9" t="s">
        <v>35</v>
      </c>
      <c r="D19">
        <v>252074</v>
      </c>
      <c r="E19" s="10">
        <f t="shared" si="0"/>
        <v>2.0041414715223149E-2</v>
      </c>
      <c r="I19" s="18"/>
      <c r="K19" s="18"/>
      <c r="L19" s="18"/>
      <c r="M19" s="18"/>
    </row>
    <row r="20" spans="2:13" ht="17">
      <c r="B20" s="8" t="s">
        <v>36</v>
      </c>
      <c r="C20" s="9" t="s">
        <v>37</v>
      </c>
      <c r="D20">
        <v>0</v>
      </c>
      <c r="E20" s="10">
        <f t="shared" si="0"/>
        <v>0</v>
      </c>
      <c r="I20" s="18"/>
      <c r="K20" s="18"/>
      <c r="L20" s="18"/>
      <c r="M20" s="18"/>
    </row>
    <row r="21" spans="2:13" ht="17">
      <c r="B21" s="8" t="s">
        <v>38</v>
      </c>
      <c r="C21" s="9" t="s">
        <v>39</v>
      </c>
      <c r="D21">
        <v>51001</v>
      </c>
      <c r="E21" s="10">
        <f t="shared" si="0"/>
        <v>4.0548894050600054E-3</v>
      </c>
      <c r="I21" s="18"/>
      <c r="K21" s="18"/>
      <c r="L21" s="18"/>
      <c r="M21" s="18"/>
    </row>
    <row r="22" spans="2:13" ht="17">
      <c r="B22" s="8" t="s">
        <v>40</v>
      </c>
      <c r="C22" s="9" t="s">
        <v>41</v>
      </c>
      <c r="D22">
        <v>0</v>
      </c>
      <c r="E22" s="10">
        <f t="shared" si="0"/>
        <v>0</v>
      </c>
      <c r="I22" s="18"/>
      <c r="K22" s="18"/>
      <c r="L22" s="18"/>
      <c r="M22" s="18"/>
    </row>
    <row r="23" spans="2:13" ht="17">
      <c r="B23" s="8" t="s">
        <v>42</v>
      </c>
      <c r="C23" s="9" t="s">
        <v>43</v>
      </c>
      <c r="D23">
        <v>226395</v>
      </c>
      <c r="E23" s="10">
        <f t="shared" si="0"/>
        <v>1.7999778178046703E-2</v>
      </c>
      <c r="I23" s="18"/>
      <c r="K23" s="18"/>
      <c r="L23" s="18"/>
      <c r="M23" s="18"/>
    </row>
    <row r="24" spans="2:13" ht="17">
      <c r="B24" s="8" t="s">
        <v>44</v>
      </c>
      <c r="C24" s="9" t="s">
        <v>45</v>
      </c>
      <c r="D24">
        <v>582969</v>
      </c>
      <c r="E24" s="10">
        <f t="shared" si="0"/>
        <v>4.6349577882363602E-2</v>
      </c>
      <c r="I24" s="18"/>
      <c r="K24" s="18"/>
      <c r="L24" s="18"/>
      <c r="M24" s="18"/>
    </row>
    <row r="25" spans="2:13" ht="17">
      <c r="B25" s="8" t="s">
        <v>46</v>
      </c>
      <c r="C25" s="9" t="s">
        <v>47</v>
      </c>
      <c r="D25">
        <v>315337</v>
      </c>
      <c r="E25" s="10">
        <f t="shared" si="0"/>
        <v>2.5071207629721121E-2</v>
      </c>
      <c r="I25" s="18"/>
      <c r="K25" s="18"/>
      <c r="L25" s="18"/>
      <c r="M25" s="18"/>
    </row>
    <row r="26" spans="2:13" ht="17">
      <c r="B26" s="8" t="s">
        <v>48</v>
      </c>
      <c r="C26" s="9" t="s">
        <v>49</v>
      </c>
      <c r="D26">
        <v>138702</v>
      </c>
      <c r="E26" s="10">
        <f t="shared" si="0"/>
        <v>1.1027651815859157E-2</v>
      </c>
      <c r="I26" s="18"/>
      <c r="K26" s="18"/>
      <c r="L26" s="18"/>
      <c r="M26" s="18"/>
    </row>
    <row r="27" spans="2:13" ht="17">
      <c r="B27" s="8" t="s">
        <v>50</v>
      </c>
      <c r="C27" s="9" t="s">
        <v>51</v>
      </c>
      <c r="D27">
        <v>281936</v>
      </c>
      <c r="E27" s="10">
        <f t="shared" si="0"/>
        <v>2.2415625170192695E-2</v>
      </c>
      <c r="I27" s="18"/>
      <c r="K27" s="18"/>
      <c r="L27" s="18"/>
      <c r="M27" s="18"/>
    </row>
    <row r="28" spans="2:13" ht="17">
      <c r="B28" s="8" t="s">
        <v>52</v>
      </c>
      <c r="C28" s="9" t="s">
        <v>53</v>
      </c>
      <c r="D28">
        <v>20950</v>
      </c>
      <c r="E28" s="10">
        <f t="shared" si="0"/>
        <v>1.6656523016412837E-3</v>
      </c>
      <c r="I28" s="18"/>
      <c r="K28" s="18"/>
      <c r="L28" s="18"/>
      <c r="M28" s="18"/>
    </row>
    <row r="29" spans="2:13" ht="17">
      <c r="B29" s="8" t="s">
        <v>54</v>
      </c>
      <c r="C29" s="9" t="s">
        <v>55</v>
      </c>
      <c r="D29">
        <v>102663</v>
      </c>
      <c r="E29" s="10">
        <f t="shared" si="0"/>
        <v>8.1623323266538945E-3</v>
      </c>
      <c r="I29" s="18"/>
      <c r="K29" s="18"/>
      <c r="L29" s="18"/>
      <c r="M29" s="18"/>
    </row>
    <row r="30" spans="2:13" ht="17">
      <c r="B30" s="8" t="s">
        <v>56</v>
      </c>
      <c r="C30" s="9" t="s">
        <v>57</v>
      </c>
      <c r="D30">
        <v>67672</v>
      </c>
      <c r="E30" s="10">
        <f t="shared" si="0"/>
        <v>5.3803352055689238E-3</v>
      </c>
      <c r="I30" s="18"/>
      <c r="K30" s="18"/>
      <c r="L30" s="18"/>
      <c r="M30" s="18"/>
    </row>
    <row r="31" spans="2:13" ht="17">
      <c r="B31" s="8" t="s">
        <v>58</v>
      </c>
      <c r="C31" s="9" t="s">
        <v>59</v>
      </c>
      <c r="D31">
        <v>67404</v>
      </c>
      <c r="E31" s="10">
        <f t="shared" si="0"/>
        <v>5.3590275770801473E-3</v>
      </c>
      <c r="I31" s="18"/>
      <c r="K31" s="18"/>
      <c r="L31" s="18"/>
      <c r="M31" s="18"/>
    </row>
    <row r="32" spans="2:13" ht="17">
      <c r="B32" s="8" t="s">
        <v>60</v>
      </c>
      <c r="C32" s="9" t="s">
        <v>61</v>
      </c>
      <c r="D32">
        <v>249862</v>
      </c>
      <c r="E32" s="10">
        <f t="shared" si="0"/>
        <v>1.9865547274114291E-2</v>
      </c>
      <c r="I32" s="18"/>
      <c r="K32" s="18"/>
      <c r="L32" s="18"/>
      <c r="M32" s="18"/>
    </row>
    <row r="33" spans="2:13" ht="17">
      <c r="B33" s="8" t="s">
        <v>62</v>
      </c>
      <c r="C33" s="9" t="s">
        <v>63</v>
      </c>
      <c r="D33">
        <v>28295</v>
      </c>
      <c r="E33" s="10">
        <f t="shared" si="0"/>
        <v>2.2496244331713664E-3</v>
      </c>
      <c r="I33" s="18"/>
      <c r="K33" s="18"/>
      <c r="L33" s="18"/>
      <c r="M33" s="18"/>
    </row>
    <row r="34" spans="2:13" ht="17">
      <c r="B34" s="8" t="s">
        <v>64</v>
      </c>
      <c r="C34" s="9" t="s">
        <v>65</v>
      </c>
      <c r="D34">
        <v>401323</v>
      </c>
      <c r="E34" s="10">
        <f t="shared" si="0"/>
        <v>3.1907617119407393E-2</v>
      </c>
      <c r="I34" s="18"/>
      <c r="K34" s="18"/>
      <c r="L34" s="18"/>
      <c r="M34" s="18"/>
    </row>
    <row r="35" spans="2:13" ht="17">
      <c r="B35" s="8" t="s">
        <v>66</v>
      </c>
      <c r="C35" s="9" t="s">
        <v>67</v>
      </c>
      <c r="D35">
        <v>461369</v>
      </c>
      <c r="E35" s="10">
        <f t="shared" si="0"/>
        <v>3.6681638985963598E-2</v>
      </c>
      <c r="I35" s="18"/>
      <c r="K35" s="18"/>
      <c r="L35" s="18"/>
      <c r="M35" s="18"/>
    </row>
    <row r="36" spans="2:13" ht="17">
      <c r="B36" s="8" t="s">
        <v>68</v>
      </c>
      <c r="C36" s="9" t="s">
        <v>69</v>
      </c>
      <c r="D36">
        <v>27820</v>
      </c>
      <c r="E36" s="10">
        <f t="shared" si="0"/>
        <v>2.2118590468573037E-3</v>
      </c>
      <c r="I36" s="18"/>
      <c r="K36" s="18"/>
      <c r="L36" s="18"/>
      <c r="M36" s="18"/>
    </row>
    <row r="37" spans="2:13" ht="17">
      <c r="B37" s="8" t="s">
        <v>70</v>
      </c>
      <c r="C37" s="9" t="s">
        <v>71</v>
      </c>
      <c r="D37">
        <v>675529</v>
      </c>
      <c r="E37" s="10">
        <f t="shared" si="0"/>
        <v>5.3708660318636504E-2</v>
      </c>
      <c r="I37" s="18"/>
      <c r="K37" s="18"/>
      <c r="L37" s="18"/>
      <c r="M37" s="18"/>
    </row>
    <row r="38" spans="2:13" ht="17">
      <c r="B38" s="8" t="s">
        <v>72</v>
      </c>
      <c r="C38" s="9" t="s">
        <v>73</v>
      </c>
      <c r="D38">
        <v>141072</v>
      </c>
      <c r="E38" s="10">
        <f t="shared" si="0"/>
        <v>1.1216081217047216E-2</v>
      </c>
      <c r="I38" s="18"/>
      <c r="K38" s="18"/>
      <c r="L38" s="18"/>
      <c r="M38" s="18"/>
    </row>
    <row r="39" spans="2:13" ht="17">
      <c r="B39" s="8" t="s">
        <v>74</v>
      </c>
      <c r="C39" s="9" t="s">
        <v>75</v>
      </c>
      <c r="D39">
        <v>178839</v>
      </c>
      <c r="E39" s="10">
        <f t="shared" si="0"/>
        <v>1.4218787206359215E-2</v>
      </c>
      <c r="I39" s="18"/>
      <c r="K39" s="18"/>
      <c r="L39" s="18"/>
      <c r="M39" s="18"/>
    </row>
    <row r="40" spans="2:13" ht="17">
      <c r="B40" s="8" t="s">
        <v>76</v>
      </c>
      <c r="C40" s="9" t="s">
        <v>77</v>
      </c>
      <c r="D40">
        <v>556987</v>
      </c>
      <c r="E40" s="10">
        <f t="shared" si="0"/>
        <v>4.4283851004022608E-2</v>
      </c>
      <c r="I40" s="18"/>
      <c r="K40" s="18"/>
      <c r="L40" s="18"/>
      <c r="M40" s="18"/>
    </row>
    <row r="41" spans="2:13" ht="17">
      <c r="B41" s="8" t="s">
        <v>78</v>
      </c>
      <c r="C41" s="9" t="s">
        <v>79</v>
      </c>
      <c r="D41">
        <v>39247</v>
      </c>
      <c r="E41" s="10">
        <f t="shared" si="0"/>
        <v>3.1203749824589718E-3</v>
      </c>
      <c r="I41" s="18"/>
      <c r="K41" s="18"/>
      <c r="L41" s="18"/>
      <c r="M41" s="18"/>
    </row>
    <row r="42" spans="2:13" ht="17">
      <c r="B42" s="8" t="s">
        <v>80</v>
      </c>
      <c r="C42" s="9" t="s">
        <v>81</v>
      </c>
      <c r="D42">
        <v>262110</v>
      </c>
      <c r="E42" s="10">
        <f t="shared" si="0"/>
        <v>2.0839337698481952E-2</v>
      </c>
      <c r="I42" s="18"/>
      <c r="K42" s="18"/>
      <c r="L42" s="18"/>
      <c r="M42" s="18"/>
    </row>
    <row r="43" spans="2:13" ht="17">
      <c r="B43" s="8" t="s">
        <v>82</v>
      </c>
      <c r="C43" s="9" t="s">
        <v>83</v>
      </c>
      <c r="D43">
        <v>44302</v>
      </c>
      <c r="E43" s="10">
        <f t="shared" si="0"/>
        <v>3.5222781989170475E-3</v>
      </c>
      <c r="I43" s="18"/>
      <c r="K43" s="18"/>
      <c r="L43" s="18"/>
      <c r="M43" s="18"/>
    </row>
    <row r="44" spans="2:13" ht="17">
      <c r="B44" s="8" t="s">
        <v>84</v>
      </c>
      <c r="C44" s="9" t="s">
        <v>85</v>
      </c>
      <c r="D44">
        <v>354240</v>
      </c>
      <c r="E44" s="10">
        <f t="shared" si="0"/>
        <v>2.8164232521881067E-2</v>
      </c>
      <c r="I44" s="18"/>
      <c r="K44" s="18"/>
      <c r="L44" s="18"/>
      <c r="M44" s="18"/>
    </row>
    <row r="45" spans="2:13" ht="17">
      <c r="B45" s="8" t="s">
        <v>86</v>
      </c>
      <c r="C45" s="9" t="s">
        <v>87</v>
      </c>
      <c r="D45">
        <v>988002</v>
      </c>
      <c r="E45" s="10">
        <f t="shared" si="0"/>
        <v>7.855216254540294E-2</v>
      </c>
      <c r="I45" s="18"/>
      <c r="K45" s="18"/>
      <c r="L45" s="18"/>
      <c r="M45" s="18"/>
    </row>
    <row r="46" spans="2:13" ht="17">
      <c r="B46" s="8" t="s">
        <v>88</v>
      </c>
      <c r="C46" s="9" t="s">
        <v>89</v>
      </c>
      <c r="D46">
        <v>153350</v>
      </c>
      <c r="E46" s="10">
        <f t="shared" si="0"/>
        <v>1.2192256823708393E-2</v>
      </c>
      <c r="I46" s="18"/>
      <c r="K46" s="18"/>
      <c r="L46" s="18"/>
      <c r="M46" s="18"/>
    </row>
    <row r="47" spans="2:13" ht="17">
      <c r="B47" s="8" t="s">
        <v>90</v>
      </c>
      <c r="C47" s="9" t="s">
        <v>91</v>
      </c>
      <c r="D47">
        <v>27346</v>
      </c>
      <c r="E47" s="10">
        <f t="shared" si="0"/>
        <v>2.1741731666196917E-3</v>
      </c>
      <c r="I47" s="18"/>
      <c r="K47" s="18"/>
      <c r="L47" s="18"/>
      <c r="M47" s="18"/>
    </row>
    <row r="48" spans="2:13" ht="17">
      <c r="B48" s="8" t="s">
        <v>92</v>
      </c>
      <c r="C48" s="9" t="s">
        <v>93</v>
      </c>
      <c r="D48">
        <v>236329</v>
      </c>
      <c r="E48" s="10">
        <f t="shared" si="0"/>
        <v>1.8789591541507538E-2</v>
      </c>
      <c r="I48" s="18"/>
      <c r="K48" s="18"/>
      <c r="L48" s="18"/>
      <c r="M48" s="18"/>
    </row>
    <row r="49" spans="2:13" ht="17">
      <c r="B49" s="8" t="s">
        <v>94</v>
      </c>
      <c r="C49" s="9" t="s">
        <v>95</v>
      </c>
      <c r="D49">
        <v>268551</v>
      </c>
      <c r="E49" s="10">
        <f t="shared" si="0"/>
        <v>2.1351436336900637E-2</v>
      </c>
      <c r="I49" s="18"/>
      <c r="K49" s="18"/>
      <c r="L49" s="18"/>
      <c r="M49" s="18"/>
    </row>
    <row r="50" spans="2:13" ht="17">
      <c r="B50" s="8" t="s">
        <v>96</v>
      </c>
      <c r="C50" s="9" t="s">
        <v>97</v>
      </c>
      <c r="D50">
        <v>45099</v>
      </c>
      <c r="E50" s="10">
        <f t="shared" si="0"/>
        <v>3.5856445418482219E-3</v>
      </c>
      <c r="I50" s="18"/>
      <c r="K50" s="18"/>
      <c r="L50" s="18"/>
      <c r="M50" s="18"/>
    </row>
    <row r="51" spans="2:13" ht="17">
      <c r="B51" s="8" t="s">
        <v>98</v>
      </c>
      <c r="C51" s="9" t="s">
        <v>99</v>
      </c>
      <c r="D51">
        <v>458249</v>
      </c>
      <c r="E51" s="10">
        <f t="shared" si="0"/>
        <v>3.6433580027437545E-2</v>
      </c>
      <c r="I51" s="18"/>
      <c r="K51" s="18"/>
      <c r="L51" s="18"/>
      <c r="M51" s="18"/>
    </row>
    <row r="52" spans="2:13" ht="17">
      <c r="B52" s="8" t="s">
        <v>100</v>
      </c>
      <c r="C52" s="9" t="s">
        <v>101</v>
      </c>
      <c r="D52">
        <v>0</v>
      </c>
      <c r="E52" s="10">
        <f t="shared" si="0"/>
        <v>0</v>
      </c>
      <c r="I52" s="18"/>
      <c r="K52" s="18"/>
      <c r="L52" s="18"/>
      <c r="M52" s="18"/>
    </row>
    <row r="53" spans="2:13" ht="17">
      <c r="B53" s="11" t="s">
        <v>102</v>
      </c>
      <c r="C53" s="12" t="s">
        <v>103</v>
      </c>
      <c r="D53" s="13">
        <v>12577655</v>
      </c>
      <c r="E53" s="14">
        <f t="shared" si="0"/>
        <v>1</v>
      </c>
      <c r="I53" s="18"/>
      <c r="K53" s="18"/>
      <c r="L53" s="18"/>
      <c r="M53" s="18"/>
    </row>
    <row r="54" spans="2:13">
      <c r="I54" s="18"/>
      <c r="K54" s="18"/>
      <c r="L54" s="18"/>
      <c r="M54" s="18"/>
    </row>
    <row r="55" spans="2:13">
      <c r="I55" s="18"/>
      <c r="K55" s="18"/>
      <c r="L55" s="18"/>
      <c r="M55" s="18"/>
    </row>
    <row r="56" spans="2:13">
      <c r="I56" s="18"/>
      <c r="K56" s="18"/>
      <c r="L56" s="18"/>
      <c r="M56" s="18"/>
    </row>
    <row r="57" spans="2:13">
      <c r="I57" s="18"/>
      <c r="K57" s="18"/>
      <c r="L57" s="18"/>
      <c r="M57" s="18"/>
    </row>
    <row r="58" spans="2:13">
      <c r="I58" s="18"/>
      <c r="K58" s="18"/>
      <c r="L58" s="18"/>
      <c r="M58" s="18"/>
    </row>
    <row r="59" spans="2:13">
      <c r="I59" s="18"/>
      <c r="K59" s="18"/>
      <c r="L59" s="18"/>
      <c r="M59" s="18"/>
    </row>
    <row r="60" spans="2:13">
      <c r="I60" s="18"/>
      <c r="K60" s="18"/>
      <c r="L60" s="18"/>
      <c r="M60" s="18"/>
    </row>
    <row r="61" spans="2:13">
      <c r="I61" s="18"/>
      <c r="K61" s="18"/>
      <c r="L61" s="18"/>
      <c r="M61" s="18"/>
    </row>
    <row r="62" spans="2:13">
      <c r="I62" s="18"/>
      <c r="K62" s="18"/>
      <c r="L62" s="18"/>
      <c r="M62" s="18"/>
    </row>
    <row r="63" spans="2:13">
      <c r="I63" s="18"/>
      <c r="K63" s="18"/>
      <c r="M63" s="18"/>
    </row>
  </sheetData>
  <mergeCells count="1">
    <mergeCell ref="G7:M12"/>
  </mergeCells>
  <hyperlinks>
    <hyperlink ref="H5" r:id="rId1" location="tab=Tables" display="U.S. Bureau of Labor Statistics Quarterly Census of Employment and Wages" xr:uid="{21A28F06-3BC9-4848-B89C-38475FC53FE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0E959-D27B-884C-80D3-B05A445EEFFA}">
  <dimension ref="A1:Z53"/>
  <sheetViews>
    <sheetView workbookViewId="0">
      <selection activeCell="H6" sqref="H6"/>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125</v>
      </c>
    </row>
    <row r="4" spans="1:26" ht="17">
      <c r="B4" s="4" t="s">
        <v>2</v>
      </c>
      <c r="C4" s="5" t="s">
        <v>3</v>
      </c>
      <c r="D4" s="6" t="s">
        <v>104</v>
      </c>
      <c r="E4" s="7" t="s">
        <v>5</v>
      </c>
      <c r="G4" s="15" t="s">
        <v>106</v>
      </c>
      <c r="H4" t="s">
        <v>127</v>
      </c>
    </row>
    <row r="5" spans="1:26" ht="17">
      <c r="B5" s="8" t="s">
        <v>6</v>
      </c>
      <c r="C5" s="9" t="s">
        <v>7</v>
      </c>
      <c r="D5">
        <v>493.81000000000006</v>
      </c>
      <c r="E5" s="10">
        <f>D5/D$53</f>
        <v>3.3392028541559191E-2</v>
      </c>
      <c r="G5" s="15" t="s">
        <v>105</v>
      </c>
      <c r="H5" s="17" t="s">
        <v>138</v>
      </c>
    </row>
    <row r="6" spans="1:26" ht="17" customHeight="1">
      <c r="B6" s="8" t="s">
        <v>8</v>
      </c>
      <c r="C6" s="9" t="s">
        <v>9</v>
      </c>
      <c r="D6">
        <v>6.12</v>
      </c>
      <c r="E6" s="10">
        <f t="shared" ref="E6:E53" si="0">D6/D$53</f>
        <v>4.1384179071777042E-4</v>
      </c>
      <c r="G6" s="15"/>
    </row>
    <row r="7" spans="1:26" ht="17" customHeight="1">
      <c r="B7" s="8" t="s">
        <v>10</v>
      </c>
      <c r="C7" s="9" t="s">
        <v>11</v>
      </c>
      <c r="D7">
        <v>156.92999999999998</v>
      </c>
      <c r="E7" s="10">
        <f t="shared" si="0"/>
        <v>1.0611796113944397E-2</v>
      </c>
      <c r="G7" s="38" t="s">
        <v>126</v>
      </c>
      <c r="H7" s="38"/>
      <c r="I7" s="38"/>
      <c r="J7" s="38"/>
      <c r="K7" s="38"/>
      <c r="L7" s="38"/>
      <c r="M7" s="38"/>
    </row>
    <row r="8" spans="1:26" ht="17" customHeight="1">
      <c r="B8" s="8" t="s">
        <v>12</v>
      </c>
      <c r="C8" s="9" t="s">
        <v>13</v>
      </c>
      <c r="D8">
        <v>398.55000000000013</v>
      </c>
      <c r="E8" s="10">
        <f t="shared" si="0"/>
        <v>2.6950432302380305E-2</v>
      </c>
      <c r="G8" s="38"/>
      <c r="H8" s="38"/>
      <c r="I8" s="38"/>
      <c r="J8" s="38"/>
      <c r="K8" s="38"/>
      <c r="L8" s="38"/>
      <c r="M8" s="38"/>
    </row>
    <row r="9" spans="1:26" ht="17" customHeight="1">
      <c r="B9" s="8" t="s">
        <v>14</v>
      </c>
      <c r="C9" s="9" t="s">
        <v>15</v>
      </c>
      <c r="D9">
        <v>84.079999999999984</v>
      </c>
      <c r="E9" s="10">
        <f t="shared" si="0"/>
        <v>5.6855911378349885E-3</v>
      </c>
      <c r="G9" s="38"/>
      <c r="H9" s="38"/>
      <c r="I9" s="38"/>
      <c r="J9" s="38"/>
      <c r="K9" s="38"/>
      <c r="L9" s="38"/>
      <c r="M9" s="38"/>
    </row>
    <row r="10" spans="1:26" ht="17" customHeight="1">
      <c r="B10" s="8" t="s">
        <v>16</v>
      </c>
      <c r="C10" s="9" t="s">
        <v>17</v>
      </c>
      <c r="D10">
        <v>222.33</v>
      </c>
      <c r="E10" s="10">
        <f t="shared" si="0"/>
        <v>1.5034223093183318E-2</v>
      </c>
      <c r="G10" s="38"/>
      <c r="H10" s="38"/>
      <c r="I10" s="38"/>
      <c r="J10" s="38"/>
      <c r="K10" s="38"/>
      <c r="L10" s="38"/>
      <c r="M10" s="38"/>
    </row>
    <row r="11" spans="1:26" ht="17" customHeight="1">
      <c r="B11" s="8" t="s">
        <v>18</v>
      </c>
      <c r="C11" s="9" t="s">
        <v>19</v>
      </c>
      <c r="D11">
        <v>301.62000000000006</v>
      </c>
      <c r="E11" s="10">
        <f t="shared" si="0"/>
        <v>2.039590864645326E-2</v>
      </c>
      <c r="G11" s="38"/>
      <c r="H11" s="38"/>
      <c r="I11" s="38"/>
      <c r="J11" s="38"/>
      <c r="K11" s="38"/>
      <c r="L11" s="38"/>
      <c r="M11" s="38"/>
    </row>
    <row r="12" spans="1:26" ht="17" customHeight="1">
      <c r="B12" s="8" t="s">
        <v>20</v>
      </c>
      <c r="C12" s="9" t="s">
        <v>21</v>
      </c>
      <c r="D12">
        <v>246.01000000000005</v>
      </c>
      <c r="E12" s="10">
        <f t="shared" si="0"/>
        <v>1.6635493289947505E-2</v>
      </c>
      <c r="G12" s="38"/>
      <c r="H12" s="38"/>
      <c r="I12" s="38"/>
      <c r="J12" s="38"/>
      <c r="K12" s="38"/>
      <c r="L12" s="38"/>
      <c r="M12" s="38"/>
    </row>
    <row r="13" spans="1:26" ht="17" customHeight="1">
      <c r="B13" s="8" t="s">
        <v>22</v>
      </c>
      <c r="C13" s="9" t="s">
        <v>23</v>
      </c>
      <c r="D13">
        <v>475.48999999999995</v>
      </c>
      <c r="E13" s="10">
        <f t="shared" si="0"/>
        <v>3.2153208017711217E-2</v>
      </c>
      <c r="H13" s="16"/>
      <c r="I13" s="16"/>
      <c r="J13" s="16"/>
      <c r="K13" s="16"/>
      <c r="L13" s="16"/>
    </row>
    <row r="14" spans="1:26" ht="17">
      <c r="B14" s="8" t="s">
        <v>24</v>
      </c>
      <c r="C14" s="9" t="s">
        <v>25</v>
      </c>
      <c r="D14">
        <v>57.63</v>
      </c>
      <c r="E14" s="10">
        <f t="shared" si="0"/>
        <v>3.8970101959256718E-3</v>
      </c>
      <c r="H14" s="16"/>
      <c r="I14" s="16"/>
      <c r="J14" s="16"/>
      <c r="K14" s="16"/>
      <c r="L14" s="16"/>
    </row>
    <row r="15" spans="1:26" ht="17">
      <c r="B15" s="8" t="s">
        <v>26</v>
      </c>
      <c r="C15" s="9" t="s">
        <v>27</v>
      </c>
      <c r="D15">
        <v>430.77</v>
      </c>
      <c r="E15" s="10">
        <f t="shared" si="0"/>
        <v>2.9129187612335614E-2</v>
      </c>
      <c r="H15" s="16"/>
      <c r="I15" s="16"/>
      <c r="J15" s="16"/>
      <c r="K15" s="16"/>
      <c r="L15" s="16"/>
    </row>
    <row r="16" spans="1:26" ht="17">
      <c r="B16" s="8" t="s">
        <v>28</v>
      </c>
      <c r="C16" s="9" t="s">
        <v>29</v>
      </c>
      <c r="D16">
        <v>2286.6200000000008</v>
      </c>
      <c r="E16" s="10">
        <f t="shared" si="0"/>
        <v>0.15462400579919422</v>
      </c>
      <c r="H16" s="16"/>
      <c r="I16" s="16"/>
      <c r="J16" s="16"/>
      <c r="K16" s="16"/>
      <c r="L16" s="16"/>
    </row>
    <row r="17" spans="2:5" ht="17">
      <c r="B17" s="8" t="s">
        <v>30</v>
      </c>
      <c r="C17" s="9" t="s">
        <v>31</v>
      </c>
      <c r="D17">
        <v>287.56</v>
      </c>
      <c r="E17" s="10">
        <f t="shared" si="0"/>
        <v>1.9445154467124522E-2</v>
      </c>
    </row>
    <row r="18" spans="2:5" ht="17">
      <c r="B18" s="8" t="s">
        <v>32</v>
      </c>
      <c r="C18" s="9" t="s">
        <v>33</v>
      </c>
      <c r="D18">
        <v>38.120000000000005</v>
      </c>
      <c r="E18" s="10">
        <f t="shared" si="0"/>
        <v>2.5777204349936946E-3</v>
      </c>
    </row>
    <row r="19" spans="2:5" ht="17">
      <c r="B19" s="8" t="s">
        <v>34</v>
      </c>
      <c r="C19" s="9" t="s">
        <v>35</v>
      </c>
      <c r="D19">
        <v>224.92000000000002</v>
      </c>
      <c r="E19" s="10">
        <f t="shared" si="0"/>
        <v>1.52093620209544E-2</v>
      </c>
    </row>
    <row r="20" spans="2:5" ht="17">
      <c r="B20" s="8" t="s">
        <v>36</v>
      </c>
      <c r="C20" s="9" t="s">
        <v>37</v>
      </c>
      <c r="D20">
        <v>2142.8599999999997</v>
      </c>
      <c r="E20" s="10">
        <f t="shared" si="0"/>
        <v>0.14490278098978454</v>
      </c>
    </row>
    <row r="21" spans="2:5" ht="17">
      <c r="B21" s="8" t="s">
        <v>38</v>
      </c>
      <c r="C21" s="9" t="s">
        <v>39</v>
      </c>
      <c r="D21">
        <v>224.95000000000002</v>
      </c>
      <c r="E21" s="10">
        <f t="shared" si="0"/>
        <v>1.521139065718341E-2</v>
      </c>
    </row>
    <row r="22" spans="2:5" ht="17">
      <c r="B22" s="8" t="s">
        <v>40</v>
      </c>
      <c r="C22" s="9" t="s">
        <v>41</v>
      </c>
      <c r="D22">
        <v>50.82</v>
      </c>
      <c r="E22" s="10">
        <f t="shared" si="0"/>
        <v>3.4365097719407014E-3</v>
      </c>
    </row>
    <row r="23" spans="2:5" ht="17">
      <c r="B23" s="8" t="s">
        <v>42</v>
      </c>
      <c r="C23" s="9" t="s">
        <v>43</v>
      </c>
      <c r="D23">
        <v>27.87</v>
      </c>
      <c r="E23" s="10">
        <f t="shared" si="0"/>
        <v>1.8846030567490626E-3</v>
      </c>
    </row>
    <row r="24" spans="2:5" ht="17">
      <c r="B24" s="8" t="s">
        <v>44</v>
      </c>
      <c r="C24" s="9" t="s">
        <v>45</v>
      </c>
      <c r="D24">
        <v>517.94999999999993</v>
      </c>
      <c r="E24" s="10">
        <f t="shared" si="0"/>
        <v>3.5024404493834829E-2</v>
      </c>
    </row>
    <row r="25" spans="2:5" ht="17">
      <c r="B25" s="8" t="s">
        <v>46</v>
      </c>
      <c r="C25" s="9" t="s">
        <v>47</v>
      </c>
      <c r="D25">
        <v>258.98999999999995</v>
      </c>
      <c r="E25" s="10">
        <f t="shared" si="0"/>
        <v>1.7513216565031919E-2</v>
      </c>
    </row>
    <row r="26" spans="2:5" ht="17">
      <c r="B26" s="8" t="s">
        <v>48</v>
      </c>
      <c r="C26" s="9" t="s">
        <v>49</v>
      </c>
      <c r="D26">
        <v>181.86999999999998</v>
      </c>
      <c r="E26" s="10">
        <f t="shared" si="0"/>
        <v>1.2298269032326944E-2</v>
      </c>
    </row>
    <row r="27" spans="2:5" ht="17">
      <c r="B27" s="8" t="s">
        <v>50</v>
      </c>
      <c r="C27" s="9" t="s">
        <v>51</v>
      </c>
      <c r="D27">
        <v>85.23</v>
      </c>
      <c r="E27" s="10">
        <f t="shared" si="0"/>
        <v>5.7633555266136558E-3</v>
      </c>
    </row>
    <row r="28" spans="2:5" ht="17">
      <c r="B28" s="8" t="s">
        <v>52</v>
      </c>
      <c r="C28" s="9" t="s">
        <v>53</v>
      </c>
      <c r="D28">
        <v>9.6699999999999964</v>
      </c>
      <c r="E28" s="10">
        <f t="shared" si="0"/>
        <v>6.5389707781713052E-4</v>
      </c>
    </row>
    <row r="29" spans="2:5" ht="17">
      <c r="B29" s="8" t="s">
        <v>54</v>
      </c>
      <c r="C29" s="9" t="s">
        <v>55</v>
      </c>
      <c r="D29">
        <v>44.279999999999987</v>
      </c>
      <c r="E29" s="10">
        <f t="shared" si="0"/>
        <v>2.9942670740168089E-3</v>
      </c>
    </row>
    <row r="30" spans="2:5" ht="17">
      <c r="B30" s="8" t="s">
        <v>56</v>
      </c>
      <c r="C30" s="9" t="s">
        <v>57</v>
      </c>
      <c r="D30">
        <v>5.71</v>
      </c>
      <c r="E30" s="10">
        <f t="shared" si="0"/>
        <v>3.8611709558798518E-4</v>
      </c>
    </row>
    <row r="31" spans="2:5" ht="17">
      <c r="B31" s="8" t="s">
        <v>58</v>
      </c>
      <c r="C31" s="9" t="s">
        <v>59</v>
      </c>
      <c r="D31">
        <v>12.620000000000001</v>
      </c>
      <c r="E31" s="10">
        <f t="shared" si="0"/>
        <v>8.5337964033631753E-4</v>
      </c>
    </row>
    <row r="32" spans="2:5" ht="17">
      <c r="B32" s="8" t="s">
        <v>60</v>
      </c>
      <c r="C32" s="9" t="s">
        <v>61</v>
      </c>
      <c r="D32">
        <v>94.110000000000014</v>
      </c>
      <c r="E32" s="10">
        <f t="shared" si="0"/>
        <v>6.3638318504002254E-3</v>
      </c>
    </row>
    <row r="33" spans="2:5" ht="17">
      <c r="B33" s="8" t="s">
        <v>62</v>
      </c>
      <c r="C33" s="9" t="s">
        <v>63</v>
      </c>
      <c r="D33">
        <v>3.4</v>
      </c>
      <c r="E33" s="10">
        <f t="shared" si="0"/>
        <v>2.2991210595431691E-4</v>
      </c>
    </row>
    <row r="34" spans="2:5" ht="17">
      <c r="B34" s="8" t="s">
        <v>64</v>
      </c>
      <c r="C34" s="9" t="s">
        <v>65</v>
      </c>
      <c r="D34">
        <v>320.29000000000002</v>
      </c>
      <c r="E34" s="10">
        <f t="shared" si="0"/>
        <v>2.165839659297299E-2</v>
      </c>
    </row>
    <row r="35" spans="2:5" ht="17">
      <c r="B35" s="8" t="s">
        <v>66</v>
      </c>
      <c r="C35" s="9" t="s">
        <v>67</v>
      </c>
      <c r="D35">
        <v>193.15999999999994</v>
      </c>
      <c r="E35" s="10">
        <f t="shared" si="0"/>
        <v>1.3061712466510542E-2</v>
      </c>
    </row>
    <row r="36" spans="2:5" ht="17">
      <c r="B36" s="8" t="s">
        <v>68</v>
      </c>
      <c r="C36" s="9" t="s">
        <v>69</v>
      </c>
      <c r="D36">
        <v>19.649999999999999</v>
      </c>
      <c r="E36" s="10">
        <f t="shared" si="0"/>
        <v>1.3287567300006844E-3</v>
      </c>
    </row>
    <row r="37" spans="2:5" ht="17">
      <c r="B37" s="8" t="s">
        <v>70</v>
      </c>
      <c r="C37" s="9" t="s">
        <v>71</v>
      </c>
      <c r="D37">
        <v>347.78999999999996</v>
      </c>
      <c r="E37" s="10">
        <f t="shared" si="0"/>
        <v>2.3517979802897607E-2</v>
      </c>
    </row>
    <row r="38" spans="2:5" ht="17">
      <c r="B38" s="8" t="s">
        <v>72</v>
      </c>
      <c r="C38" s="9" t="s">
        <v>73</v>
      </c>
      <c r="D38">
        <v>51.999999999999986</v>
      </c>
      <c r="E38" s="10">
        <f t="shared" si="0"/>
        <v>3.5163027969483751E-3</v>
      </c>
    </row>
    <row r="39" spans="2:5" ht="17">
      <c r="B39" s="8" t="s">
        <v>74</v>
      </c>
      <c r="C39" s="9" t="s">
        <v>75</v>
      </c>
      <c r="D39">
        <v>104.74999999999997</v>
      </c>
      <c r="E39" s="10">
        <f t="shared" si="0"/>
        <v>7.0833214996219671E-3</v>
      </c>
    </row>
    <row r="40" spans="2:5" ht="17">
      <c r="B40" s="8" t="s">
        <v>76</v>
      </c>
      <c r="C40" s="9" t="s">
        <v>77</v>
      </c>
      <c r="D40">
        <v>644.63999999999987</v>
      </c>
      <c r="E40" s="10">
        <f t="shared" si="0"/>
        <v>4.3591335288938479E-2</v>
      </c>
    </row>
    <row r="41" spans="2:5" ht="17">
      <c r="B41" s="8" t="s">
        <v>78</v>
      </c>
      <c r="C41" s="9" t="s">
        <v>79</v>
      </c>
      <c r="D41">
        <v>2.08</v>
      </c>
      <c r="E41" s="10">
        <f t="shared" si="0"/>
        <v>1.4065211187793507E-4</v>
      </c>
    </row>
    <row r="42" spans="2:5" ht="17">
      <c r="B42" s="8" t="s">
        <v>80</v>
      </c>
      <c r="C42" s="9" t="s">
        <v>81</v>
      </c>
      <c r="D42">
        <v>286.35999999999996</v>
      </c>
      <c r="E42" s="10">
        <f t="shared" si="0"/>
        <v>1.936400901796417E-2</v>
      </c>
    </row>
    <row r="43" spans="2:5" ht="17">
      <c r="B43" s="8" t="s">
        <v>82</v>
      </c>
      <c r="C43" s="9" t="s">
        <v>83</v>
      </c>
      <c r="D43">
        <v>24.439999999999998</v>
      </c>
      <c r="E43" s="10">
        <f t="shared" si="0"/>
        <v>1.6526623145657366E-3</v>
      </c>
    </row>
    <row r="44" spans="2:5" ht="17">
      <c r="B44" s="8" t="s">
        <v>84</v>
      </c>
      <c r="C44" s="9" t="s">
        <v>85</v>
      </c>
      <c r="D44">
        <v>733.63</v>
      </c>
      <c r="E44" s="10">
        <f t="shared" si="0"/>
        <v>4.9608946556254564E-2</v>
      </c>
    </row>
    <row r="45" spans="2:5" ht="17">
      <c r="B45" s="8" t="s">
        <v>86</v>
      </c>
      <c r="C45" s="9" t="s">
        <v>87</v>
      </c>
      <c r="D45">
        <v>924.43999999999949</v>
      </c>
      <c r="E45" s="10">
        <f t="shared" si="0"/>
        <v>6.2511749184826063E-2</v>
      </c>
    </row>
    <row r="46" spans="2:5" ht="17">
      <c r="B46" s="8" t="s">
        <v>88</v>
      </c>
      <c r="C46" s="9" t="s">
        <v>89</v>
      </c>
      <c r="D46">
        <v>133.14999999999998</v>
      </c>
      <c r="E46" s="10">
        <f t="shared" si="0"/>
        <v>9.0037637964168506E-3</v>
      </c>
    </row>
    <row r="47" spans="2:5" ht="17">
      <c r="B47" s="8" t="s">
        <v>90</v>
      </c>
      <c r="C47" s="9" t="s">
        <v>91</v>
      </c>
      <c r="D47">
        <v>10.97</v>
      </c>
      <c r="E47" s="10">
        <f t="shared" si="0"/>
        <v>7.4180464774084023E-4</v>
      </c>
    </row>
    <row r="48" spans="2:5" ht="17">
      <c r="B48" s="8" t="s">
        <v>92</v>
      </c>
      <c r="C48" s="9" t="s">
        <v>93</v>
      </c>
      <c r="D48">
        <v>375.26999999999992</v>
      </c>
      <c r="E48" s="10">
        <f t="shared" si="0"/>
        <v>2.5376210588669557E-2</v>
      </c>
    </row>
    <row r="49" spans="2:5" ht="17">
      <c r="B49" s="8" t="s">
        <v>94</v>
      </c>
      <c r="C49" s="9" t="s">
        <v>95</v>
      </c>
      <c r="D49">
        <v>412.45000000000005</v>
      </c>
      <c r="E49" s="10">
        <f t="shared" si="0"/>
        <v>2.7890367088487654E-2</v>
      </c>
    </row>
    <row r="50" spans="2:5" ht="17">
      <c r="B50" s="8" t="s">
        <v>96</v>
      </c>
      <c r="C50" s="9" t="s">
        <v>97</v>
      </c>
      <c r="D50">
        <v>427.28</v>
      </c>
      <c r="E50" s="10">
        <f t="shared" si="0"/>
        <v>2.8893189597694272E-2</v>
      </c>
    </row>
    <row r="51" spans="2:5" ht="17">
      <c r="B51" s="8" t="s">
        <v>98</v>
      </c>
      <c r="C51" s="9" t="s">
        <v>99</v>
      </c>
      <c r="D51">
        <v>382.37000000000006</v>
      </c>
      <c r="E51" s="10">
        <f t="shared" si="0"/>
        <v>2.5856321162868286E-2</v>
      </c>
    </row>
    <row r="52" spans="2:5" ht="17">
      <c r="B52" s="8" t="s">
        <v>100</v>
      </c>
      <c r="C52" s="9" t="s">
        <v>101</v>
      </c>
      <c r="D52">
        <v>8.0400000000000027</v>
      </c>
      <c r="E52" s="10">
        <f t="shared" si="0"/>
        <v>5.436745093743261E-4</v>
      </c>
    </row>
    <row r="53" spans="2:5" ht="17">
      <c r="B53" s="11" t="s">
        <v>102</v>
      </c>
      <c r="C53" s="12" t="s">
        <v>103</v>
      </c>
      <c r="D53" s="26">
        <v>14788.260000000058</v>
      </c>
      <c r="E53" s="14">
        <f t="shared" si="0"/>
        <v>1</v>
      </c>
    </row>
  </sheetData>
  <mergeCells count="1">
    <mergeCell ref="G7:M12"/>
  </mergeCells>
  <hyperlinks>
    <hyperlink ref="H5" r:id="rId1" display="Estimated Use of Water in the United States County-Level Data for 2015" xr:uid="{505CDA08-5D5E-AB4C-9BA4-8A9A8AAE08E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77F6-0621-1C4E-AF80-DBDF2856A557}">
  <dimension ref="A1:Z53"/>
  <sheetViews>
    <sheetView workbookViewId="0">
      <selection activeCell="K32" sqref="K3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148</v>
      </c>
    </row>
    <row r="4" spans="1:26" ht="17">
      <c r="B4" s="4" t="s">
        <v>2</v>
      </c>
      <c r="C4" s="5" t="s">
        <v>3</v>
      </c>
      <c r="D4" s="6" t="s">
        <v>104</v>
      </c>
      <c r="E4" s="7" t="s">
        <v>5</v>
      </c>
      <c r="G4" s="15" t="s">
        <v>106</v>
      </c>
      <c r="H4" t="s">
        <v>149</v>
      </c>
    </row>
    <row r="5" spans="1:26" ht="17">
      <c r="B5" s="8" t="s">
        <v>6</v>
      </c>
      <c r="C5" s="9" t="s">
        <v>7</v>
      </c>
      <c r="D5">
        <v>761.52999999999975</v>
      </c>
      <c r="E5" s="10">
        <f>D5/D$53</f>
        <v>2.0012514226983687E-2</v>
      </c>
      <c r="G5" s="15" t="s">
        <v>105</v>
      </c>
      <c r="H5" s="17" t="s">
        <v>138</v>
      </c>
    </row>
    <row r="6" spans="1:26" ht="17" customHeight="1">
      <c r="B6" s="8" t="s">
        <v>8</v>
      </c>
      <c r="C6" s="9" t="s">
        <v>9</v>
      </c>
      <c r="D6">
        <v>1195.1500000000001</v>
      </c>
      <c r="E6" s="10">
        <f t="shared" ref="E6:E53" si="0">D6/D$53</f>
        <v>3.1407766441741709E-2</v>
      </c>
      <c r="G6" s="15"/>
    </row>
    <row r="7" spans="1:26" ht="17" customHeight="1">
      <c r="B7" s="8" t="s">
        <v>10</v>
      </c>
      <c r="C7" s="9" t="s">
        <v>11</v>
      </c>
      <c r="D7">
        <v>363.06</v>
      </c>
      <c r="E7" s="10">
        <f t="shared" si="0"/>
        <v>9.5409812026429688E-3</v>
      </c>
      <c r="G7" s="38" t="s">
        <v>150</v>
      </c>
      <c r="H7" s="38"/>
      <c r="I7" s="38"/>
      <c r="J7" s="38"/>
      <c r="K7" s="38"/>
      <c r="L7" s="38"/>
      <c r="M7" s="38"/>
    </row>
    <row r="8" spans="1:26" ht="17" customHeight="1">
      <c r="B8" s="8" t="s">
        <v>12</v>
      </c>
      <c r="C8" s="9" t="s">
        <v>13</v>
      </c>
      <c r="D8">
        <v>5147.74</v>
      </c>
      <c r="E8" s="10">
        <f t="shared" si="0"/>
        <v>0.13527926672201099</v>
      </c>
      <c r="G8" s="38"/>
      <c r="H8" s="38"/>
      <c r="I8" s="38"/>
      <c r="J8" s="38"/>
      <c r="K8" s="38"/>
      <c r="L8" s="38"/>
      <c r="M8" s="38"/>
    </row>
    <row r="9" spans="1:26" ht="17" customHeight="1">
      <c r="B9" s="8" t="s">
        <v>14</v>
      </c>
      <c r="C9" s="9" t="s">
        <v>15</v>
      </c>
      <c r="D9">
        <v>843.94999999999993</v>
      </c>
      <c r="E9" s="10">
        <f t="shared" si="0"/>
        <v>2.2178458342892449E-2</v>
      </c>
      <c r="G9" s="38"/>
      <c r="H9" s="38"/>
      <c r="I9" s="38"/>
      <c r="J9" s="38"/>
      <c r="K9" s="38"/>
      <c r="L9" s="38"/>
      <c r="M9" s="38"/>
    </row>
    <row r="10" spans="1:26" ht="17" customHeight="1">
      <c r="B10" s="8" t="s">
        <v>16</v>
      </c>
      <c r="C10" s="9" t="s">
        <v>17</v>
      </c>
      <c r="D10">
        <v>239.93000000000004</v>
      </c>
      <c r="E10" s="10">
        <f t="shared" si="0"/>
        <v>6.3052047043191967E-3</v>
      </c>
      <c r="G10" s="38"/>
      <c r="H10" s="38"/>
      <c r="I10" s="38"/>
      <c r="J10" s="38"/>
      <c r="K10" s="38"/>
      <c r="L10" s="38"/>
      <c r="M10" s="38"/>
    </row>
    <row r="11" spans="1:26" ht="17" customHeight="1">
      <c r="B11" s="8" t="s">
        <v>18</v>
      </c>
      <c r="C11" s="9" t="s">
        <v>19</v>
      </c>
      <c r="D11">
        <v>86.35</v>
      </c>
      <c r="E11" s="10">
        <f t="shared" si="0"/>
        <v>2.2692219656481579E-3</v>
      </c>
      <c r="G11" s="38"/>
      <c r="H11" s="38"/>
      <c r="I11" s="38"/>
      <c r="J11" s="38"/>
      <c r="K11" s="38"/>
      <c r="L11" s="38"/>
      <c r="M11" s="38"/>
    </row>
    <row r="12" spans="1:26" ht="17" customHeight="1">
      <c r="B12" s="8" t="s">
        <v>20</v>
      </c>
      <c r="C12" s="9" t="s">
        <v>21</v>
      </c>
      <c r="D12">
        <v>2384.8499999999995</v>
      </c>
      <c r="E12" s="10">
        <f t="shared" si="0"/>
        <v>6.2672310420104321E-2</v>
      </c>
      <c r="G12" s="38"/>
      <c r="H12" s="38"/>
      <c r="I12" s="38"/>
      <c r="J12" s="38"/>
      <c r="K12" s="38"/>
      <c r="L12" s="38"/>
      <c r="M12" s="38"/>
    </row>
    <row r="13" spans="1:26" ht="17" customHeight="1">
      <c r="B13" s="8" t="s">
        <v>22</v>
      </c>
      <c r="C13" s="9" t="s">
        <v>23</v>
      </c>
      <c r="D13">
        <v>1069.9799999999998</v>
      </c>
      <c r="E13" s="10">
        <f t="shared" si="0"/>
        <v>2.8118380067217324E-2</v>
      </c>
      <c r="H13" s="16"/>
      <c r="I13" s="16"/>
      <c r="J13" s="16"/>
      <c r="K13" s="16"/>
      <c r="L13" s="16"/>
    </row>
    <row r="14" spans="1:26" ht="17">
      <c r="B14" s="8" t="s">
        <v>24</v>
      </c>
      <c r="C14" s="9" t="s">
        <v>25</v>
      </c>
      <c r="D14">
        <v>275.78999999999991</v>
      </c>
      <c r="E14" s="10">
        <f t="shared" si="0"/>
        <v>7.247582234002378E-3</v>
      </c>
      <c r="H14" s="16"/>
      <c r="I14" s="16"/>
      <c r="J14" s="16"/>
      <c r="K14" s="16"/>
      <c r="L14" s="16"/>
    </row>
    <row r="15" spans="1:26" ht="17">
      <c r="B15" s="8" t="s">
        <v>26</v>
      </c>
      <c r="C15" s="9" t="s">
        <v>27</v>
      </c>
      <c r="D15">
        <v>1475.6600000000005</v>
      </c>
      <c r="E15" s="10">
        <f t="shared" si="0"/>
        <v>3.8779387212835692E-2</v>
      </c>
      <c r="H15" s="16"/>
      <c r="I15" s="16"/>
      <c r="J15" s="16"/>
      <c r="K15" s="16"/>
      <c r="L15" s="16"/>
    </row>
    <row r="16" spans="1:26" ht="17">
      <c r="B16" s="8" t="s">
        <v>28</v>
      </c>
      <c r="C16" s="9" t="s">
        <v>29</v>
      </c>
      <c r="D16">
        <v>627.84000000000026</v>
      </c>
      <c r="E16" s="10">
        <f t="shared" si="0"/>
        <v>1.6499227781268562E-2</v>
      </c>
      <c r="H16" s="16"/>
      <c r="I16" s="16"/>
      <c r="J16" s="16"/>
      <c r="K16" s="16"/>
      <c r="L16" s="16"/>
    </row>
    <row r="17" spans="2:5" ht="17">
      <c r="B17" s="8" t="s">
        <v>30</v>
      </c>
      <c r="C17" s="9" t="s">
        <v>31</v>
      </c>
      <c r="D17">
        <v>390.37999999999994</v>
      </c>
      <c r="E17" s="10">
        <f t="shared" si="0"/>
        <v>1.0258933074113814E-2</v>
      </c>
    </row>
    <row r="18" spans="2:5" ht="17">
      <c r="B18" s="8" t="s">
        <v>32</v>
      </c>
      <c r="C18" s="9" t="s">
        <v>33</v>
      </c>
      <c r="D18">
        <v>351.15000000000015</v>
      </c>
      <c r="E18" s="10">
        <f t="shared" si="0"/>
        <v>9.2279941312953216E-3</v>
      </c>
    </row>
    <row r="19" spans="2:5" ht="17">
      <c r="B19" s="8" t="s">
        <v>34</v>
      </c>
      <c r="C19" s="9" t="s">
        <v>35</v>
      </c>
      <c r="D19">
        <v>552.83000000000004</v>
      </c>
      <c r="E19" s="10">
        <f t="shared" si="0"/>
        <v>1.4528013656853172E-2</v>
      </c>
    </row>
    <row r="20" spans="2:5" ht="17">
      <c r="B20" s="8" t="s">
        <v>36</v>
      </c>
      <c r="C20" s="9" t="s">
        <v>37</v>
      </c>
      <c r="D20">
        <v>708.92</v>
      </c>
      <c r="E20" s="10">
        <f t="shared" si="0"/>
        <v>1.8629957566731813E-2</v>
      </c>
    </row>
    <row r="21" spans="2:5" ht="17">
      <c r="B21" s="8" t="s">
        <v>38</v>
      </c>
      <c r="C21" s="9" t="s">
        <v>39</v>
      </c>
      <c r="D21">
        <v>84.969999999999985</v>
      </c>
      <c r="E21" s="10">
        <f t="shared" si="0"/>
        <v>2.2329564611595133E-3</v>
      </c>
    </row>
    <row r="22" spans="2:5" ht="17">
      <c r="B22" s="8" t="s">
        <v>40</v>
      </c>
      <c r="C22" s="9" t="s">
        <v>41</v>
      </c>
      <c r="D22">
        <v>749.51999999999987</v>
      </c>
      <c r="E22" s="10">
        <f t="shared" si="0"/>
        <v>1.9696899220528166E-2</v>
      </c>
    </row>
    <row r="23" spans="2:5" ht="17">
      <c r="B23" s="8" t="s">
        <v>42</v>
      </c>
      <c r="C23" s="9" t="s">
        <v>43</v>
      </c>
      <c r="D23">
        <v>648.05999999999995</v>
      </c>
      <c r="E23" s="10">
        <f t="shared" si="0"/>
        <v>1.7030596260080431E-2</v>
      </c>
    </row>
    <row r="24" spans="2:5" ht="17">
      <c r="B24" s="8" t="s">
        <v>44</v>
      </c>
      <c r="C24" s="9" t="s">
        <v>45</v>
      </c>
      <c r="D24">
        <v>1030.4399999999998</v>
      </c>
      <c r="E24" s="10">
        <f t="shared" si="0"/>
        <v>2.7079294525564419E-2</v>
      </c>
    </row>
    <row r="25" spans="2:5" ht="17">
      <c r="B25" s="8" t="s">
        <v>46</v>
      </c>
      <c r="C25" s="9" t="s">
        <v>47</v>
      </c>
      <c r="D25">
        <v>515.24</v>
      </c>
      <c r="E25" s="10">
        <f t="shared" si="0"/>
        <v>1.3540172849803788E-2</v>
      </c>
    </row>
    <row r="26" spans="2:5" ht="17">
      <c r="B26" s="8" t="s">
        <v>48</v>
      </c>
      <c r="C26" s="9" t="s">
        <v>49</v>
      </c>
      <c r="D26">
        <v>400.35999999999996</v>
      </c>
      <c r="E26" s="10">
        <f t="shared" si="0"/>
        <v>1.052120099787952E-2</v>
      </c>
    </row>
    <row r="27" spans="2:5" ht="17">
      <c r="B27" s="8" t="s">
        <v>50</v>
      </c>
      <c r="C27" s="9" t="s">
        <v>51</v>
      </c>
      <c r="D27">
        <v>797.09</v>
      </c>
      <c r="E27" s="10">
        <f t="shared" si="0"/>
        <v>2.0947007951343258E-2</v>
      </c>
    </row>
    <row r="28" spans="2:5" ht="17">
      <c r="B28" s="8" t="s">
        <v>52</v>
      </c>
      <c r="C28" s="9" t="s">
        <v>53</v>
      </c>
      <c r="D28">
        <v>153.18999999999997</v>
      </c>
      <c r="E28" s="10">
        <f t="shared" si="0"/>
        <v>4.0257337917503329E-3</v>
      </c>
    </row>
    <row r="29" spans="2:5" ht="17">
      <c r="B29" s="8" t="s">
        <v>54</v>
      </c>
      <c r="C29" s="9" t="s">
        <v>55</v>
      </c>
      <c r="D29">
        <v>275.18000000000018</v>
      </c>
      <c r="E29" s="10">
        <f t="shared" si="0"/>
        <v>7.2315518298443609E-3</v>
      </c>
    </row>
    <row r="30" spans="2:5" ht="17">
      <c r="B30" s="8" t="s">
        <v>56</v>
      </c>
      <c r="C30" s="9" t="s">
        <v>57</v>
      </c>
      <c r="D30">
        <v>531.25</v>
      </c>
      <c r="E30" s="10">
        <f t="shared" si="0"/>
        <v>1.3960905260574221E-2</v>
      </c>
    </row>
    <row r="31" spans="2:5" ht="17">
      <c r="B31" s="8" t="s">
        <v>58</v>
      </c>
      <c r="C31" s="9" t="s">
        <v>59</v>
      </c>
      <c r="D31">
        <v>95.52</v>
      </c>
      <c r="E31" s="10">
        <f t="shared" si="0"/>
        <v>2.5102036150400934E-3</v>
      </c>
    </row>
    <row r="32" spans="2:5" ht="17">
      <c r="B32" s="8" t="s">
        <v>60</v>
      </c>
      <c r="C32" s="9" t="s">
        <v>61</v>
      </c>
      <c r="D32">
        <v>1175.42</v>
      </c>
      <c r="E32" s="10">
        <f t="shared" si="0"/>
        <v>3.0889274844958403E-2</v>
      </c>
    </row>
    <row r="33" spans="2:5" ht="17">
      <c r="B33" s="8" t="s">
        <v>62</v>
      </c>
      <c r="C33" s="9" t="s">
        <v>63</v>
      </c>
      <c r="D33">
        <v>261.79000000000002</v>
      </c>
      <c r="E33" s="10">
        <f t="shared" si="0"/>
        <v>6.8796713189001896E-3</v>
      </c>
    </row>
    <row r="34" spans="2:5" ht="17">
      <c r="B34" s="8" t="s">
        <v>64</v>
      </c>
      <c r="C34" s="9" t="s">
        <v>65</v>
      </c>
      <c r="D34">
        <v>2424.65</v>
      </c>
      <c r="E34" s="10">
        <f t="shared" si="0"/>
        <v>6.3718228593037718E-2</v>
      </c>
    </row>
    <row r="35" spans="2:5" ht="17">
      <c r="B35" s="8" t="s">
        <v>66</v>
      </c>
      <c r="C35" s="9" t="s">
        <v>67</v>
      </c>
      <c r="D35">
        <v>938.00999999999954</v>
      </c>
      <c r="E35" s="10">
        <f t="shared" si="0"/>
        <v>2.4650294105357587E-2</v>
      </c>
    </row>
    <row r="36" spans="2:5" ht="17">
      <c r="B36" s="8" t="s">
        <v>68</v>
      </c>
      <c r="C36" s="9" t="s">
        <v>69</v>
      </c>
      <c r="D36">
        <v>84.18</v>
      </c>
      <c r="E36" s="10">
        <f t="shared" si="0"/>
        <v>2.2121957738073187E-3</v>
      </c>
    </row>
    <row r="37" spans="2:5" ht="17">
      <c r="B37" s="8" t="s">
        <v>70</v>
      </c>
      <c r="C37" s="9" t="s">
        <v>71</v>
      </c>
      <c r="D37">
        <v>1306.28</v>
      </c>
      <c r="E37" s="10">
        <f t="shared" si="0"/>
        <v>3.432819072712074E-2</v>
      </c>
    </row>
    <row r="38" spans="2:5" ht="17">
      <c r="B38" s="8" t="s">
        <v>72</v>
      </c>
      <c r="C38" s="9" t="s">
        <v>73</v>
      </c>
      <c r="D38">
        <v>611.2399999999999</v>
      </c>
      <c r="E38" s="10">
        <f t="shared" si="0"/>
        <v>1.6062990553361668E-2</v>
      </c>
    </row>
    <row r="39" spans="2:5" ht="17">
      <c r="B39" s="8" t="s">
        <v>74</v>
      </c>
      <c r="C39" s="9" t="s">
        <v>75</v>
      </c>
      <c r="D39">
        <v>567.04</v>
      </c>
      <c r="E39" s="10">
        <f t="shared" si="0"/>
        <v>1.4901443235681894E-2</v>
      </c>
    </row>
    <row r="40" spans="2:5" ht="17">
      <c r="B40" s="8" t="s">
        <v>76</v>
      </c>
      <c r="C40" s="9" t="s">
        <v>77</v>
      </c>
      <c r="D40">
        <v>1391.7000000000005</v>
      </c>
      <c r="E40" s="10">
        <f t="shared" si="0"/>
        <v>3.6572972896265696E-2</v>
      </c>
    </row>
    <row r="41" spans="2:5" ht="17">
      <c r="B41" s="8" t="s">
        <v>78</v>
      </c>
      <c r="C41" s="9" t="s">
        <v>79</v>
      </c>
      <c r="D41">
        <v>97.460000000000008</v>
      </c>
      <c r="E41" s="10">
        <f t="shared" si="0"/>
        <v>2.5611855561328257E-3</v>
      </c>
    </row>
    <row r="42" spans="2:5" ht="17">
      <c r="B42" s="8" t="s">
        <v>80</v>
      </c>
      <c r="C42" s="9" t="s">
        <v>81</v>
      </c>
      <c r="D42">
        <v>633.3900000000001</v>
      </c>
      <c r="E42" s="10">
        <f t="shared" si="0"/>
        <v>1.6645078179755496E-2</v>
      </c>
    </row>
    <row r="43" spans="2:5" ht="17">
      <c r="B43" s="8" t="s">
        <v>82</v>
      </c>
      <c r="C43" s="9" t="s">
        <v>83</v>
      </c>
      <c r="D43">
        <v>71.95</v>
      </c>
      <c r="E43" s="10">
        <f t="shared" si="0"/>
        <v>1.8907993101144758E-3</v>
      </c>
    </row>
    <row r="44" spans="2:5" ht="17">
      <c r="B44" s="8" t="s">
        <v>84</v>
      </c>
      <c r="C44" s="9" t="s">
        <v>85</v>
      </c>
      <c r="D44">
        <v>849.69</v>
      </c>
      <c r="E44" s="10">
        <f t="shared" si="0"/>
        <v>2.232930181808435E-2</v>
      </c>
    </row>
    <row r="45" spans="2:5" ht="17">
      <c r="B45" s="8" t="s">
        <v>86</v>
      </c>
      <c r="C45" s="9" t="s">
        <v>87</v>
      </c>
      <c r="D45">
        <v>2885.329999999999</v>
      </c>
      <c r="E45" s="10">
        <f t="shared" si="0"/>
        <v>7.5824600047986079E-2</v>
      </c>
    </row>
    <row r="46" spans="2:5" ht="17">
      <c r="B46" s="8" t="s">
        <v>88</v>
      </c>
      <c r="C46" s="9" t="s">
        <v>89</v>
      </c>
      <c r="D46">
        <v>626.52</v>
      </c>
      <c r="E46" s="10">
        <f t="shared" si="0"/>
        <v>1.6464539037844634E-2</v>
      </c>
    </row>
    <row r="47" spans="2:5" ht="17">
      <c r="B47" s="8" t="s">
        <v>90</v>
      </c>
      <c r="C47" s="9" t="s">
        <v>91</v>
      </c>
      <c r="D47">
        <v>42.660000000000004</v>
      </c>
      <c r="E47" s="10">
        <f t="shared" si="0"/>
        <v>1.1210771170185342E-3</v>
      </c>
    </row>
    <row r="48" spans="2:5" ht="17">
      <c r="B48" s="8" t="s">
        <v>92</v>
      </c>
      <c r="C48" s="9" t="s">
        <v>93</v>
      </c>
      <c r="D48">
        <v>697.23000000000013</v>
      </c>
      <c r="E48" s="10">
        <f t="shared" si="0"/>
        <v>1.832275195262149E-2</v>
      </c>
    </row>
    <row r="49" spans="2:5" ht="17">
      <c r="B49" s="8" t="s">
        <v>94</v>
      </c>
      <c r="C49" s="9" t="s">
        <v>95</v>
      </c>
      <c r="D49">
        <v>866.52999999999986</v>
      </c>
      <c r="E49" s="10">
        <f t="shared" si="0"/>
        <v>2.2771846090250125E-2</v>
      </c>
    </row>
    <row r="50" spans="2:5" ht="17">
      <c r="B50" s="8" t="s">
        <v>96</v>
      </c>
      <c r="C50" s="9" t="s">
        <v>97</v>
      </c>
      <c r="D50">
        <v>184.96</v>
      </c>
      <c r="E50" s="10">
        <f t="shared" si="0"/>
        <v>4.8606287755215208E-3</v>
      </c>
    </row>
    <row r="51" spans="2:5" ht="17">
      <c r="B51" s="8" t="s">
        <v>98</v>
      </c>
      <c r="C51" s="9" t="s">
        <v>99</v>
      </c>
      <c r="D51">
        <v>479.38</v>
      </c>
      <c r="E51" s="10">
        <f t="shared" si="0"/>
        <v>1.2597795320120602E-2</v>
      </c>
    </row>
    <row r="52" spans="2:5" ht="17">
      <c r="B52" s="8" t="s">
        <v>100</v>
      </c>
      <c r="C52" s="9" t="s">
        <v>101</v>
      </c>
      <c r="D52">
        <v>101.35000000000001</v>
      </c>
      <c r="E52" s="10">
        <f t="shared" si="0"/>
        <v>2.6634122318290776E-3</v>
      </c>
    </row>
    <row r="53" spans="2:5" ht="17">
      <c r="B53" s="11" t="s">
        <v>102</v>
      </c>
      <c r="C53" s="12" t="s">
        <v>103</v>
      </c>
      <c r="D53" s="13">
        <v>38052.689999999995</v>
      </c>
      <c r="E53" s="14">
        <f t="shared" si="0"/>
        <v>1</v>
      </c>
    </row>
  </sheetData>
  <mergeCells count="1">
    <mergeCell ref="G7:M12"/>
  </mergeCells>
  <hyperlinks>
    <hyperlink ref="H5" r:id="rId1" display="Estimated Use of Water in the United States County-Level Data for 2015" xr:uid="{8562C2E9-60B1-D746-9DE7-7362BBCC4E2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C34E-AAD9-884D-A55D-651E3743988D}">
  <dimension ref="A1:Z53"/>
  <sheetViews>
    <sheetView workbookViewId="0">
      <selection activeCell="M33" sqref="M3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151</v>
      </c>
    </row>
    <row r="4" spans="1:26" ht="17">
      <c r="B4" s="4" t="s">
        <v>2</v>
      </c>
      <c r="C4" s="5" t="s">
        <v>3</v>
      </c>
      <c r="D4" s="6" t="s">
        <v>104</v>
      </c>
      <c r="E4" s="7" t="s">
        <v>5</v>
      </c>
      <c r="G4" s="15" t="s">
        <v>106</v>
      </c>
      <c r="H4" t="s">
        <v>152</v>
      </c>
    </row>
    <row r="5" spans="1:26" ht="17">
      <c r="B5" s="8" t="s">
        <v>6</v>
      </c>
      <c r="C5" s="9" t="s">
        <v>7</v>
      </c>
      <c r="D5">
        <v>871.35500000000036</v>
      </c>
      <c r="E5" s="10">
        <f t="shared" ref="E5:E13" si="0">D5/D$53</f>
        <v>1.7449932538729646E-2</v>
      </c>
      <c r="G5" s="15" t="s">
        <v>105</v>
      </c>
      <c r="H5" s="17" t="s">
        <v>153</v>
      </c>
    </row>
    <row r="6" spans="1:26" ht="17" customHeight="1">
      <c r="B6" s="8" t="s">
        <v>8</v>
      </c>
      <c r="C6" s="9" t="s">
        <v>9</v>
      </c>
      <c r="D6">
        <v>866.71700000000044</v>
      </c>
      <c r="E6" s="10">
        <f t="shared" si="0"/>
        <v>1.7357051006960587E-2</v>
      </c>
      <c r="G6" s="15"/>
    </row>
    <row r="7" spans="1:26" ht="17" customHeight="1">
      <c r="B7" s="8" t="s">
        <v>10</v>
      </c>
      <c r="C7" s="9" t="s">
        <v>11</v>
      </c>
      <c r="D7">
        <v>507.77800000000019</v>
      </c>
      <c r="E7" s="10">
        <f t="shared" si="0"/>
        <v>1.0168865553822565E-2</v>
      </c>
      <c r="G7" s="38" t="s">
        <v>154</v>
      </c>
      <c r="H7" s="38"/>
      <c r="I7" s="38"/>
      <c r="J7" s="38"/>
      <c r="K7" s="38"/>
      <c r="L7" s="38"/>
      <c r="M7" s="38"/>
    </row>
    <row r="8" spans="1:26" ht="17" customHeight="1">
      <c r="B8" s="8" t="s">
        <v>12</v>
      </c>
      <c r="C8" s="9" t="s">
        <v>13</v>
      </c>
      <c r="D8">
        <v>5062.1099999999997</v>
      </c>
      <c r="E8" s="10">
        <f t="shared" si="0"/>
        <v>0.10137484492959664</v>
      </c>
      <c r="G8" s="38"/>
      <c r="H8" s="38"/>
      <c r="I8" s="38"/>
      <c r="J8" s="38"/>
      <c r="K8" s="38"/>
      <c r="L8" s="38"/>
      <c r="M8" s="38"/>
    </row>
    <row r="9" spans="1:26" ht="17" customHeight="1">
      <c r="B9" s="8" t="s">
        <v>14</v>
      </c>
      <c r="C9" s="9" t="s">
        <v>15</v>
      </c>
      <c r="D9">
        <v>867.87099999999907</v>
      </c>
      <c r="E9" s="10">
        <f t="shared" si="0"/>
        <v>1.7380161245783652E-2</v>
      </c>
      <c r="G9" s="38"/>
      <c r="H9" s="38"/>
      <c r="I9" s="38"/>
      <c r="J9" s="38"/>
      <c r="K9" s="38"/>
      <c r="L9" s="38"/>
      <c r="M9" s="38"/>
    </row>
    <row r="10" spans="1:26" ht="17" customHeight="1">
      <c r="B10" s="8" t="s">
        <v>16</v>
      </c>
      <c r="C10" s="9" t="s">
        <v>17</v>
      </c>
      <c r="D10">
        <v>571.7410000000001</v>
      </c>
      <c r="E10" s="10">
        <f t="shared" si="0"/>
        <v>1.1449801607411242E-2</v>
      </c>
      <c r="G10" s="38"/>
      <c r="H10" s="38"/>
      <c r="I10" s="38"/>
      <c r="J10" s="38"/>
      <c r="K10" s="38"/>
      <c r="L10" s="38"/>
      <c r="M10" s="38"/>
    </row>
    <row r="11" spans="1:26" ht="17" customHeight="1">
      <c r="B11" s="8" t="s">
        <v>18</v>
      </c>
      <c r="C11" s="9" t="s">
        <v>19</v>
      </c>
      <c r="D11">
        <v>152.934</v>
      </c>
      <c r="E11" s="10">
        <f t="shared" si="0"/>
        <v>3.0626874039605882E-3</v>
      </c>
      <c r="G11" s="38"/>
      <c r="H11" s="38"/>
      <c r="I11" s="38"/>
      <c r="J11" s="38"/>
      <c r="K11" s="38"/>
      <c r="L11" s="38"/>
      <c r="M11" s="38"/>
    </row>
    <row r="12" spans="1:26" ht="17" customHeight="1">
      <c r="B12" s="8" t="s">
        <v>20</v>
      </c>
      <c r="C12" s="9" t="s">
        <v>21</v>
      </c>
      <c r="D12">
        <v>2473.398000000001</v>
      </c>
      <c r="E12" s="10">
        <f t="shared" si="0"/>
        <v>4.9532771650393728E-2</v>
      </c>
      <c r="G12" s="38"/>
      <c r="H12" s="38"/>
      <c r="I12" s="38"/>
      <c r="J12" s="38"/>
      <c r="K12" s="38"/>
      <c r="L12" s="38"/>
      <c r="M12" s="38"/>
    </row>
    <row r="13" spans="1:26" ht="17" customHeight="1">
      <c r="B13" s="8" t="s">
        <v>22</v>
      </c>
      <c r="C13" s="9" t="s">
        <v>23</v>
      </c>
      <c r="D13">
        <v>1641.1959999999985</v>
      </c>
      <c r="E13" s="10">
        <f t="shared" si="0"/>
        <v>3.2866925056759762E-2</v>
      </c>
      <c r="H13" s="16"/>
      <c r="I13" s="16"/>
      <c r="J13" s="16"/>
      <c r="K13" s="16"/>
      <c r="L13" s="16"/>
    </row>
    <row r="14" spans="1:26" ht="17">
      <c r="B14" s="8" t="s">
        <v>24</v>
      </c>
      <c r="C14" s="9" t="s">
        <v>25</v>
      </c>
      <c r="D14">
        <v>230.54999999999993</v>
      </c>
      <c r="E14" s="10">
        <f t="shared" ref="E14:E53" si="1">D14/D$53</f>
        <v>4.6170412137465401E-3</v>
      </c>
      <c r="H14" s="16"/>
      <c r="I14" s="16"/>
      <c r="J14" s="16"/>
      <c r="K14" s="16"/>
      <c r="L14" s="16"/>
    </row>
    <row r="15" spans="1:26" ht="17">
      <c r="B15" s="8" t="s">
        <v>26</v>
      </c>
      <c r="C15" s="9" t="s">
        <v>27</v>
      </c>
      <c r="D15">
        <v>3320.9989999999962</v>
      </c>
      <c r="E15" s="10">
        <f t="shared" si="1"/>
        <v>6.6507001751511752E-2</v>
      </c>
      <c r="H15" s="16"/>
      <c r="I15" s="16"/>
      <c r="J15" s="16"/>
      <c r="K15" s="16"/>
      <c r="L15" s="16"/>
    </row>
    <row r="16" spans="1:26" ht="17">
      <c r="B16" s="8" t="s">
        <v>28</v>
      </c>
      <c r="C16" s="9" t="s">
        <v>29</v>
      </c>
      <c r="D16">
        <v>1204.031999999999</v>
      </c>
      <c r="E16" s="10">
        <f t="shared" si="1"/>
        <v>2.4112189835912692E-2</v>
      </c>
      <c r="H16" s="16"/>
      <c r="I16" s="16"/>
      <c r="J16" s="16"/>
      <c r="K16" s="16"/>
      <c r="L16" s="16"/>
    </row>
    <row r="17" spans="2:5" ht="17">
      <c r="B17" s="8" t="s">
        <v>30</v>
      </c>
      <c r="C17" s="9" t="s">
        <v>31</v>
      </c>
      <c r="D17">
        <v>807.5969999999985</v>
      </c>
      <c r="E17" s="10">
        <f t="shared" si="1"/>
        <v>1.6173101856855603E-2</v>
      </c>
    </row>
    <row r="18" spans="2:5" ht="17">
      <c r="B18" s="8" t="s">
        <v>32</v>
      </c>
      <c r="C18" s="9" t="s">
        <v>33</v>
      </c>
      <c r="D18">
        <v>462.20899999999995</v>
      </c>
      <c r="E18" s="10">
        <f t="shared" si="1"/>
        <v>9.2562914871592936E-3</v>
      </c>
    </row>
    <row r="19" spans="2:5" ht="17">
      <c r="B19" s="8" t="s">
        <v>34</v>
      </c>
      <c r="C19" s="9" t="s">
        <v>35</v>
      </c>
      <c r="D19">
        <v>673.0400000000003</v>
      </c>
      <c r="E19" s="10">
        <f t="shared" si="1"/>
        <v>1.3478435994361196E-2</v>
      </c>
    </row>
    <row r="20" spans="2:5" ht="17">
      <c r="B20" s="8" t="s">
        <v>36</v>
      </c>
      <c r="C20" s="9" t="s">
        <v>37</v>
      </c>
      <c r="D20">
        <v>664.5200000000001</v>
      </c>
      <c r="E20" s="10">
        <f t="shared" si="1"/>
        <v>1.3307812740658653E-2</v>
      </c>
    </row>
    <row r="21" spans="2:5" ht="17">
      <c r="B21" s="8" t="s">
        <v>38</v>
      </c>
      <c r="C21" s="9" t="s">
        <v>39</v>
      </c>
      <c r="D21">
        <v>188.51800000000006</v>
      </c>
      <c r="E21" s="10">
        <f t="shared" si="1"/>
        <v>3.7752998288140137E-3</v>
      </c>
    </row>
    <row r="22" spans="2:5" ht="17">
      <c r="B22" s="8" t="s">
        <v>40</v>
      </c>
      <c r="C22" s="9" t="s">
        <v>41</v>
      </c>
      <c r="D22">
        <v>647.43299999999999</v>
      </c>
      <c r="E22" s="10">
        <f t="shared" si="1"/>
        <v>1.2965625001689719E-2</v>
      </c>
    </row>
    <row r="23" spans="2:5" ht="17">
      <c r="B23" s="8" t="s">
        <v>42</v>
      </c>
      <c r="C23" s="9" t="s">
        <v>43</v>
      </c>
      <c r="D23">
        <v>961.69099999999992</v>
      </c>
      <c r="E23" s="10">
        <f t="shared" si="1"/>
        <v>1.9259019656860225E-2</v>
      </c>
    </row>
    <row r="24" spans="2:5" ht="17">
      <c r="B24" s="8" t="s">
        <v>44</v>
      </c>
      <c r="C24" s="9" t="s">
        <v>45</v>
      </c>
      <c r="D24">
        <v>2038.6350000000004</v>
      </c>
      <c r="E24" s="10">
        <f t="shared" si="1"/>
        <v>4.0826119344117041E-2</v>
      </c>
    </row>
    <row r="25" spans="2:5" ht="17">
      <c r="B25" s="8" t="s">
        <v>46</v>
      </c>
      <c r="C25" s="9" t="s">
        <v>47</v>
      </c>
      <c r="D25">
        <v>818.52699999999891</v>
      </c>
      <c r="E25" s="10">
        <f t="shared" si="1"/>
        <v>1.6391988260959924E-2</v>
      </c>
    </row>
    <row r="26" spans="2:5" ht="17">
      <c r="B26" s="8" t="s">
        <v>48</v>
      </c>
      <c r="C26" s="9" t="s">
        <v>49</v>
      </c>
      <c r="D26">
        <v>193.27099999999999</v>
      </c>
      <c r="E26" s="10">
        <f t="shared" si="1"/>
        <v>3.8704843739839853E-3</v>
      </c>
    </row>
    <row r="27" spans="2:5" ht="17">
      <c r="B27" s="8" t="s">
        <v>50</v>
      </c>
      <c r="C27" s="9" t="s">
        <v>51</v>
      </c>
      <c r="D27">
        <v>1376.4349999999945</v>
      </c>
      <c r="E27" s="10">
        <f t="shared" si="1"/>
        <v>2.7564767395546284E-2</v>
      </c>
    </row>
    <row r="28" spans="2:5" ht="17">
      <c r="B28" s="8" t="s">
        <v>52</v>
      </c>
      <c r="C28" s="9" t="s">
        <v>53</v>
      </c>
      <c r="D28">
        <v>120.14000000000006</v>
      </c>
      <c r="E28" s="10">
        <f t="shared" si="1"/>
        <v>2.405948086833701E-3</v>
      </c>
    </row>
    <row r="29" spans="2:5" ht="17">
      <c r="B29" s="8" t="s">
        <v>54</v>
      </c>
      <c r="C29" s="9" t="s">
        <v>55</v>
      </c>
      <c r="D29">
        <v>225.65599999999998</v>
      </c>
      <c r="E29" s="10">
        <f t="shared" si="1"/>
        <v>4.5190329738850118E-3</v>
      </c>
    </row>
    <row r="30" spans="2:5" ht="17">
      <c r="B30" s="8" t="s">
        <v>56</v>
      </c>
      <c r="C30" s="9" t="s">
        <v>57</v>
      </c>
      <c r="D30">
        <v>198.99199999999999</v>
      </c>
      <c r="E30" s="10">
        <f t="shared" si="1"/>
        <v>3.985054284128613E-3</v>
      </c>
    </row>
    <row r="31" spans="2:5" ht="17">
      <c r="B31" s="8" t="s">
        <v>58</v>
      </c>
      <c r="C31" s="9" t="s">
        <v>59</v>
      </c>
      <c r="D31">
        <v>162.02599999999995</v>
      </c>
      <c r="E31" s="10">
        <f t="shared" si="1"/>
        <v>3.2447656460572413E-3</v>
      </c>
    </row>
    <row r="32" spans="2:5" ht="17">
      <c r="B32" s="8" t="s">
        <v>60</v>
      </c>
      <c r="C32" s="9" t="s">
        <v>61</v>
      </c>
      <c r="D32">
        <v>1498.5459999999998</v>
      </c>
      <c r="E32" s="10">
        <f t="shared" si="1"/>
        <v>3.0010187129451419E-2</v>
      </c>
    </row>
    <row r="33" spans="2:5" ht="17">
      <c r="B33" s="8" t="s">
        <v>62</v>
      </c>
      <c r="C33" s="9" t="s">
        <v>63</v>
      </c>
      <c r="D33">
        <v>197.71200000000002</v>
      </c>
      <c r="E33" s="10">
        <f t="shared" si="1"/>
        <v>3.9594207436662605E-3</v>
      </c>
    </row>
    <row r="34" spans="2:5" ht="17">
      <c r="B34" s="8" t="s">
        <v>64</v>
      </c>
      <c r="C34" s="9" t="s">
        <v>65</v>
      </c>
      <c r="D34">
        <v>3799.5699999999965</v>
      </c>
      <c r="E34" s="10">
        <f t="shared" si="1"/>
        <v>7.6090961980112476E-2</v>
      </c>
    </row>
    <row r="35" spans="2:5" ht="17">
      <c r="B35" s="8" t="s">
        <v>66</v>
      </c>
      <c r="C35" s="9" t="s">
        <v>67</v>
      </c>
      <c r="D35">
        <v>1283.8249999999991</v>
      </c>
      <c r="E35" s="10">
        <f t="shared" si="1"/>
        <v>2.5710140690688138E-2</v>
      </c>
    </row>
    <row r="36" spans="2:5" ht="17">
      <c r="B36" s="8" t="s">
        <v>68</v>
      </c>
      <c r="C36" s="9" t="s">
        <v>69</v>
      </c>
      <c r="D36">
        <v>69.8930000000001</v>
      </c>
      <c r="E36" s="10">
        <f t="shared" si="1"/>
        <v>1.399691440261928E-3</v>
      </c>
    </row>
    <row r="37" spans="2:5" ht="17">
      <c r="B37" s="8" t="s">
        <v>70</v>
      </c>
      <c r="C37" s="9" t="s">
        <v>71</v>
      </c>
      <c r="D37">
        <v>3108.6169999999997</v>
      </c>
      <c r="E37" s="10">
        <f t="shared" si="1"/>
        <v>6.2253796602702804E-2</v>
      </c>
    </row>
    <row r="38" spans="2:5" ht="17">
      <c r="B38" s="8" t="s">
        <v>72</v>
      </c>
      <c r="C38" s="9" t="s">
        <v>73</v>
      </c>
      <c r="D38">
        <v>517.49399999999923</v>
      </c>
      <c r="E38" s="10">
        <f t="shared" si="1"/>
        <v>1.0363440146894597E-2</v>
      </c>
    </row>
    <row r="39" spans="2:5" ht="17">
      <c r="B39" s="8" t="s">
        <v>74</v>
      </c>
      <c r="C39" s="9" t="s">
        <v>75</v>
      </c>
      <c r="D39">
        <v>571.37300000000005</v>
      </c>
      <c r="E39" s="10">
        <f t="shared" si="1"/>
        <v>1.1442431964528314E-2</v>
      </c>
    </row>
    <row r="40" spans="2:5" ht="17">
      <c r="B40" s="8" t="s">
        <v>76</v>
      </c>
      <c r="C40" s="9" t="s">
        <v>77</v>
      </c>
      <c r="D40">
        <v>1325.625</v>
      </c>
      <c r="E40" s="10">
        <f t="shared" si="1"/>
        <v>2.6547235996411882E-2</v>
      </c>
    </row>
    <row r="41" spans="2:5" ht="17">
      <c r="B41" s="8" t="s">
        <v>78</v>
      </c>
      <c r="C41" s="9" t="s">
        <v>79</v>
      </c>
      <c r="D41">
        <v>169.8</v>
      </c>
      <c r="E41" s="10">
        <f t="shared" si="1"/>
        <v>3.4004493519590668E-3</v>
      </c>
    </row>
    <row r="42" spans="2:5" ht="17">
      <c r="B42" s="8" t="s">
        <v>80</v>
      </c>
      <c r="C42" s="9" t="s">
        <v>81</v>
      </c>
      <c r="D42">
        <v>309.608</v>
      </c>
      <c r="E42" s="10">
        <f t="shared" si="1"/>
        <v>6.2002728089596152E-3</v>
      </c>
    </row>
    <row r="43" spans="2:5" ht="17">
      <c r="B43" s="8" t="s">
        <v>82</v>
      </c>
      <c r="C43" s="9" t="s">
        <v>83</v>
      </c>
      <c r="D43">
        <v>32.42799999999999</v>
      </c>
      <c r="E43" s="10">
        <f t="shared" si="1"/>
        <v>6.4940972665093386E-4</v>
      </c>
    </row>
    <row r="44" spans="2:5" ht="17">
      <c r="B44" s="8" t="s">
        <v>84</v>
      </c>
      <c r="C44" s="9" t="s">
        <v>85</v>
      </c>
      <c r="D44">
        <v>1177.4540000000009</v>
      </c>
      <c r="E44" s="10">
        <f t="shared" si="1"/>
        <v>2.3579933399656146E-2</v>
      </c>
    </row>
    <row r="45" spans="2:5" ht="17">
      <c r="B45" s="8" t="s">
        <v>86</v>
      </c>
      <c r="C45" s="9" t="s">
        <v>87</v>
      </c>
      <c r="D45">
        <v>4075.5489999999936</v>
      </c>
      <c r="E45" s="10">
        <f t="shared" si="1"/>
        <v>8.1617773592034162E-2</v>
      </c>
    </row>
    <row r="46" spans="2:5" ht="17">
      <c r="B46" s="8" t="s">
        <v>88</v>
      </c>
      <c r="C46" s="9" t="s">
        <v>89</v>
      </c>
      <c r="D46">
        <v>498.15800000000019</v>
      </c>
      <c r="E46" s="10">
        <f t="shared" si="1"/>
        <v>9.9762134762851895E-3</v>
      </c>
    </row>
    <row r="47" spans="2:5" ht="17">
      <c r="B47" s="8" t="s">
        <v>90</v>
      </c>
      <c r="C47" s="9" t="s">
        <v>91</v>
      </c>
      <c r="D47">
        <v>78.010000000000005</v>
      </c>
      <c r="E47" s="10">
        <f t="shared" si="1"/>
        <v>1.5622441339595218E-3</v>
      </c>
    </row>
    <row r="48" spans="2:5" ht="17">
      <c r="B48" s="8" t="s">
        <v>92</v>
      </c>
      <c r="C48" s="9" t="s">
        <v>93</v>
      </c>
      <c r="D48">
        <v>1291.348</v>
      </c>
      <c r="E48" s="10">
        <f t="shared" si="1"/>
        <v>2.5860797819514936E-2</v>
      </c>
    </row>
    <row r="49" spans="2:5" ht="17">
      <c r="B49" s="8" t="s">
        <v>94</v>
      </c>
      <c r="C49" s="9" t="s">
        <v>95</v>
      </c>
      <c r="D49">
        <v>1034.6890000000003</v>
      </c>
      <c r="E49" s="10">
        <f t="shared" si="1"/>
        <v>2.0720892458946854E-2</v>
      </c>
    </row>
    <row r="50" spans="2:5" ht="17">
      <c r="B50" s="8" t="s">
        <v>96</v>
      </c>
      <c r="C50" s="9" t="s">
        <v>97</v>
      </c>
      <c r="D50">
        <v>244.49800000000022</v>
      </c>
      <c r="E50" s="10">
        <f t="shared" si="1"/>
        <v>4.896366699972253E-3</v>
      </c>
    </row>
    <row r="51" spans="2:5" ht="17">
      <c r="B51" s="8" t="s">
        <v>98</v>
      </c>
      <c r="C51" s="9" t="s">
        <v>99</v>
      </c>
      <c r="D51">
        <v>1248.6639999999982</v>
      </c>
      <c r="E51" s="10">
        <f t="shared" si="1"/>
        <v>2.5005999349909363E-2</v>
      </c>
    </row>
    <row r="52" spans="2:5" ht="17">
      <c r="B52" s="8" t="s">
        <v>100</v>
      </c>
      <c r="C52" s="9" t="s">
        <v>101</v>
      </c>
      <c r="D52">
        <v>92.344999999999999</v>
      </c>
      <c r="E52" s="10">
        <f t="shared" si="1"/>
        <v>1.8493197609343933E-3</v>
      </c>
    </row>
    <row r="53" spans="2:5" ht="17">
      <c r="B53" s="11" t="s">
        <v>102</v>
      </c>
      <c r="C53" s="12" t="s">
        <v>103</v>
      </c>
      <c r="D53" s="13">
        <f>SUM(D5:D52)</f>
        <v>49934.576999999968</v>
      </c>
      <c r="E53" s="14">
        <f t="shared" si="1"/>
        <v>1</v>
      </c>
    </row>
  </sheetData>
  <mergeCells count="1">
    <mergeCell ref="G7:M12"/>
  </mergeCells>
  <hyperlinks>
    <hyperlink ref="H5" r:id="rId1" xr:uid="{AA6DA2BA-1C2E-2044-B2AB-D6A990F6CD45}"/>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D18AD-37A8-C544-A7EB-DB9511A3DC69}">
  <dimension ref="A1:Z55"/>
  <sheetViews>
    <sheetView workbookViewId="0">
      <selection activeCell="E43" sqref="E4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198</v>
      </c>
    </row>
    <row r="4" spans="1:26" ht="17">
      <c r="B4" s="4" t="s">
        <v>2</v>
      </c>
      <c r="C4" s="5" t="s">
        <v>3</v>
      </c>
      <c r="D4" s="6" t="s">
        <v>104</v>
      </c>
      <c r="E4" s="7" t="s">
        <v>5</v>
      </c>
      <c r="G4" s="15" t="s">
        <v>106</v>
      </c>
      <c r="H4" t="s">
        <v>199</v>
      </c>
    </row>
    <row r="5" spans="1:26" ht="17">
      <c r="B5" s="8" t="s">
        <v>6</v>
      </c>
      <c r="C5" s="9" t="s">
        <v>7</v>
      </c>
      <c r="D5">
        <v>44</v>
      </c>
      <c r="E5" s="10">
        <f>D5/D$53</f>
        <v>2.4719101123595504E-3</v>
      </c>
      <c r="G5" s="15" t="s">
        <v>105</v>
      </c>
      <c r="H5" s="17" t="s">
        <v>200</v>
      </c>
    </row>
    <row r="6" spans="1:26" ht="17" customHeight="1">
      <c r="B6" s="8" t="s">
        <v>8</v>
      </c>
      <c r="C6" s="9" t="s">
        <v>9</v>
      </c>
      <c r="D6">
        <v>1</v>
      </c>
      <c r="E6" s="10">
        <f t="shared" ref="E6:E53" si="0">D6/D$53</f>
        <v>5.6179775280898879E-5</v>
      </c>
      <c r="G6" s="15"/>
    </row>
    <row r="7" spans="1:26" ht="17" customHeight="1">
      <c r="B7" s="8" t="s">
        <v>10</v>
      </c>
      <c r="C7" s="9" t="s">
        <v>11</v>
      </c>
      <c r="D7">
        <v>74</v>
      </c>
      <c r="E7" s="10">
        <f t="shared" si="0"/>
        <v>4.1573033707865172E-3</v>
      </c>
      <c r="G7" s="38" t="s">
        <v>201</v>
      </c>
      <c r="H7" s="38"/>
      <c r="I7" s="38"/>
      <c r="J7" s="38"/>
      <c r="K7" s="38"/>
      <c r="L7" s="38"/>
      <c r="M7" s="38"/>
    </row>
    <row r="8" spans="1:26" ht="17" customHeight="1">
      <c r="B8" s="8" t="s">
        <v>12</v>
      </c>
      <c r="C8" s="9" t="s">
        <v>13</v>
      </c>
      <c r="D8">
        <v>52</v>
      </c>
      <c r="E8" s="10">
        <f t="shared" si="0"/>
        <v>2.9213483146067415E-3</v>
      </c>
      <c r="G8" s="38"/>
      <c r="H8" s="38"/>
      <c r="I8" s="38"/>
      <c r="J8" s="38"/>
      <c r="K8" s="38"/>
      <c r="L8" s="38"/>
      <c r="M8" s="38"/>
    </row>
    <row r="9" spans="1:26" ht="17" customHeight="1">
      <c r="B9" s="8" t="s">
        <v>14</v>
      </c>
      <c r="C9" s="9" t="s">
        <v>15</v>
      </c>
      <c r="D9">
        <v>84</v>
      </c>
      <c r="E9" s="10">
        <f t="shared" si="0"/>
        <v>4.7191011235955052E-3</v>
      </c>
      <c r="G9" s="38"/>
      <c r="H9" s="38"/>
      <c r="I9" s="38"/>
      <c r="J9" s="38"/>
      <c r="K9" s="38"/>
      <c r="L9" s="38"/>
      <c r="M9" s="38"/>
    </row>
    <row r="10" spans="1:26" ht="17" customHeight="1">
      <c r="B10" s="8" t="s">
        <v>16</v>
      </c>
      <c r="C10" s="9" t="s">
        <v>17</v>
      </c>
      <c r="D10">
        <v>223</v>
      </c>
      <c r="E10" s="10">
        <f t="shared" si="0"/>
        <v>1.252808988764045E-2</v>
      </c>
      <c r="G10" s="38"/>
      <c r="H10" s="38"/>
      <c r="I10" s="38"/>
      <c r="J10" s="38"/>
      <c r="K10" s="38"/>
      <c r="L10" s="38"/>
      <c r="M10" s="38"/>
    </row>
    <row r="11" spans="1:26" ht="17" customHeight="1">
      <c r="B11" s="8" t="s">
        <v>18</v>
      </c>
      <c r="C11" s="9" t="s">
        <v>19</v>
      </c>
      <c r="D11">
        <v>26</v>
      </c>
      <c r="E11" s="10">
        <f t="shared" si="0"/>
        <v>1.4606741573033708E-3</v>
      </c>
      <c r="G11" s="38"/>
      <c r="H11" s="38"/>
      <c r="I11" s="38"/>
      <c r="J11" s="38"/>
      <c r="K11" s="38"/>
      <c r="L11" s="38"/>
      <c r="M11" s="38"/>
    </row>
    <row r="12" spans="1:26" ht="17" customHeight="1">
      <c r="B12" s="8" t="s">
        <v>20</v>
      </c>
      <c r="C12" s="9" t="s">
        <v>21</v>
      </c>
      <c r="D12">
        <v>48</v>
      </c>
      <c r="E12" s="10">
        <f t="shared" si="0"/>
        <v>2.696629213483146E-3</v>
      </c>
      <c r="G12" s="38"/>
      <c r="H12" s="38"/>
      <c r="I12" s="38"/>
      <c r="J12" s="38"/>
      <c r="K12" s="38"/>
      <c r="L12" s="38"/>
      <c r="M12" s="38"/>
    </row>
    <row r="13" spans="1:26" ht="17" customHeight="1">
      <c r="B13" s="8" t="s">
        <v>22</v>
      </c>
      <c r="C13" s="9" t="s">
        <v>23</v>
      </c>
      <c r="D13">
        <v>56</v>
      </c>
      <c r="E13" s="10">
        <f t="shared" si="0"/>
        <v>3.1460674157303371E-3</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1930</v>
      </c>
      <c r="E15" s="10">
        <f t="shared" si="0"/>
        <v>0.10842696629213483</v>
      </c>
      <c r="H15" s="16"/>
      <c r="I15" s="16"/>
      <c r="J15" s="16"/>
      <c r="K15" s="16"/>
      <c r="L15" s="16"/>
    </row>
    <row r="16" spans="1:26" ht="17">
      <c r="B16" s="8" t="s">
        <v>28</v>
      </c>
      <c r="C16" s="9" t="s">
        <v>29</v>
      </c>
      <c r="D16">
        <v>350</v>
      </c>
      <c r="E16" s="10">
        <f t="shared" si="0"/>
        <v>1.9662921348314606E-2</v>
      </c>
      <c r="H16" s="16"/>
      <c r="I16" s="16"/>
      <c r="J16" s="16"/>
      <c r="K16" s="16"/>
      <c r="L16" s="16"/>
    </row>
    <row r="17" spans="2:16" ht="17">
      <c r="B17" s="8" t="s">
        <v>30</v>
      </c>
      <c r="C17" s="9" t="s">
        <v>31</v>
      </c>
      <c r="D17">
        <v>293</v>
      </c>
      <c r="E17" s="10">
        <f t="shared" si="0"/>
        <v>1.646067415730337E-2</v>
      </c>
    </row>
    <row r="18" spans="2:16" ht="17">
      <c r="B18" s="8" t="s">
        <v>32</v>
      </c>
      <c r="C18" s="9" t="s">
        <v>33</v>
      </c>
      <c r="D18">
        <v>429</v>
      </c>
      <c r="E18" s="10">
        <f t="shared" si="0"/>
        <v>2.4101123595505619E-2</v>
      </c>
    </row>
    <row r="19" spans="2:16" ht="17">
      <c r="B19" s="8" t="s">
        <v>34</v>
      </c>
      <c r="C19" s="9" t="s">
        <v>35</v>
      </c>
      <c r="D19">
        <v>904</v>
      </c>
      <c r="E19" s="10">
        <f t="shared" si="0"/>
        <v>5.0786516853932581E-2</v>
      </c>
    </row>
    <row r="20" spans="2:16" ht="17">
      <c r="B20" s="8" t="s">
        <v>36</v>
      </c>
      <c r="C20" s="9" t="s">
        <v>37</v>
      </c>
      <c r="D20">
        <v>62</v>
      </c>
      <c r="E20" s="10">
        <f t="shared" si="0"/>
        <v>3.4831460674157304E-3</v>
      </c>
      <c r="I20" s="28"/>
      <c r="J20" s="28"/>
      <c r="K20" s="29"/>
      <c r="L20" s="30"/>
      <c r="M20" s="30"/>
      <c r="N20" s="30"/>
      <c r="O20" s="28"/>
      <c r="P20" s="28"/>
    </row>
    <row r="21" spans="2:16" ht="17">
      <c r="B21" s="8" t="s">
        <v>38</v>
      </c>
      <c r="C21" s="9" t="s">
        <v>39</v>
      </c>
      <c r="D21">
        <v>59</v>
      </c>
      <c r="E21" s="10">
        <f t="shared" si="0"/>
        <v>3.3146067415730338E-3</v>
      </c>
      <c r="I21" s="28"/>
      <c r="J21" s="28"/>
      <c r="K21" s="28"/>
      <c r="L21" s="29"/>
      <c r="M21" s="29"/>
      <c r="N21" s="29"/>
      <c r="O21" s="28"/>
      <c r="P21" s="28"/>
    </row>
    <row r="22" spans="2:16" ht="17">
      <c r="B22" s="8" t="s">
        <v>40</v>
      </c>
      <c r="C22" s="9" t="s">
        <v>41</v>
      </c>
      <c r="D22">
        <v>275</v>
      </c>
      <c r="E22" s="10">
        <f t="shared" si="0"/>
        <v>1.5449438202247191E-2</v>
      </c>
      <c r="I22" s="28"/>
      <c r="J22" s="28"/>
      <c r="K22" s="29"/>
      <c r="L22" s="29"/>
      <c r="M22" s="29"/>
      <c r="N22" s="29"/>
      <c r="O22" s="28"/>
      <c r="P22" s="28"/>
    </row>
    <row r="23" spans="2:16" ht="17">
      <c r="B23" s="8" t="s">
        <v>42</v>
      </c>
      <c r="C23" s="9" t="s">
        <v>43</v>
      </c>
      <c r="D23">
        <v>219</v>
      </c>
      <c r="E23" s="10">
        <f t="shared" si="0"/>
        <v>1.2303370786516854E-2</v>
      </c>
      <c r="I23" s="28"/>
      <c r="J23" s="28"/>
      <c r="K23" s="28"/>
      <c r="L23" s="29"/>
      <c r="M23" s="29"/>
      <c r="N23" s="29"/>
      <c r="O23" s="28"/>
      <c r="P23" s="28"/>
    </row>
    <row r="24" spans="2:16" ht="17">
      <c r="B24" s="8" t="s">
        <v>44</v>
      </c>
      <c r="C24" s="9" t="s">
        <v>45</v>
      </c>
      <c r="D24">
        <v>2710</v>
      </c>
      <c r="E24" s="10">
        <f t="shared" si="0"/>
        <v>0.15224719101123596</v>
      </c>
      <c r="I24" s="28"/>
      <c r="J24" s="28"/>
      <c r="K24" s="28"/>
      <c r="L24" s="29"/>
      <c r="M24" s="29"/>
      <c r="N24" s="29"/>
      <c r="O24" s="28"/>
      <c r="P24" s="28"/>
    </row>
    <row r="25" spans="2:16" ht="17">
      <c r="B25" s="8" t="s">
        <v>46</v>
      </c>
      <c r="C25" s="9" t="s">
        <v>47</v>
      </c>
      <c r="D25">
        <v>624</v>
      </c>
      <c r="E25" s="10">
        <f t="shared" si="0"/>
        <v>3.5056179775280902E-2</v>
      </c>
      <c r="I25" s="28"/>
      <c r="J25" s="28"/>
      <c r="K25" s="29"/>
      <c r="L25" s="29"/>
      <c r="M25" s="29"/>
      <c r="N25" s="29"/>
      <c r="O25" s="28"/>
      <c r="P25" s="28"/>
    </row>
    <row r="26" spans="2:16" ht="17">
      <c r="B26" s="8" t="s">
        <v>48</v>
      </c>
      <c r="C26" s="9" t="s">
        <v>49</v>
      </c>
      <c r="D26">
        <v>77</v>
      </c>
      <c r="E26" s="10">
        <f t="shared" si="0"/>
        <v>4.3258426966292134E-3</v>
      </c>
      <c r="I26" s="28"/>
      <c r="J26" s="28"/>
      <c r="K26" s="28"/>
      <c r="L26" s="29"/>
      <c r="M26" s="29"/>
      <c r="N26" s="29"/>
      <c r="O26" s="28"/>
      <c r="P26" s="28"/>
    </row>
    <row r="27" spans="2:16" ht="17">
      <c r="B27" s="8" t="s">
        <v>50</v>
      </c>
      <c r="C27" s="9" t="s">
        <v>51</v>
      </c>
      <c r="D27">
        <v>312</v>
      </c>
      <c r="E27" s="10">
        <f t="shared" si="0"/>
        <v>1.7528089887640451E-2</v>
      </c>
      <c r="I27" s="28"/>
      <c r="J27" s="28"/>
      <c r="K27" s="28"/>
      <c r="L27" s="29"/>
      <c r="M27" s="29"/>
      <c r="N27" s="29"/>
      <c r="O27" s="28"/>
      <c r="P27" s="28"/>
    </row>
    <row r="28" spans="2:16" ht="17">
      <c r="B28" s="8" t="s">
        <v>52</v>
      </c>
      <c r="C28" s="9" t="s">
        <v>53</v>
      </c>
      <c r="D28">
        <v>0</v>
      </c>
      <c r="E28" s="10">
        <f t="shared" si="0"/>
        <v>0</v>
      </c>
      <c r="I28" s="28"/>
      <c r="J28" s="28"/>
      <c r="K28" s="28"/>
      <c r="L28" s="29"/>
      <c r="M28" s="29"/>
      <c r="N28" s="29"/>
      <c r="O28" s="28"/>
      <c r="P28" s="28"/>
    </row>
    <row r="29" spans="2:16" ht="17">
      <c r="B29" s="8" t="s">
        <v>54</v>
      </c>
      <c r="C29" s="9" t="s">
        <v>55</v>
      </c>
      <c r="D29">
        <v>209</v>
      </c>
      <c r="E29" s="10">
        <f t="shared" si="0"/>
        <v>1.1741573033707865E-2</v>
      </c>
      <c r="I29" s="28"/>
      <c r="J29" s="28"/>
      <c r="K29" s="29"/>
      <c r="L29" s="29"/>
      <c r="M29" s="29"/>
      <c r="N29" s="29"/>
      <c r="O29" s="28"/>
      <c r="P29" s="28"/>
    </row>
    <row r="30" spans="2:16" ht="17">
      <c r="B30" s="8" t="s">
        <v>56</v>
      </c>
      <c r="C30" s="9" t="s">
        <v>57</v>
      </c>
      <c r="D30">
        <v>33</v>
      </c>
      <c r="E30" s="10">
        <f t="shared" si="0"/>
        <v>1.853932584269663E-3</v>
      </c>
      <c r="I30" s="28"/>
      <c r="J30" s="28"/>
      <c r="K30" s="29"/>
      <c r="L30" s="29"/>
      <c r="M30" s="29"/>
      <c r="N30" s="29"/>
      <c r="O30" s="28"/>
      <c r="P30" s="28"/>
    </row>
    <row r="31" spans="2:16" ht="17">
      <c r="B31" s="8" t="s">
        <v>58</v>
      </c>
      <c r="C31" s="9" t="s">
        <v>59</v>
      </c>
      <c r="D31">
        <v>205</v>
      </c>
      <c r="E31" s="10">
        <f t="shared" si="0"/>
        <v>1.1516853932584269E-2</v>
      </c>
      <c r="I31" s="28"/>
      <c r="J31" s="28"/>
      <c r="K31" s="29"/>
      <c r="L31" s="29"/>
      <c r="M31" s="29"/>
      <c r="N31" s="29"/>
      <c r="O31" s="28"/>
      <c r="P31" s="28"/>
    </row>
    <row r="32" spans="2:16" ht="17">
      <c r="B32" s="8" t="s">
        <v>60</v>
      </c>
      <c r="C32" s="9" t="s">
        <v>61</v>
      </c>
      <c r="D32">
        <v>394</v>
      </c>
      <c r="E32" s="10">
        <f t="shared" si="0"/>
        <v>2.2134831460674156E-2</v>
      </c>
      <c r="I32" s="28"/>
      <c r="J32" s="28"/>
      <c r="K32" s="28"/>
      <c r="L32" s="29"/>
      <c r="M32" s="29"/>
      <c r="N32" s="29"/>
      <c r="O32" s="28"/>
      <c r="P32" s="28"/>
    </row>
    <row r="33" spans="2:16" ht="17">
      <c r="B33" s="8" t="s">
        <v>62</v>
      </c>
      <c r="C33" s="9" t="s">
        <v>63</v>
      </c>
      <c r="D33">
        <v>1320</v>
      </c>
      <c r="E33" s="10">
        <f t="shared" si="0"/>
        <v>7.415730337078652E-2</v>
      </c>
      <c r="I33" s="28"/>
      <c r="J33" s="28"/>
      <c r="K33" s="29"/>
      <c r="L33" s="29"/>
      <c r="M33" s="29"/>
      <c r="N33" s="29"/>
      <c r="O33" s="28"/>
      <c r="P33" s="28"/>
    </row>
    <row r="34" spans="2:16" ht="17">
      <c r="B34" s="8" t="s">
        <v>64</v>
      </c>
      <c r="C34" s="9" t="s">
        <v>65</v>
      </c>
      <c r="D34">
        <v>1040</v>
      </c>
      <c r="E34" s="10">
        <f t="shared" si="0"/>
        <v>5.8426966292134834E-2</v>
      </c>
      <c r="I34" s="28"/>
      <c r="J34" s="28"/>
      <c r="K34" s="28"/>
      <c r="L34" s="29"/>
      <c r="M34" s="28"/>
      <c r="N34" s="29"/>
      <c r="O34" s="28"/>
      <c r="P34" s="28"/>
    </row>
    <row r="35" spans="2:16" ht="17">
      <c r="B35" s="8" t="s">
        <v>66</v>
      </c>
      <c r="C35" s="9" t="s">
        <v>67</v>
      </c>
      <c r="D35">
        <v>96</v>
      </c>
      <c r="E35" s="10">
        <f t="shared" si="0"/>
        <v>5.3932584269662919E-3</v>
      </c>
      <c r="I35" s="28"/>
      <c r="J35" s="28"/>
      <c r="K35" s="29"/>
      <c r="L35" s="29"/>
      <c r="M35" s="29"/>
      <c r="N35" s="29"/>
      <c r="O35" s="28"/>
      <c r="P35" s="28"/>
    </row>
    <row r="36" spans="2:16" ht="17">
      <c r="B36" s="8" t="s">
        <v>68</v>
      </c>
      <c r="C36" s="9" t="s">
        <v>69</v>
      </c>
      <c r="D36">
        <v>6</v>
      </c>
      <c r="E36" s="10">
        <f t="shared" si="0"/>
        <v>3.3707865168539324E-4</v>
      </c>
      <c r="I36" s="28"/>
      <c r="J36" s="28"/>
      <c r="K36" s="28"/>
      <c r="L36" s="29"/>
      <c r="M36" s="29"/>
      <c r="N36" s="29"/>
      <c r="O36" s="28"/>
      <c r="P36" s="28"/>
    </row>
    <row r="37" spans="2:16" ht="17">
      <c r="B37" s="8" t="s">
        <v>70</v>
      </c>
      <c r="C37" s="9" t="s">
        <v>71</v>
      </c>
      <c r="D37">
        <v>1560</v>
      </c>
      <c r="E37" s="10">
        <f t="shared" si="0"/>
        <v>8.7640449438202248E-2</v>
      </c>
      <c r="I37" s="28"/>
      <c r="J37" s="28"/>
      <c r="K37" s="28"/>
      <c r="L37" s="29"/>
      <c r="M37" s="29"/>
      <c r="N37" s="29"/>
      <c r="O37" s="28"/>
      <c r="P37" s="28"/>
    </row>
    <row r="38" spans="2:16" ht="17">
      <c r="B38" s="8" t="s">
        <v>72</v>
      </c>
      <c r="C38" s="9" t="s">
        <v>73</v>
      </c>
      <c r="D38">
        <v>44</v>
      </c>
      <c r="E38" s="10">
        <f t="shared" si="0"/>
        <v>2.4719101123595504E-3</v>
      </c>
      <c r="I38" s="28"/>
      <c r="J38" s="28"/>
      <c r="K38" s="29"/>
      <c r="L38" s="29"/>
      <c r="M38" s="29"/>
      <c r="N38" s="29"/>
      <c r="O38" s="28"/>
      <c r="P38" s="28"/>
    </row>
    <row r="39" spans="2:16" ht="17">
      <c r="B39" s="8" t="s">
        <v>74</v>
      </c>
      <c r="C39" s="9" t="s">
        <v>75</v>
      </c>
      <c r="D39">
        <v>1</v>
      </c>
      <c r="E39" s="10">
        <f t="shared" si="0"/>
        <v>5.6179775280898879E-5</v>
      </c>
      <c r="I39" s="28"/>
      <c r="J39" s="28"/>
      <c r="K39" s="29"/>
      <c r="L39" s="29"/>
      <c r="M39" s="29"/>
      <c r="N39" s="29"/>
      <c r="O39" s="28"/>
      <c r="P39" s="28"/>
    </row>
    <row r="40" spans="2:16" ht="17">
      <c r="B40" s="8" t="s">
        <v>76</v>
      </c>
      <c r="C40" s="9" t="s">
        <v>77</v>
      </c>
      <c r="D40">
        <v>1260</v>
      </c>
      <c r="E40" s="10">
        <f t="shared" si="0"/>
        <v>7.0786516853932585E-2</v>
      </c>
      <c r="I40" s="28"/>
      <c r="J40" s="28"/>
      <c r="K40" s="29"/>
      <c r="L40" s="29"/>
      <c r="M40" s="29"/>
      <c r="N40" s="29"/>
      <c r="O40" s="28"/>
      <c r="P40" s="28"/>
    </row>
    <row r="41" spans="2:16" ht="17">
      <c r="B41" s="8" t="s">
        <v>78</v>
      </c>
      <c r="C41" s="9" t="s">
        <v>79</v>
      </c>
      <c r="D41">
        <v>83</v>
      </c>
      <c r="E41" s="10">
        <f t="shared" si="0"/>
        <v>4.6629213483146068E-3</v>
      </c>
      <c r="I41" s="28"/>
      <c r="J41" s="28"/>
      <c r="K41" s="29"/>
      <c r="L41" s="29"/>
      <c r="M41" s="29"/>
      <c r="N41" s="29"/>
      <c r="O41" s="28"/>
      <c r="P41" s="28"/>
    </row>
    <row r="42" spans="2:16" ht="17">
      <c r="B42" s="8" t="s">
        <v>80</v>
      </c>
      <c r="C42" s="9" t="s">
        <v>81</v>
      </c>
      <c r="D42">
        <v>21</v>
      </c>
      <c r="E42" s="10">
        <f t="shared" si="0"/>
        <v>1.1797752808988763E-3</v>
      </c>
      <c r="I42" s="28"/>
      <c r="J42" s="28"/>
      <c r="K42" s="28"/>
      <c r="L42" s="29"/>
      <c r="M42" s="29"/>
      <c r="N42" s="29"/>
      <c r="O42" s="28"/>
      <c r="P42" s="28"/>
    </row>
    <row r="43" spans="2:16" ht="17">
      <c r="B43" s="8" t="s">
        <v>82</v>
      </c>
      <c r="C43" s="9" t="s">
        <v>83</v>
      </c>
      <c r="D43">
        <v>40</v>
      </c>
      <c r="E43" s="10">
        <f t="shared" si="0"/>
        <v>2.2471910112359553E-3</v>
      </c>
      <c r="I43" s="28"/>
      <c r="J43" s="28"/>
      <c r="K43" s="28"/>
      <c r="L43" s="29"/>
      <c r="M43" s="29"/>
      <c r="N43" s="29"/>
      <c r="O43" s="28"/>
      <c r="P43" s="28"/>
    </row>
    <row r="44" spans="2:16" ht="17">
      <c r="B44" s="8" t="s">
        <v>84</v>
      </c>
      <c r="C44" s="9" t="s">
        <v>85</v>
      </c>
      <c r="D44">
        <v>242</v>
      </c>
      <c r="E44" s="10">
        <f t="shared" si="0"/>
        <v>1.3595505617977528E-2</v>
      </c>
    </row>
    <row r="45" spans="2:16" ht="17">
      <c r="B45" s="8" t="s">
        <v>86</v>
      </c>
      <c r="C45" s="9" t="s">
        <v>87</v>
      </c>
      <c r="D45">
        <v>61</v>
      </c>
      <c r="E45" s="10">
        <f t="shared" si="0"/>
        <v>3.4269662921348316E-3</v>
      </c>
    </row>
    <row r="46" spans="2:16" ht="17">
      <c r="B46" s="8" t="s">
        <v>88</v>
      </c>
      <c r="C46" s="9" t="s">
        <v>89</v>
      </c>
      <c r="D46">
        <v>73</v>
      </c>
      <c r="E46" s="10">
        <f t="shared" si="0"/>
        <v>4.1011235955056178E-3</v>
      </c>
    </row>
    <row r="47" spans="2:16" ht="17">
      <c r="B47" s="8" t="s">
        <v>90</v>
      </c>
      <c r="C47" s="9" t="s">
        <v>91</v>
      </c>
      <c r="D47">
        <v>349</v>
      </c>
      <c r="E47" s="10">
        <f t="shared" si="0"/>
        <v>1.9606741573033708E-2</v>
      </c>
    </row>
    <row r="48" spans="2:16" ht="17">
      <c r="B48" s="8" t="s">
        <v>92</v>
      </c>
      <c r="C48" s="9" t="s">
        <v>93</v>
      </c>
      <c r="D48">
        <v>247</v>
      </c>
      <c r="E48" s="10">
        <f t="shared" si="0"/>
        <v>1.3876404494382023E-2</v>
      </c>
    </row>
    <row r="49" spans="2:6" ht="17">
      <c r="B49" s="8" t="s">
        <v>94</v>
      </c>
      <c r="C49" s="9" t="s">
        <v>95</v>
      </c>
      <c r="D49">
        <v>1</v>
      </c>
      <c r="E49" s="10">
        <f t="shared" si="0"/>
        <v>5.6179775280898879E-5</v>
      </c>
    </row>
    <row r="50" spans="2:6" ht="17">
      <c r="B50" s="8" t="s">
        <v>96</v>
      </c>
      <c r="C50" s="9" t="s">
        <v>97</v>
      </c>
      <c r="D50">
        <v>298</v>
      </c>
      <c r="E50" s="10">
        <f t="shared" si="0"/>
        <v>1.6741573033707866E-2</v>
      </c>
    </row>
    <row r="51" spans="2:6" ht="17">
      <c r="B51" s="8" t="s">
        <v>98</v>
      </c>
      <c r="C51" s="9" t="s">
        <v>99</v>
      </c>
      <c r="D51">
        <v>1200</v>
      </c>
      <c r="E51" s="10">
        <f t="shared" si="0"/>
        <v>6.741573033707865E-2</v>
      </c>
    </row>
    <row r="52" spans="2:6" ht="17">
      <c r="B52" s="8" t="s">
        <v>100</v>
      </c>
      <c r="C52" s="9" t="s">
        <v>101</v>
      </c>
      <c r="D52">
        <v>1</v>
      </c>
      <c r="E52" s="10">
        <f t="shared" si="0"/>
        <v>5.6179775280898879E-5</v>
      </c>
    </row>
    <row r="53" spans="2:6" ht="17">
      <c r="B53" s="11" t="s">
        <v>102</v>
      </c>
      <c r="C53" s="12" t="s">
        <v>103</v>
      </c>
      <c r="D53" s="13">
        <v>17800</v>
      </c>
      <c r="E53" s="14">
        <f t="shared" si="0"/>
        <v>1</v>
      </c>
    </row>
    <row r="55" spans="2:6">
      <c r="F55" s="32"/>
    </row>
  </sheetData>
  <mergeCells count="1">
    <mergeCell ref="G7:M12"/>
  </mergeCells>
  <hyperlinks>
    <hyperlink ref="H5" r:id="rId1" xr:uid="{80FD48AC-DF39-3146-964F-97B1E4FAFB2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46B6E-8729-054E-933E-031C883ABF55}">
  <dimension ref="A1:Z53"/>
  <sheetViews>
    <sheetView topLeftCell="A2" workbookViewId="0">
      <selection activeCell="M34" sqref="M34"/>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162</v>
      </c>
    </row>
    <row r="4" spans="1:26" ht="17">
      <c r="B4" s="4" t="s">
        <v>2</v>
      </c>
      <c r="C4" s="5" t="s">
        <v>3</v>
      </c>
      <c r="D4" s="6" t="s">
        <v>104</v>
      </c>
      <c r="E4" s="7" t="s">
        <v>5</v>
      </c>
      <c r="G4" s="15" t="s">
        <v>106</v>
      </c>
      <c r="H4" t="s">
        <v>163</v>
      </c>
    </row>
    <row r="5" spans="1:26" ht="17">
      <c r="B5" s="8" t="s">
        <v>6</v>
      </c>
      <c r="C5" s="9" t="s">
        <v>7</v>
      </c>
      <c r="D5">
        <v>5083</v>
      </c>
      <c r="E5" s="10">
        <f>D5/D$53</f>
        <v>1.4382158540449998E-2</v>
      </c>
      <c r="G5" s="15" t="s">
        <v>105</v>
      </c>
      <c r="H5" s="17" t="s">
        <v>164</v>
      </c>
    </row>
    <row r="6" spans="1:26" ht="17" customHeight="1">
      <c r="B6" s="8" t="s">
        <v>8</v>
      </c>
      <c r="C6" s="9" t="s">
        <v>9</v>
      </c>
      <c r="D6">
        <v>14250</v>
      </c>
      <c r="E6" s="10">
        <f t="shared" ref="E6:E53" si="0">D6/D$53</f>
        <v>4.0319842455520845E-2</v>
      </c>
      <c r="G6" s="15"/>
    </row>
    <row r="7" spans="1:26" ht="17" customHeight="1">
      <c r="B7" s="8" t="s">
        <v>10</v>
      </c>
      <c r="C7" s="9" t="s">
        <v>11</v>
      </c>
      <c r="D7">
        <v>2553</v>
      </c>
      <c r="E7" s="10">
        <f t="shared" si="0"/>
        <v>7.2236180904522614E-3</v>
      </c>
      <c r="G7" s="38" t="s">
        <v>165</v>
      </c>
      <c r="H7" s="38"/>
      <c r="I7" s="38"/>
      <c r="J7" s="38"/>
      <c r="K7" s="38"/>
      <c r="L7" s="38"/>
      <c r="M7" s="38"/>
    </row>
    <row r="8" spans="1:26" ht="17" customHeight="1">
      <c r="B8" s="8" t="s">
        <v>12</v>
      </c>
      <c r="C8" s="9" t="s">
        <v>13</v>
      </c>
      <c r="D8">
        <v>24497</v>
      </c>
      <c r="E8" s="10">
        <f t="shared" si="0"/>
        <v>6.9313346009325913E-2</v>
      </c>
      <c r="G8" s="38"/>
      <c r="H8" s="38"/>
      <c r="I8" s="38"/>
      <c r="J8" s="38"/>
      <c r="K8" s="38"/>
      <c r="L8" s="38"/>
      <c r="M8" s="38"/>
    </row>
    <row r="9" spans="1:26" ht="17" customHeight="1">
      <c r="B9" s="8" t="s">
        <v>14</v>
      </c>
      <c r="C9" s="9" t="s">
        <v>15</v>
      </c>
      <c r="D9">
        <v>6287</v>
      </c>
      <c r="E9" s="10">
        <f t="shared" si="0"/>
        <v>1.7788831545112953E-2</v>
      </c>
      <c r="G9" s="38"/>
      <c r="H9" s="38"/>
      <c r="I9" s="38"/>
      <c r="J9" s="38"/>
      <c r="K9" s="38"/>
      <c r="L9" s="38"/>
      <c r="M9" s="38"/>
    </row>
    <row r="10" spans="1:26" ht="17" customHeight="1">
      <c r="B10" s="8" t="s">
        <v>16</v>
      </c>
      <c r="C10" s="9" t="s">
        <v>17</v>
      </c>
      <c r="D10">
        <v>2048</v>
      </c>
      <c r="E10" s="10">
        <f t="shared" si="0"/>
        <v>5.7947394630811716E-3</v>
      </c>
      <c r="G10" s="38"/>
      <c r="H10" s="38"/>
      <c r="I10" s="38"/>
      <c r="J10" s="38"/>
      <c r="K10" s="38"/>
      <c r="L10" s="38"/>
      <c r="M10" s="38"/>
    </row>
    <row r="11" spans="1:26" ht="17" customHeight="1">
      <c r="B11" s="8" t="s">
        <v>18</v>
      </c>
      <c r="C11" s="9" t="s">
        <v>19</v>
      </c>
      <c r="D11">
        <v>1300</v>
      </c>
      <c r="E11" s="10">
        <f t="shared" si="0"/>
        <v>3.6783014169948845E-3</v>
      </c>
      <c r="G11" s="38"/>
      <c r="H11" s="38"/>
      <c r="I11" s="38"/>
      <c r="J11" s="38"/>
      <c r="K11" s="38"/>
      <c r="L11" s="38"/>
      <c r="M11" s="38"/>
    </row>
    <row r="12" spans="1:26" ht="17" customHeight="1">
      <c r="B12" s="8" t="s">
        <v>20</v>
      </c>
      <c r="C12" s="9" t="s">
        <v>21</v>
      </c>
      <c r="D12">
        <v>23031</v>
      </c>
      <c r="E12" s="10">
        <f t="shared" si="0"/>
        <v>6.5165353796007061E-2</v>
      </c>
      <c r="G12" s="38"/>
      <c r="H12" s="38"/>
      <c r="I12" s="38"/>
      <c r="J12" s="38"/>
      <c r="K12" s="38"/>
      <c r="L12" s="38"/>
      <c r="M12" s="38"/>
    </row>
    <row r="13" spans="1:26" ht="17" customHeight="1">
      <c r="B13" s="8" t="s">
        <v>22</v>
      </c>
      <c r="C13" s="9" t="s">
        <v>23</v>
      </c>
      <c r="D13">
        <v>10320</v>
      </c>
      <c r="E13" s="10">
        <f t="shared" si="0"/>
        <v>2.9200054325682467E-2</v>
      </c>
      <c r="H13" s="16"/>
      <c r="I13" s="16"/>
      <c r="J13" s="16"/>
      <c r="K13" s="16"/>
      <c r="L13" s="16"/>
    </row>
    <row r="14" spans="1:26" ht="17">
      <c r="B14" s="8" t="s">
        <v>24</v>
      </c>
      <c r="C14" s="9" t="s">
        <v>25</v>
      </c>
      <c r="D14">
        <v>2178</v>
      </c>
      <c r="E14" s="10">
        <f t="shared" si="0"/>
        <v>6.1625696047806601E-3</v>
      </c>
      <c r="H14" s="16"/>
      <c r="I14" s="16"/>
      <c r="J14" s="16"/>
      <c r="K14" s="16"/>
      <c r="L14" s="16"/>
    </row>
    <row r="15" spans="1:26" ht="17">
      <c r="B15" s="8" t="s">
        <v>26</v>
      </c>
      <c r="C15" s="9" t="s">
        <v>27</v>
      </c>
      <c r="D15">
        <v>8855</v>
      </c>
      <c r="E15" s="10">
        <f t="shared" si="0"/>
        <v>2.5054891574992078E-2</v>
      </c>
      <c r="H15" s="16"/>
      <c r="I15" s="16"/>
      <c r="J15" s="16"/>
      <c r="K15" s="16"/>
      <c r="L15" s="16"/>
    </row>
    <row r="16" spans="1:26" ht="17">
      <c r="B16" s="8" t="s">
        <v>28</v>
      </c>
      <c r="C16" s="9" t="s">
        <v>29</v>
      </c>
      <c r="D16">
        <v>5656</v>
      </c>
      <c r="E16" s="10">
        <f t="shared" si="0"/>
        <v>1.6003440626556203E-2</v>
      </c>
      <c r="H16" s="16"/>
      <c r="I16" s="16"/>
      <c r="J16" s="16"/>
      <c r="K16" s="16"/>
      <c r="L16" s="16"/>
    </row>
    <row r="17" spans="2:5" ht="17">
      <c r="B17" s="8" t="s">
        <v>30</v>
      </c>
      <c r="C17" s="9" t="s">
        <v>31</v>
      </c>
      <c r="D17">
        <v>4704</v>
      </c>
      <c r="E17" s="10">
        <f t="shared" si="0"/>
        <v>1.3309792204264566E-2</v>
      </c>
    </row>
    <row r="18" spans="2:5" ht="17">
      <c r="B18" s="8" t="s">
        <v>32</v>
      </c>
      <c r="C18" s="9" t="s">
        <v>33</v>
      </c>
      <c r="D18">
        <v>3768</v>
      </c>
      <c r="E18" s="10">
        <f t="shared" si="0"/>
        <v>1.066141518402825E-2</v>
      </c>
    </row>
    <row r="19" spans="2:5" ht="17">
      <c r="B19" s="8" t="s">
        <v>34</v>
      </c>
      <c r="C19" s="9" t="s">
        <v>35</v>
      </c>
      <c r="D19">
        <v>5535</v>
      </c>
      <c r="E19" s="10">
        <f t="shared" si="0"/>
        <v>1.5661075648512834E-2</v>
      </c>
    </row>
    <row r="20" spans="2:5" ht="17">
      <c r="B20" s="8" t="s">
        <v>36</v>
      </c>
      <c r="C20" s="9" t="s">
        <v>37</v>
      </c>
      <c r="D20">
        <v>5247</v>
      </c>
      <c r="E20" s="10">
        <f t="shared" si="0"/>
        <v>1.4846190411517045E-2</v>
      </c>
    </row>
    <row r="21" spans="2:5" ht="17">
      <c r="B21" s="8" t="s">
        <v>38</v>
      </c>
      <c r="C21" s="9" t="s">
        <v>39</v>
      </c>
      <c r="D21">
        <v>1189</v>
      </c>
      <c r="E21" s="10">
        <f t="shared" si="0"/>
        <v>3.3642310652360905E-3</v>
      </c>
    </row>
    <row r="22" spans="2:5" ht="17">
      <c r="B22" s="8" t="s">
        <v>40</v>
      </c>
      <c r="C22" s="9" t="s">
        <v>41</v>
      </c>
      <c r="D22">
        <v>4260</v>
      </c>
      <c r="E22" s="10">
        <f t="shared" si="0"/>
        <v>1.205351079722939E-2</v>
      </c>
    </row>
    <row r="23" spans="2:5" ht="17">
      <c r="B23" s="8" t="s">
        <v>42</v>
      </c>
      <c r="C23" s="9" t="s">
        <v>43</v>
      </c>
      <c r="D23">
        <v>13288</v>
      </c>
      <c r="E23" s="10">
        <f t="shared" si="0"/>
        <v>3.7597899406944635E-2</v>
      </c>
    </row>
    <row r="24" spans="2:5" ht="17">
      <c r="B24" s="8" t="s">
        <v>44</v>
      </c>
      <c r="C24" s="9" t="s">
        <v>45</v>
      </c>
      <c r="D24">
        <v>6787</v>
      </c>
      <c r="E24" s="10">
        <f t="shared" si="0"/>
        <v>1.9203562859341754E-2</v>
      </c>
    </row>
    <row r="25" spans="2:5" ht="17">
      <c r="B25" s="8" t="s">
        <v>46</v>
      </c>
      <c r="C25" s="9" t="s">
        <v>47</v>
      </c>
      <c r="D25">
        <v>4455</v>
      </c>
      <c r="E25" s="10">
        <f t="shared" si="0"/>
        <v>1.2605256009778623E-2</v>
      </c>
    </row>
    <row r="26" spans="2:5" ht="17">
      <c r="B26" s="8" t="s">
        <v>48</v>
      </c>
      <c r="C26" s="9" t="s">
        <v>49</v>
      </c>
      <c r="D26">
        <v>976</v>
      </c>
      <c r="E26" s="10">
        <f t="shared" si="0"/>
        <v>2.7615555253746207E-3</v>
      </c>
    </row>
    <row r="27" spans="2:5" ht="17">
      <c r="B27" s="8" t="s">
        <v>50</v>
      </c>
      <c r="C27" s="9" t="s">
        <v>51</v>
      </c>
      <c r="D27">
        <v>5532</v>
      </c>
      <c r="E27" s="10">
        <f t="shared" si="0"/>
        <v>1.5652587260627463E-2</v>
      </c>
    </row>
    <row r="28" spans="2:5" ht="17">
      <c r="B28" s="8" t="s">
        <v>52</v>
      </c>
      <c r="C28" s="9" t="s">
        <v>53</v>
      </c>
      <c r="D28">
        <v>1026</v>
      </c>
      <c r="E28" s="10">
        <f t="shared" si="0"/>
        <v>2.9030286567975011E-3</v>
      </c>
    </row>
    <row r="29" spans="2:5" ht="17">
      <c r="B29" s="8" t="s">
        <v>54</v>
      </c>
      <c r="C29" s="9" t="s">
        <v>55</v>
      </c>
      <c r="D29">
        <v>2485</v>
      </c>
      <c r="E29" s="10">
        <f t="shared" si="0"/>
        <v>7.0312146317171439E-3</v>
      </c>
    </row>
    <row r="30" spans="2:5" ht="17">
      <c r="B30" s="8" t="s">
        <v>56</v>
      </c>
      <c r="C30" s="9" t="s">
        <v>57</v>
      </c>
      <c r="D30">
        <v>5952</v>
      </c>
      <c r="E30" s="10">
        <f t="shared" si="0"/>
        <v>1.6840961564579655E-2</v>
      </c>
    </row>
    <row r="31" spans="2:5" ht="17">
      <c r="B31" s="8" t="s">
        <v>58</v>
      </c>
      <c r="C31" s="9" t="s">
        <v>59</v>
      </c>
      <c r="D31">
        <v>886</v>
      </c>
      <c r="E31" s="10">
        <f t="shared" si="0"/>
        <v>2.5069038888134365E-3</v>
      </c>
    </row>
    <row r="32" spans="2:5" ht="17">
      <c r="B32" s="8" t="s">
        <v>60</v>
      </c>
      <c r="C32" s="9" t="s">
        <v>61</v>
      </c>
      <c r="D32">
        <v>6526</v>
      </c>
      <c r="E32" s="10">
        <f t="shared" si="0"/>
        <v>1.8465073113314318E-2</v>
      </c>
    </row>
    <row r="33" spans="2:5" ht="17">
      <c r="B33" s="8" t="s">
        <v>62</v>
      </c>
      <c r="C33" s="9" t="s">
        <v>63</v>
      </c>
      <c r="D33">
        <v>1573</v>
      </c>
      <c r="E33" s="10">
        <f t="shared" si="0"/>
        <v>4.4507447145638104E-3</v>
      </c>
    </row>
    <row r="34" spans="2:5" ht="17">
      <c r="B34" s="8" t="s">
        <v>64</v>
      </c>
      <c r="C34" s="9" t="s">
        <v>65</v>
      </c>
      <c r="D34">
        <v>31258</v>
      </c>
      <c r="E34" s="10">
        <f t="shared" si="0"/>
        <v>8.844334284032776E-2</v>
      </c>
    </row>
    <row r="35" spans="2:5" ht="17">
      <c r="B35" s="8" t="s">
        <v>66</v>
      </c>
      <c r="C35" s="9" t="s">
        <v>67</v>
      </c>
      <c r="D35">
        <v>7892</v>
      </c>
      <c r="E35" s="10">
        <f t="shared" si="0"/>
        <v>2.2330119063787405E-2</v>
      </c>
    </row>
    <row r="36" spans="2:5" ht="17">
      <c r="B36" s="8" t="s">
        <v>68</v>
      </c>
      <c r="C36" s="9" t="s">
        <v>69</v>
      </c>
      <c r="D36">
        <v>1310</v>
      </c>
      <c r="E36" s="10">
        <f t="shared" si="0"/>
        <v>3.7065960432794602E-3</v>
      </c>
    </row>
    <row r="37" spans="2:5" ht="17">
      <c r="B37" s="8" t="s">
        <v>70</v>
      </c>
      <c r="C37" s="9" t="s">
        <v>71</v>
      </c>
      <c r="D37">
        <v>12532</v>
      </c>
      <c r="E37" s="10">
        <f t="shared" si="0"/>
        <v>3.5458825659830683E-2</v>
      </c>
    </row>
    <row r="38" spans="2:5" ht="17">
      <c r="B38" s="8" t="s">
        <v>72</v>
      </c>
      <c r="C38" s="9" t="s">
        <v>73</v>
      </c>
      <c r="D38">
        <v>3879</v>
      </c>
      <c r="E38" s="10">
        <f t="shared" si="0"/>
        <v>1.0975485535787043E-2</v>
      </c>
    </row>
    <row r="39" spans="2:5" ht="17">
      <c r="B39" s="8" t="s">
        <v>74</v>
      </c>
      <c r="C39" s="9" t="s">
        <v>75</v>
      </c>
      <c r="D39">
        <v>4951</v>
      </c>
      <c r="E39" s="10">
        <f t="shared" si="0"/>
        <v>1.4008669473493595E-2</v>
      </c>
    </row>
    <row r="40" spans="2:5" ht="17">
      <c r="B40" s="8" t="s">
        <v>76</v>
      </c>
      <c r="C40" s="9" t="s">
        <v>77</v>
      </c>
      <c r="D40">
        <v>11875</v>
      </c>
      <c r="E40" s="10">
        <f t="shared" si="0"/>
        <v>3.3599868712934036E-2</v>
      </c>
    </row>
    <row r="41" spans="2:5" ht="17">
      <c r="B41" s="8" t="s">
        <v>78</v>
      </c>
      <c r="C41" s="9" t="s">
        <v>79</v>
      </c>
      <c r="D41">
        <v>637</v>
      </c>
      <c r="E41" s="10">
        <f t="shared" si="0"/>
        <v>1.8023676943274933E-3</v>
      </c>
    </row>
    <row r="42" spans="2:5" ht="17">
      <c r="B42" s="8" t="s">
        <v>80</v>
      </c>
      <c r="C42" s="9" t="s">
        <v>81</v>
      </c>
      <c r="D42">
        <v>4300</v>
      </c>
      <c r="E42" s="10">
        <f t="shared" si="0"/>
        <v>1.2166689302367695E-2</v>
      </c>
    </row>
    <row r="43" spans="2:5" ht="17">
      <c r="B43" s="8" t="s">
        <v>82</v>
      </c>
      <c r="C43" s="9" t="s">
        <v>83</v>
      </c>
      <c r="D43">
        <v>1076</v>
      </c>
      <c r="E43" s="10">
        <f t="shared" si="0"/>
        <v>3.0445017882203811E-3</v>
      </c>
    </row>
    <row r="44" spans="2:5" ht="17">
      <c r="B44" s="8" t="s">
        <v>84</v>
      </c>
      <c r="C44" s="9" t="s">
        <v>85</v>
      </c>
      <c r="D44">
        <v>9497</v>
      </c>
      <c r="E44" s="10">
        <f t="shared" si="0"/>
        <v>2.687140658246186E-2</v>
      </c>
    </row>
    <row r="45" spans="2:5" ht="17">
      <c r="B45" s="8" t="s">
        <v>86</v>
      </c>
      <c r="C45" s="9" t="s">
        <v>87</v>
      </c>
      <c r="D45">
        <v>52561</v>
      </c>
      <c r="E45" s="10">
        <f t="shared" si="0"/>
        <v>0.14871938521436009</v>
      </c>
    </row>
    <row r="46" spans="2:5" ht="17">
      <c r="B46" s="8" t="s">
        <v>88</v>
      </c>
      <c r="C46" s="9" t="s">
        <v>89</v>
      </c>
      <c r="D46">
        <v>3270</v>
      </c>
      <c r="E46" s="10">
        <f t="shared" si="0"/>
        <v>9.252342795056363E-3</v>
      </c>
    </row>
    <row r="47" spans="2:5" ht="17">
      <c r="B47" s="8" t="s">
        <v>90</v>
      </c>
      <c r="C47" s="9" t="s">
        <v>91</v>
      </c>
      <c r="D47">
        <v>316</v>
      </c>
      <c r="E47" s="10">
        <f t="shared" si="0"/>
        <v>8.9411019059260262E-4</v>
      </c>
    </row>
    <row r="48" spans="2:5" ht="17">
      <c r="B48" s="8" t="s">
        <v>92</v>
      </c>
      <c r="C48" s="9" t="s">
        <v>93</v>
      </c>
      <c r="D48">
        <v>9147</v>
      </c>
      <c r="E48" s="10">
        <f t="shared" si="0"/>
        <v>2.5881094662501696E-2</v>
      </c>
    </row>
    <row r="49" spans="2:5" ht="17">
      <c r="B49" s="8" t="s">
        <v>94</v>
      </c>
      <c r="C49" s="9" t="s">
        <v>95</v>
      </c>
      <c r="D49">
        <v>8626</v>
      </c>
      <c r="E49" s="10">
        <f t="shared" si="0"/>
        <v>2.4406944633075286E-2</v>
      </c>
    </row>
    <row r="50" spans="2:5" ht="17">
      <c r="B50" s="8" t="s">
        <v>96</v>
      </c>
      <c r="C50" s="9" t="s">
        <v>97</v>
      </c>
      <c r="D50">
        <v>595</v>
      </c>
      <c r="E50" s="10">
        <f t="shared" si="0"/>
        <v>1.683530263932274E-3</v>
      </c>
    </row>
    <row r="51" spans="2:5" ht="17">
      <c r="B51" s="8" t="s">
        <v>98</v>
      </c>
      <c r="C51" s="9" t="s">
        <v>99</v>
      </c>
      <c r="D51">
        <v>5903</v>
      </c>
      <c r="E51" s="10">
        <f t="shared" si="0"/>
        <v>1.6702317895785232E-2</v>
      </c>
    </row>
    <row r="52" spans="2:5" ht="17">
      <c r="B52" s="8" t="s">
        <v>100</v>
      </c>
      <c r="C52" s="9" t="s">
        <v>101</v>
      </c>
      <c r="D52">
        <v>792</v>
      </c>
      <c r="E52" s="10">
        <f t="shared" si="0"/>
        <v>2.240934401738422E-3</v>
      </c>
    </row>
    <row r="53" spans="2:5" ht="17">
      <c r="B53" s="11" t="s">
        <v>102</v>
      </c>
      <c r="C53" s="12" t="s">
        <v>103</v>
      </c>
      <c r="D53" s="13">
        <v>353424</v>
      </c>
      <c r="E53" s="14">
        <f t="shared" si="0"/>
        <v>1</v>
      </c>
    </row>
  </sheetData>
  <mergeCells count="1">
    <mergeCell ref="G7:M12"/>
  </mergeCells>
  <hyperlinks>
    <hyperlink ref="H5" r:id="rId1" xr:uid="{19EDBCF3-5529-DF4A-95F9-2692807A5C8A}"/>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4B5E-6C5F-8043-8227-2AA5D8097130}">
  <dimension ref="A1:Z53"/>
  <sheetViews>
    <sheetView workbookViewId="0">
      <selection activeCell="H25" sqref="H2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114</v>
      </c>
    </row>
    <row r="4" spans="1:26" ht="17">
      <c r="B4" s="4" t="s">
        <v>2</v>
      </c>
      <c r="C4" s="5" t="s">
        <v>3</v>
      </c>
      <c r="D4" s="6" t="s">
        <v>104</v>
      </c>
      <c r="E4" s="7" t="s">
        <v>5</v>
      </c>
      <c r="G4" s="15" t="s">
        <v>106</v>
      </c>
      <c r="H4" t="s">
        <v>110</v>
      </c>
    </row>
    <row r="5" spans="1:26" ht="17">
      <c r="B5" s="8" t="s">
        <v>6</v>
      </c>
      <c r="C5" s="9" t="s">
        <v>7</v>
      </c>
      <c r="D5">
        <v>5711</v>
      </c>
      <c r="E5" s="10">
        <f>D5/D$53</f>
        <v>6.2178749478758949E-3</v>
      </c>
      <c r="G5" s="15" t="s">
        <v>105</v>
      </c>
      <c r="H5" s="17" t="s">
        <v>112</v>
      </c>
    </row>
    <row r="6" spans="1:26" ht="17" customHeight="1">
      <c r="B6" s="8" t="s">
        <v>8</v>
      </c>
      <c r="C6" s="9" t="s">
        <v>9</v>
      </c>
      <c r="D6">
        <v>12</v>
      </c>
      <c r="E6" s="10">
        <f t="shared" ref="E6:E53" si="0">D6/D$53</f>
        <v>1.3065049794171027E-5</v>
      </c>
      <c r="G6" s="15"/>
    </row>
    <row r="7" spans="1:26" ht="17" customHeight="1">
      <c r="B7" s="8" t="s">
        <v>10</v>
      </c>
      <c r="C7" s="9" t="s">
        <v>11</v>
      </c>
      <c r="D7">
        <v>10667</v>
      </c>
      <c r="E7" s="10">
        <f t="shared" si="0"/>
        <v>1.161374051286853E-2</v>
      </c>
      <c r="G7" s="38" t="s">
        <v>113</v>
      </c>
      <c r="H7" s="38"/>
      <c r="I7" s="38"/>
      <c r="J7" s="38"/>
      <c r="K7" s="38"/>
      <c r="L7" s="38"/>
      <c r="M7" s="38"/>
    </row>
    <row r="8" spans="1:26" ht="17" customHeight="1">
      <c r="B8" s="8" t="s">
        <v>12</v>
      </c>
      <c r="C8" s="9" t="s">
        <v>13</v>
      </c>
      <c r="D8">
        <v>46766</v>
      </c>
      <c r="E8" s="10">
        <f t="shared" si="0"/>
        <v>5.0916676556183524E-2</v>
      </c>
      <c r="G8" s="38"/>
      <c r="H8" s="38"/>
      <c r="I8" s="38"/>
      <c r="J8" s="38"/>
      <c r="K8" s="38"/>
      <c r="L8" s="38"/>
      <c r="M8" s="38"/>
    </row>
    <row r="9" spans="1:26" ht="17" customHeight="1">
      <c r="B9" s="8" t="s">
        <v>14</v>
      </c>
      <c r="C9" s="9" t="s">
        <v>15</v>
      </c>
      <c r="D9">
        <v>43860</v>
      </c>
      <c r="E9" s="10">
        <f t="shared" si="0"/>
        <v>4.7752756997695107E-2</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52</v>
      </c>
      <c r="E12" s="10">
        <f t="shared" si="0"/>
        <v>5.6615215774741119E-5</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5" ht="17">
      <c r="B17" s="8" t="s">
        <v>30</v>
      </c>
      <c r="C17" s="9" t="s">
        <v>31</v>
      </c>
      <c r="D17">
        <v>0</v>
      </c>
      <c r="E17" s="10">
        <f t="shared" si="0"/>
        <v>0</v>
      </c>
    </row>
    <row r="18" spans="2:5" ht="17">
      <c r="B18" s="8" t="s">
        <v>32</v>
      </c>
      <c r="C18" s="9" t="s">
        <v>33</v>
      </c>
      <c r="D18">
        <v>65607</v>
      </c>
      <c r="E18" s="10">
        <f t="shared" si="0"/>
        <v>7.1429893487181553E-2</v>
      </c>
    </row>
    <row r="19" spans="2:5" ht="17">
      <c r="B19" s="8" t="s">
        <v>34</v>
      </c>
      <c r="C19" s="9" t="s">
        <v>35</v>
      </c>
      <c r="D19">
        <v>14048</v>
      </c>
      <c r="E19" s="10">
        <f t="shared" si="0"/>
        <v>1.5294818292376217E-2</v>
      </c>
    </row>
    <row r="20" spans="2:5" ht="17">
      <c r="B20" s="8" t="s">
        <v>36</v>
      </c>
      <c r="C20" s="9" t="s">
        <v>37</v>
      </c>
      <c r="D20">
        <v>28836</v>
      </c>
      <c r="E20" s="10">
        <f t="shared" si="0"/>
        <v>3.1395314655392983E-2</v>
      </c>
    </row>
    <row r="21" spans="2:5" ht="17">
      <c r="B21" s="8" t="s">
        <v>38</v>
      </c>
      <c r="C21" s="9" t="s">
        <v>39</v>
      </c>
      <c r="D21">
        <v>0</v>
      </c>
      <c r="E21" s="10">
        <f t="shared" si="0"/>
        <v>0</v>
      </c>
    </row>
    <row r="22" spans="2:5" ht="17">
      <c r="B22" s="8" t="s">
        <v>40</v>
      </c>
      <c r="C22" s="9" t="s">
        <v>41</v>
      </c>
      <c r="D22">
        <v>1</v>
      </c>
      <c r="E22" s="10">
        <f t="shared" si="0"/>
        <v>1.0887541495142524E-6</v>
      </c>
    </row>
    <row r="23" spans="2:5" ht="17">
      <c r="B23" s="8" t="s">
        <v>42</v>
      </c>
      <c r="C23" s="9" t="s">
        <v>43</v>
      </c>
      <c r="D23">
        <v>0</v>
      </c>
      <c r="E23" s="10">
        <f t="shared" si="0"/>
        <v>0</v>
      </c>
    </row>
    <row r="24" spans="2:5" ht="17">
      <c r="B24" s="8" t="s">
        <v>44</v>
      </c>
      <c r="C24" s="9" t="s">
        <v>45</v>
      </c>
      <c r="D24">
        <v>12662</v>
      </c>
      <c r="E24" s="10">
        <f t="shared" si="0"/>
        <v>1.3785805041149462E-2</v>
      </c>
    </row>
    <row r="25" spans="2:5" ht="17">
      <c r="B25" s="8" t="s">
        <v>46</v>
      </c>
      <c r="C25" s="9" t="s">
        <v>47</v>
      </c>
      <c r="D25">
        <v>0</v>
      </c>
      <c r="E25" s="10">
        <f t="shared" si="0"/>
        <v>0</v>
      </c>
    </row>
    <row r="26" spans="2:5" ht="17">
      <c r="B26" s="8" t="s">
        <v>48</v>
      </c>
      <c r="C26" s="9" t="s">
        <v>49</v>
      </c>
      <c r="D26">
        <v>2750</v>
      </c>
      <c r="E26" s="10">
        <f t="shared" si="0"/>
        <v>2.9940739111641939E-3</v>
      </c>
    </row>
    <row r="27" spans="2:5" ht="17">
      <c r="B27" s="8" t="s">
        <v>50</v>
      </c>
      <c r="C27" s="9" t="s">
        <v>51</v>
      </c>
      <c r="D27">
        <v>30</v>
      </c>
      <c r="E27" s="10">
        <f t="shared" si="0"/>
        <v>3.2662624485427569E-5</v>
      </c>
    </row>
    <row r="28" spans="2:5" ht="17">
      <c r="B28" s="8" t="s">
        <v>52</v>
      </c>
      <c r="C28" s="9" t="s">
        <v>53</v>
      </c>
      <c r="D28">
        <v>9268</v>
      </c>
      <c r="E28" s="10">
        <f t="shared" si="0"/>
        <v>1.0090573457698091E-2</v>
      </c>
    </row>
    <row r="29" spans="2:5" ht="17">
      <c r="B29" s="8" t="s">
        <v>54</v>
      </c>
      <c r="C29" s="9" t="s">
        <v>55</v>
      </c>
      <c r="D29">
        <v>1486</v>
      </c>
      <c r="E29" s="10">
        <f t="shared" si="0"/>
        <v>1.6178886661781791E-3</v>
      </c>
    </row>
    <row r="30" spans="2:5" ht="17">
      <c r="B30" s="8" t="s">
        <v>56</v>
      </c>
      <c r="C30" s="9" t="s">
        <v>57</v>
      </c>
      <c r="D30">
        <v>56</v>
      </c>
      <c r="E30" s="10">
        <f t="shared" si="0"/>
        <v>6.0970232372798128E-5</v>
      </c>
    </row>
    <row r="31" spans="2:5" ht="17">
      <c r="B31" s="8" t="s">
        <v>58</v>
      </c>
      <c r="C31" s="9" t="s">
        <v>59</v>
      </c>
      <c r="D31">
        <v>0</v>
      </c>
      <c r="E31" s="10">
        <f t="shared" si="0"/>
        <v>0</v>
      </c>
    </row>
    <row r="32" spans="2:5" ht="17">
      <c r="B32" s="8" t="s">
        <v>60</v>
      </c>
      <c r="C32" s="9" t="s">
        <v>61</v>
      </c>
      <c r="D32">
        <v>0</v>
      </c>
      <c r="E32" s="10">
        <f t="shared" si="0"/>
        <v>0</v>
      </c>
    </row>
    <row r="33" spans="2:5" ht="17">
      <c r="B33" s="8" t="s">
        <v>62</v>
      </c>
      <c r="C33" s="9" t="s">
        <v>63</v>
      </c>
      <c r="D33">
        <v>62044</v>
      </c>
      <c r="E33" s="10">
        <f t="shared" si="0"/>
        <v>6.7550662452462273E-2</v>
      </c>
    </row>
    <row r="34" spans="2:5" ht="17">
      <c r="B34" s="8" t="s">
        <v>64</v>
      </c>
      <c r="C34" s="9" t="s">
        <v>65</v>
      </c>
      <c r="D34">
        <v>10494</v>
      </c>
      <c r="E34" s="10">
        <f t="shared" si="0"/>
        <v>1.1425386045002563E-2</v>
      </c>
    </row>
    <row r="35" spans="2:5" ht="17">
      <c r="B35" s="8" t="s">
        <v>66</v>
      </c>
      <c r="C35" s="9" t="s">
        <v>67</v>
      </c>
      <c r="D35">
        <v>0</v>
      </c>
      <c r="E35" s="10">
        <f t="shared" si="0"/>
        <v>0</v>
      </c>
    </row>
    <row r="36" spans="2:5" ht="17">
      <c r="B36" s="8" t="s">
        <v>68</v>
      </c>
      <c r="C36" s="9" t="s">
        <v>69</v>
      </c>
      <c r="D36">
        <v>20871</v>
      </c>
      <c r="E36" s="10">
        <f t="shared" si="0"/>
        <v>2.2723387854511959E-2</v>
      </c>
    </row>
    <row r="37" spans="2:5" ht="17">
      <c r="B37" s="8" t="s">
        <v>70</v>
      </c>
      <c r="C37" s="9" t="s">
        <v>71</v>
      </c>
      <c r="D37">
        <v>35866</v>
      </c>
      <c r="E37" s="10">
        <f t="shared" si="0"/>
        <v>3.9049256326478175E-2</v>
      </c>
    </row>
    <row r="38" spans="2:5" ht="17">
      <c r="B38" s="8" t="s">
        <v>72</v>
      </c>
      <c r="C38" s="9" t="s">
        <v>73</v>
      </c>
      <c r="D38">
        <v>67302</v>
      </c>
      <c r="E38" s="10">
        <f t="shared" si="0"/>
        <v>7.3275331770608215E-2</v>
      </c>
    </row>
    <row r="39" spans="2:5" ht="17">
      <c r="B39" s="8" t="s">
        <v>74</v>
      </c>
      <c r="C39" s="9" t="s">
        <v>75</v>
      </c>
      <c r="D39">
        <v>9</v>
      </c>
      <c r="E39" s="10">
        <f t="shared" si="0"/>
        <v>9.7987873456282717E-6</v>
      </c>
    </row>
    <row r="40" spans="2:5" ht="17">
      <c r="B40" s="8" t="s">
        <v>76</v>
      </c>
      <c r="C40" s="9" t="s">
        <v>77</v>
      </c>
      <c r="D40">
        <v>84427</v>
      </c>
      <c r="E40" s="10">
        <f t="shared" si="0"/>
        <v>9.1920246581039783E-2</v>
      </c>
    </row>
    <row r="41" spans="2:5" ht="17">
      <c r="B41" s="8" t="s">
        <v>78</v>
      </c>
      <c r="C41" s="9" t="s">
        <v>79</v>
      </c>
      <c r="D41">
        <v>0</v>
      </c>
      <c r="E41" s="10">
        <f t="shared" si="0"/>
        <v>0</v>
      </c>
    </row>
    <row r="42" spans="2:5" ht="17">
      <c r="B42" s="8" t="s">
        <v>80</v>
      </c>
      <c r="C42" s="9" t="s">
        <v>81</v>
      </c>
      <c r="D42">
        <v>0</v>
      </c>
      <c r="E42" s="10">
        <f t="shared" si="0"/>
        <v>0</v>
      </c>
    </row>
    <row r="43" spans="2:5" ht="17">
      <c r="B43" s="8" t="s">
        <v>82</v>
      </c>
      <c r="C43" s="9" t="s">
        <v>83</v>
      </c>
      <c r="D43">
        <v>182</v>
      </c>
      <c r="E43" s="10">
        <f t="shared" si="0"/>
        <v>1.9815325521159392E-4</v>
      </c>
    </row>
    <row r="44" spans="2:5" ht="17">
      <c r="B44" s="8" t="s">
        <v>84</v>
      </c>
      <c r="C44" s="9" t="s">
        <v>85</v>
      </c>
      <c r="D44">
        <v>1675</v>
      </c>
      <c r="E44" s="10">
        <f t="shared" si="0"/>
        <v>1.8236632004363727E-3</v>
      </c>
    </row>
    <row r="45" spans="2:5" ht="17">
      <c r="B45" s="8" t="s">
        <v>86</v>
      </c>
      <c r="C45" s="9" t="s">
        <v>87</v>
      </c>
      <c r="D45">
        <v>281164</v>
      </c>
      <c r="E45" s="10">
        <f t="shared" si="0"/>
        <v>0.30611847169402523</v>
      </c>
    </row>
    <row r="46" spans="2:5" ht="17">
      <c r="B46" s="8" t="s">
        <v>88</v>
      </c>
      <c r="C46" s="9" t="s">
        <v>89</v>
      </c>
      <c r="D46">
        <v>12806</v>
      </c>
      <c r="E46" s="10">
        <f t="shared" si="0"/>
        <v>1.3942585638679516E-2</v>
      </c>
    </row>
    <row r="47" spans="2:5" ht="17">
      <c r="B47" s="8" t="s">
        <v>90</v>
      </c>
      <c r="C47" s="9" t="s">
        <v>91</v>
      </c>
      <c r="D47">
        <v>0</v>
      </c>
      <c r="E47" s="10">
        <f t="shared" si="0"/>
        <v>0</v>
      </c>
    </row>
    <row r="48" spans="2:5" ht="17">
      <c r="B48" s="8" t="s">
        <v>92</v>
      </c>
      <c r="C48" s="9" t="s">
        <v>93</v>
      </c>
      <c r="D48">
        <v>8118</v>
      </c>
      <c r="E48" s="10">
        <f t="shared" si="0"/>
        <v>8.8385061857567011E-3</v>
      </c>
    </row>
    <row r="49" spans="2:5" ht="17">
      <c r="B49" s="8" t="s">
        <v>94</v>
      </c>
      <c r="C49" s="9" t="s">
        <v>95</v>
      </c>
      <c r="D49">
        <v>0</v>
      </c>
      <c r="E49" s="10">
        <f t="shared" si="0"/>
        <v>0</v>
      </c>
    </row>
    <row r="50" spans="2:5" ht="17">
      <c r="B50" s="8" t="s">
        <v>96</v>
      </c>
      <c r="C50" s="9" t="s">
        <v>97</v>
      </c>
      <c r="D50">
        <v>56630</v>
      </c>
      <c r="E50" s="10">
        <f t="shared" si="0"/>
        <v>6.1656147486992108E-2</v>
      </c>
    </row>
    <row r="51" spans="2:5" ht="17">
      <c r="B51" s="8" t="s">
        <v>98</v>
      </c>
      <c r="C51" s="9" t="s">
        <v>99</v>
      </c>
      <c r="D51">
        <v>0</v>
      </c>
      <c r="E51" s="10">
        <f t="shared" si="0"/>
        <v>0</v>
      </c>
    </row>
    <row r="52" spans="2:5" ht="17">
      <c r="B52" s="8" t="s">
        <v>100</v>
      </c>
      <c r="C52" s="9" t="s">
        <v>101</v>
      </c>
      <c r="D52">
        <v>30273</v>
      </c>
      <c r="E52" s="10">
        <f t="shared" si="0"/>
        <v>3.2959854368244959E-2</v>
      </c>
    </row>
    <row r="53" spans="2:5" ht="17">
      <c r="B53" s="11" t="s">
        <v>102</v>
      </c>
      <c r="C53" s="12" t="s">
        <v>103</v>
      </c>
      <c r="D53" s="13">
        <v>918481</v>
      </c>
      <c r="E53" s="14">
        <f t="shared" si="0"/>
        <v>1</v>
      </c>
    </row>
  </sheetData>
  <mergeCells count="1">
    <mergeCell ref="G7:M12"/>
  </mergeCells>
  <hyperlinks>
    <hyperlink ref="H5" r:id="rId1" xr:uid="{A109AFEB-CEDC-1B4D-90EC-F6B7ED74F20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0A18-3A26-204A-8797-EA38032E1BF6}">
  <dimension ref="A1:Z53"/>
  <sheetViews>
    <sheetView workbookViewId="0">
      <selection activeCell="G7" sqref="G7: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134</v>
      </c>
    </row>
    <row r="4" spans="1:26" ht="17">
      <c r="B4" s="4" t="s">
        <v>2</v>
      </c>
      <c r="C4" s="5" t="s">
        <v>3</v>
      </c>
      <c r="D4" s="6" t="s">
        <v>104</v>
      </c>
      <c r="E4" s="7" t="s">
        <v>5</v>
      </c>
      <c r="G4" s="15" t="s">
        <v>106</v>
      </c>
      <c r="H4" t="s">
        <v>135</v>
      </c>
    </row>
    <row r="5" spans="1:26" ht="17">
      <c r="B5" s="8" t="s">
        <v>6</v>
      </c>
      <c r="C5" s="9" t="s">
        <v>7</v>
      </c>
      <c r="D5">
        <v>0</v>
      </c>
      <c r="E5" s="10">
        <f>D5/D$53</f>
        <v>0</v>
      </c>
      <c r="G5" s="15" t="s">
        <v>105</v>
      </c>
      <c r="H5" s="17" t="s">
        <v>136</v>
      </c>
    </row>
    <row r="6" spans="1:26" ht="17" customHeight="1">
      <c r="B6" s="8" t="s">
        <v>8</v>
      </c>
      <c r="C6" s="9" t="s">
        <v>9</v>
      </c>
      <c r="D6">
        <v>53.1</v>
      </c>
      <c r="E6" s="10">
        <f t="shared" ref="E6:E53" si="0">D6/D$53</f>
        <v>4.4980559249815713E-3</v>
      </c>
      <c r="G6" s="15"/>
    </row>
    <row r="7" spans="1:26" ht="17" customHeight="1">
      <c r="B7" s="8" t="s">
        <v>10</v>
      </c>
      <c r="C7" s="9" t="s">
        <v>11</v>
      </c>
      <c r="D7">
        <v>43.7</v>
      </c>
      <c r="E7" s="10">
        <f t="shared" si="0"/>
        <v>3.7017899043633646E-3</v>
      </c>
      <c r="G7" s="38" t="s">
        <v>139</v>
      </c>
      <c r="H7" s="38"/>
      <c r="I7" s="38"/>
      <c r="J7" s="38"/>
      <c r="K7" s="38"/>
      <c r="L7" s="38"/>
      <c r="M7" s="38"/>
    </row>
    <row r="8" spans="1:26" ht="17" customHeight="1">
      <c r="B8" s="8" t="s">
        <v>12</v>
      </c>
      <c r="C8" s="9" t="s">
        <v>13</v>
      </c>
      <c r="D8">
        <v>35.4</v>
      </c>
      <c r="E8" s="10">
        <f t="shared" si="0"/>
        <v>2.9987039499877136E-3</v>
      </c>
      <c r="G8" s="38"/>
      <c r="H8" s="38"/>
      <c r="I8" s="38"/>
      <c r="J8" s="38"/>
      <c r="K8" s="38"/>
      <c r="L8" s="38"/>
      <c r="M8" s="38"/>
    </row>
    <row r="9" spans="1:26" ht="17" customHeight="1">
      <c r="B9" s="8" t="s">
        <v>14</v>
      </c>
      <c r="C9" s="9" t="s">
        <v>15</v>
      </c>
      <c r="D9">
        <v>29.799999999999997</v>
      </c>
      <c r="E9" s="10">
        <f t="shared" si="0"/>
        <v>2.5243327036619735E-3</v>
      </c>
      <c r="G9" s="38"/>
      <c r="H9" s="38"/>
      <c r="I9" s="38"/>
      <c r="J9" s="38"/>
      <c r="K9" s="38"/>
      <c r="L9" s="38"/>
      <c r="M9" s="38"/>
    </row>
    <row r="10" spans="1:26" ht="17" customHeight="1">
      <c r="B10" s="8" t="s">
        <v>16</v>
      </c>
      <c r="C10" s="9" t="s">
        <v>17</v>
      </c>
      <c r="D10">
        <v>9.4</v>
      </c>
      <c r="E10" s="10">
        <f t="shared" si="0"/>
        <v>7.9626602061820648E-4</v>
      </c>
      <c r="G10" s="38"/>
      <c r="H10" s="38"/>
      <c r="I10" s="38"/>
      <c r="J10" s="38"/>
      <c r="K10" s="38"/>
      <c r="L10" s="38"/>
      <c r="M10" s="38"/>
    </row>
    <row r="11" spans="1:26" ht="17" customHeight="1">
      <c r="B11" s="8" t="s">
        <v>18</v>
      </c>
      <c r="C11" s="9" t="s">
        <v>19</v>
      </c>
      <c r="D11">
        <v>7.9</v>
      </c>
      <c r="E11" s="10">
        <f t="shared" si="0"/>
        <v>6.6920229392381186E-4</v>
      </c>
      <c r="G11" s="38"/>
      <c r="H11" s="38"/>
      <c r="I11" s="38"/>
      <c r="J11" s="38"/>
      <c r="K11" s="38"/>
      <c r="L11" s="38"/>
      <c r="M11" s="38"/>
    </row>
    <row r="12" spans="1:26" ht="17" customHeight="1">
      <c r="B12" s="8" t="s">
        <v>20</v>
      </c>
      <c r="C12" s="9" t="s">
        <v>21</v>
      </c>
      <c r="D12">
        <v>448.8</v>
      </c>
      <c r="E12" s="10">
        <f t="shared" si="0"/>
        <v>3.8017467026962883E-2</v>
      </c>
      <c r="G12" s="38"/>
      <c r="H12" s="38"/>
      <c r="I12" s="38"/>
      <c r="J12" s="38"/>
      <c r="K12" s="38"/>
      <c r="L12" s="38"/>
      <c r="M12" s="38"/>
    </row>
    <row r="13" spans="1:26" ht="17" customHeight="1">
      <c r="B13" s="8" t="s">
        <v>22</v>
      </c>
      <c r="C13" s="9" t="s">
        <v>23</v>
      </c>
      <c r="D13">
        <v>43.099999999999994</v>
      </c>
      <c r="E13" s="10">
        <f t="shared" si="0"/>
        <v>3.6509644136856058E-3</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215.79999999999998</v>
      </c>
      <c r="E15" s="10">
        <f t="shared" si="0"/>
        <v>1.8280234813766911E-2</v>
      </c>
      <c r="H15" s="16"/>
      <c r="I15" s="16"/>
      <c r="J15" s="16"/>
      <c r="K15" s="16"/>
      <c r="L15" s="16"/>
    </row>
    <row r="16" spans="1:26" ht="17">
      <c r="B16" s="8" t="s">
        <v>28</v>
      </c>
      <c r="C16" s="9" t="s">
        <v>29</v>
      </c>
      <c r="D16">
        <v>866.3</v>
      </c>
      <c r="E16" s="10">
        <f t="shared" si="0"/>
        <v>7.3383537623569389E-2</v>
      </c>
      <c r="H16" s="16"/>
      <c r="I16" s="16"/>
      <c r="J16" s="16"/>
      <c r="K16" s="16"/>
      <c r="L16" s="16"/>
    </row>
    <row r="17" spans="2:5" ht="17">
      <c r="B17" s="8" t="s">
        <v>30</v>
      </c>
      <c r="C17" s="9" t="s">
        <v>31</v>
      </c>
      <c r="D17">
        <v>201.4</v>
      </c>
      <c r="E17" s="10">
        <f t="shared" si="0"/>
        <v>1.7060423037500723E-2</v>
      </c>
    </row>
    <row r="18" spans="2:5" ht="17">
      <c r="B18" s="8" t="s">
        <v>32</v>
      </c>
      <c r="C18" s="9" t="s">
        <v>33</v>
      </c>
      <c r="D18">
        <v>62.599999999999994</v>
      </c>
      <c r="E18" s="10">
        <f t="shared" si="0"/>
        <v>5.3027928607127361E-3</v>
      </c>
    </row>
    <row r="19" spans="2:5" ht="17">
      <c r="B19" s="8" t="s">
        <v>34</v>
      </c>
      <c r="C19" s="9" t="s">
        <v>35</v>
      </c>
      <c r="D19">
        <v>1604.9999999999998</v>
      </c>
      <c r="E19" s="10">
        <f t="shared" si="0"/>
        <v>0.13595818756300226</v>
      </c>
    </row>
    <row r="20" spans="2:5" ht="17">
      <c r="B20" s="8" t="s">
        <v>36</v>
      </c>
      <c r="C20" s="9" t="s">
        <v>37</v>
      </c>
      <c r="D20">
        <v>0.6</v>
      </c>
      <c r="E20" s="10">
        <f t="shared" si="0"/>
        <v>5.082549067775786E-5</v>
      </c>
    </row>
    <row r="21" spans="2:5" ht="17">
      <c r="B21" s="8" t="s">
        <v>38</v>
      </c>
      <c r="C21" s="9" t="s">
        <v>39</v>
      </c>
      <c r="D21">
        <v>22.1</v>
      </c>
      <c r="E21" s="10">
        <f t="shared" si="0"/>
        <v>1.8720722399640814E-3</v>
      </c>
    </row>
    <row r="22" spans="2:5" ht="17">
      <c r="B22" s="8" t="s">
        <v>40</v>
      </c>
      <c r="C22" s="9" t="s">
        <v>41</v>
      </c>
      <c r="D22">
        <v>12.7</v>
      </c>
      <c r="E22" s="10">
        <f t="shared" si="0"/>
        <v>1.0758062193458747E-3</v>
      </c>
    </row>
    <row r="23" spans="2:5" ht="17">
      <c r="B23" s="8" t="s">
        <v>42</v>
      </c>
      <c r="C23" s="9" t="s">
        <v>43</v>
      </c>
      <c r="D23">
        <v>15.899999999999999</v>
      </c>
      <c r="E23" s="10">
        <f t="shared" si="0"/>
        <v>1.3468755029605833E-3</v>
      </c>
    </row>
    <row r="24" spans="2:5" ht="17">
      <c r="B24" s="8" t="s">
        <v>44</v>
      </c>
      <c r="C24" s="9" t="s">
        <v>45</v>
      </c>
      <c r="D24">
        <v>55.500000000000007</v>
      </c>
      <c r="E24" s="10">
        <f t="shared" si="0"/>
        <v>4.7013578876926032E-3</v>
      </c>
    </row>
    <row r="25" spans="2:5" ht="17">
      <c r="B25" s="8" t="s">
        <v>46</v>
      </c>
      <c r="C25" s="9" t="s">
        <v>47</v>
      </c>
      <c r="D25">
        <v>21.799999999999997</v>
      </c>
      <c r="E25" s="10">
        <f t="shared" si="0"/>
        <v>1.846659494625202E-3</v>
      </c>
    </row>
    <row r="26" spans="2:5" ht="17">
      <c r="B26" s="8" t="s">
        <v>48</v>
      </c>
      <c r="C26" s="9" t="s">
        <v>49</v>
      </c>
      <c r="D26">
        <v>146.69999999999999</v>
      </c>
      <c r="E26" s="10">
        <f t="shared" si="0"/>
        <v>1.2426832470711796E-2</v>
      </c>
    </row>
    <row r="27" spans="2:5" ht="17">
      <c r="B27" s="8" t="s">
        <v>50</v>
      </c>
      <c r="C27" s="9" t="s">
        <v>51</v>
      </c>
      <c r="D27">
        <v>61</v>
      </c>
      <c r="E27" s="10">
        <f t="shared" si="0"/>
        <v>5.1672582189053826E-3</v>
      </c>
    </row>
    <row r="28" spans="2:5" ht="17">
      <c r="B28" s="8" t="s">
        <v>52</v>
      </c>
      <c r="C28" s="9" t="s">
        <v>53</v>
      </c>
      <c r="D28">
        <v>211.5</v>
      </c>
      <c r="E28" s="10">
        <f t="shared" si="0"/>
        <v>1.7915985463909646E-2</v>
      </c>
    </row>
    <row r="29" spans="2:5" ht="17">
      <c r="B29" s="8" t="s">
        <v>54</v>
      </c>
      <c r="C29" s="9" t="s">
        <v>55</v>
      </c>
      <c r="D29">
        <v>0</v>
      </c>
      <c r="E29" s="10">
        <f t="shared" si="0"/>
        <v>0</v>
      </c>
    </row>
    <row r="30" spans="2:5" ht="17">
      <c r="B30" s="8" t="s">
        <v>56</v>
      </c>
      <c r="C30" s="9" t="s">
        <v>57</v>
      </c>
      <c r="D30">
        <v>5</v>
      </c>
      <c r="E30" s="10">
        <f t="shared" si="0"/>
        <v>4.2354575564798217E-4</v>
      </c>
    </row>
    <row r="31" spans="2:5" ht="17">
      <c r="B31" s="8" t="s">
        <v>58</v>
      </c>
      <c r="C31" s="9" t="s">
        <v>59</v>
      </c>
      <c r="D31">
        <v>0</v>
      </c>
      <c r="E31" s="10">
        <f t="shared" si="0"/>
        <v>0</v>
      </c>
    </row>
    <row r="32" spans="2:5" ht="17">
      <c r="B32" s="8" t="s">
        <v>60</v>
      </c>
      <c r="C32" s="9" t="s">
        <v>61</v>
      </c>
      <c r="D32">
        <v>12.099999999999998</v>
      </c>
      <c r="E32" s="10">
        <f t="shared" si="0"/>
        <v>1.0249807286681167E-3</v>
      </c>
    </row>
    <row r="33" spans="2:5" ht="17">
      <c r="B33" s="8" t="s">
        <v>62</v>
      </c>
      <c r="C33" s="9" t="s">
        <v>63</v>
      </c>
      <c r="D33">
        <v>0</v>
      </c>
      <c r="E33" s="10">
        <f t="shared" si="0"/>
        <v>0</v>
      </c>
    </row>
    <row r="34" spans="2:5" ht="17">
      <c r="B34" s="8" t="s">
        <v>64</v>
      </c>
      <c r="C34" s="9" t="s">
        <v>65</v>
      </c>
      <c r="D34">
        <v>32.199999999999996</v>
      </c>
      <c r="E34" s="10">
        <f t="shared" si="0"/>
        <v>2.727634666373005E-3</v>
      </c>
    </row>
    <row r="35" spans="2:5" ht="17">
      <c r="B35" s="8" t="s">
        <v>66</v>
      </c>
      <c r="C35" s="9" t="s">
        <v>67</v>
      </c>
      <c r="D35">
        <v>493.7</v>
      </c>
      <c r="E35" s="10">
        <f t="shared" si="0"/>
        <v>4.1820907912681761E-2</v>
      </c>
    </row>
    <row r="36" spans="2:5" ht="17">
      <c r="B36" s="8" t="s">
        <v>68</v>
      </c>
      <c r="C36" s="9" t="s">
        <v>69</v>
      </c>
      <c r="D36">
        <v>265.3</v>
      </c>
      <c r="E36" s="10">
        <f t="shared" si="0"/>
        <v>2.2473337794681934E-2</v>
      </c>
    </row>
    <row r="37" spans="2:5" ht="17">
      <c r="B37" s="8" t="s">
        <v>70</v>
      </c>
      <c r="C37" s="9" t="s">
        <v>71</v>
      </c>
      <c r="D37">
        <v>1867.3</v>
      </c>
      <c r="E37" s="10">
        <f t="shared" si="0"/>
        <v>0.15817739790429541</v>
      </c>
    </row>
    <row r="38" spans="2:5" ht="17">
      <c r="B38" s="8" t="s">
        <v>72</v>
      </c>
      <c r="C38" s="9" t="s">
        <v>73</v>
      </c>
      <c r="D38">
        <v>9</v>
      </c>
      <c r="E38" s="10">
        <f t="shared" si="0"/>
        <v>7.623823601663679E-4</v>
      </c>
    </row>
    <row r="39" spans="2:5" ht="17">
      <c r="B39" s="8" t="s">
        <v>74</v>
      </c>
      <c r="C39" s="9" t="s">
        <v>75</v>
      </c>
      <c r="D39">
        <v>1.1000000000000001</v>
      </c>
      <c r="E39" s="10">
        <f t="shared" si="0"/>
        <v>9.318006624255609E-5</v>
      </c>
    </row>
    <row r="40" spans="2:5" ht="17">
      <c r="B40" s="8" t="s">
        <v>76</v>
      </c>
      <c r="C40" s="9" t="s">
        <v>77</v>
      </c>
      <c r="D40">
        <v>718.4</v>
      </c>
      <c r="E40" s="10">
        <f t="shared" si="0"/>
        <v>6.0855054171502075E-2</v>
      </c>
    </row>
    <row r="41" spans="2:5" ht="17">
      <c r="B41" s="8" t="s">
        <v>78</v>
      </c>
      <c r="C41" s="9" t="s">
        <v>79</v>
      </c>
      <c r="D41">
        <v>0</v>
      </c>
      <c r="E41" s="10">
        <f t="shared" si="0"/>
        <v>0</v>
      </c>
    </row>
    <row r="42" spans="2:5" ht="17">
      <c r="B42" s="8" t="s">
        <v>80</v>
      </c>
      <c r="C42" s="9" t="s">
        <v>81</v>
      </c>
      <c r="D42">
        <v>73.3</v>
      </c>
      <c r="E42" s="10">
        <f t="shared" si="0"/>
        <v>6.2091807777994185E-3</v>
      </c>
    </row>
    <row r="43" spans="2:5" ht="17">
      <c r="B43" s="8" t="s">
        <v>82</v>
      </c>
      <c r="C43" s="9" t="s">
        <v>83</v>
      </c>
      <c r="D43">
        <v>10.1</v>
      </c>
      <c r="E43" s="10">
        <f t="shared" si="0"/>
        <v>8.5556242640892394E-4</v>
      </c>
    </row>
    <row r="44" spans="2:5" ht="17">
      <c r="B44" s="8" t="s">
        <v>84</v>
      </c>
      <c r="C44" s="9" t="s">
        <v>85</v>
      </c>
      <c r="D44">
        <v>2208</v>
      </c>
      <c r="E44" s="10">
        <f t="shared" si="0"/>
        <v>0.18703780569414893</v>
      </c>
    </row>
    <row r="45" spans="2:5" ht="17">
      <c r="B45" s="8" t="s">
        <v>86</v>
      </c>
      <c r="C45" s="9" t="s">
        <v>87</v>
      </c>
      <c r="D45">
        <v>456.70000000000005</v>
      </c>
      <c r="E45" s="10">
        <f t="shared" si="0"/>
        <v>3.8686669320886699E-2</v>
      </c>
    </row>
    <row r="46" spans="2:5" ht="17">
      <c r="B46" s="8" t="s">
        <v>88</v>
      </c>
      <c r="C46" s="9" t="s">
        <v>89</v>
      </c>
      <c r="D46">
        <v>87.7</v>
      </c>
      <c r="E46" s="10">
        <f t="shared" si="0"/>
        <v>7.4289925540656073E-3</v>
      </c>
    </row>
    <row r="47" spans="2:5" ht="17">
      <c r="B47" s="8" t="s">
        <v>90</v>
      </c>
      <c r="C47" s="9" t="s">
        <v>91</v>
      </c>
      <c r="D47">
        <v>0</v>
      </c>
      <c r="E47" s="10">
        <f t="shared" si="0"/>
        <v>0</v>
      </c>
    </row>
    <row r="48" spans="2:5" ht="17">
      <c r="B48" s="8" t="s">
        <v>92</v>
      </c>
      <c r="C48" s="9" t="s">
        <v>93</v>
      </c>
      <c r="D48">
        <v>32.699999999999996</v>
      </c>
      <c r="E48" s="10">
        <f t="shared" si="0"/>
        <v>2.7699892419378032E-3</v>
      </c>
    </row>
    <row r="49" spans="2:5" ht="17">
      <c r="B49" s="8" t="s">
        <v>94</v>
      </c>
      <c r="C49" s="9" t="s">
        <v>95</v>
      </c>
      <c r="D49">
        <v>1.1000000000000001</v>
      </c>
      <c r="E49" s="10">
        <f t="shared" si="0"/>
        <v>9.318006624255609E-5</v>
      </c>
    </row>
    <row r="50" spans="2:5" ht="17">
      <c r="B50" s="8" t="s">
        <v>96</v>
      </c>
      <c r="C50" s="9" t="s">
        <v>97</v>
      </c>
      <c r="D50">
        <v>963</v>
      </c>
      <c r="E50" s="10">
        <f t="shared" si="0"/>
        <v>8.1574912537801372E-2</v>
      </c>
    </row>
    <row r="51" spans="2:5" ht="17">
      <c r="B51" s="8" t="s">
        <v>98</v>
      </c>
      <c r="C51" s="9" t="s">
        <v>99</v>
      </c>
      <c r="D51">
        <v>134</v>
      </c>
      <c r="E51" s="10">
        <f t="shared" si="0"/>
        <v>1.1351026251365923E-2</v>
      </c>
    </row>
    <row r="52" spans="2:5" ht="17">
      <c r="B52" s="8" t="s">
        <v>100</v>
      </c>
      <c r="C52" s="9" t="s">
        <v>101</v>
      </c>
      <c r="D52">
        <v>253.89999999999998</v>
      </c>
      <c r="E52" s="10">
        <f t="shared" si="0"/>
        <v>2.1507653471804535E-2</v>
      </c>
    </row>
    <row r="53" spans="2:5" ht="17">
      <c r="B53" s="11" t="s">
        <v>102</v>
      </c>
      <c r="C53" s="12" t="s">
        <v>103</v>
      </c>
      <c r="D53" s="13">
        <v>11805.100000000013</v>
      </c>
      <c r="E53" s="14">
        <f t="shared" si="0"/>
        <v>1</v>
      </c>
    </row>
  </sheetData>
  <mergeCells count="1">
    <mergeCell ref="G7:M12"/>
  </mergeCells>
  <hyperlinks>
    <hyperlink ref="H5" r:id="rId1" xr:uid="{7134F6A4-67EE-1A42-97B8-0B89B3D77625}"/>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848C-12BE-8F46-AF50-714338AA6A3B}">
  <dimension ref="A1:Z55"/>
  <sheetViews>
    <sheetView workbookViewId="0">
      <selection activeCell="G13" sqref="G13"/>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186</v>
      </c>
    </row>
    <row r="4" spans="1:26" ht="17">
      <c r="B4" s="4" t="s">
        <v>2</v>
      </c>
      <c r="C4" s="5" t="s">
        <v>3</v>
      </c>
      <c r="D4" s="6" t="s">
        <v>104</v>
      </c>
      <c r="E4" s="7" t="s">
        <v>5</v>
      </c>
      <c r="G4" s="15" t="s">
        <v>106</v>
      </c>
      <c r="H4" t="s">
        <v>187</v>
      </c>
    </row>
    <row r="5" spans="1:26" ht="17">
      <c r="B5" s="8" t="s">
        <v>6</v>
      </c>
      <c r="C5" s="9" t="s">
        <v>7</v>
      </c>
      <c r="D5">
        <v>1</v>
      </c>
      <c r="E5" s="10">
        <f>D5/D$53</f>
        <v>0.01</v>
      </c>
      <c r="G5" s="15" t="s">
        <v>105</v>
      </c>
      <c r="H5" s="17" t="s">
        <v>188</v>
      </c>
    </row>
    <row r="6" spans="1:26" ht="17" customHeight="1">
      <c r="B6" s="8" t="s">
        <v>8</v>
      </c>
      <c r="C6" s="9" t="s">
        <v>9</v>
      </c>
      <c r="D6">
        <v>0</v>
      </c>
      <c r="E6" s="10">
        <f t="shared" ref="E6:E53" si="0">D6/D$53</f>
        <v>0</v>
      </c>
      <c r="G6" s="15"/>
    </row>
    <row r="7" spans="1:26" ht="17" customHeight="1">
      <c r="B7" s="8" t="s">
        <v>10</v>
      </c>
      <c r="C7" s="9" t="s">
        <v>11</v>
      </c>
      <c r="D7">
        <v>3</v>
      </c>
      <c r="E7" s="10">
        <f t="shared" si="0"/>
        <v>0.03</v>
      </c>
      <c r="G7" s="38" t="s">
        <v>211</v>
      </c>
      <c r="H7" s="38"/>
      <c r="I7" s="38"/>
      <c r="J7" s="38"/>
      <c r="K7" s="38"/>
      <c r="L7" s="38"/>
      <c r="M7" s="38"/>
    </row>
    <row r="8" spans="1:26" ht="17" customHeight="1">
      <c r="B8" s="8" t="s">
        <v>12</v>
      </c>
      <c r="C8" s="9" t="s">
        <v>13</v>
      </c>
      <c r="D8">
        <v>2</v>
      </c>
      <c r="E8" s="10">
        <f t="shared" si="0"/>
        <v>0.02</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2</v>
      </c>
      <c r="E12" s="10">
        <f t="shared" si="0"/>
        <v>0.02</v>
      </c>
      <c r="G12" s="38"/>
      <c r="H12" s="38"/>
      <c r="I12" s="38"/>
      <c r="J12" s="38"/>
      <c r="K12" s="38"/>
      <c r="L12" s="38"/>
      <c r="M12" s="38"/>
    </row>
    <row r="13" spans="1:26" ht="17" customHeight="1">
      <c r="B13" s="8" t="s">
        <v>22</v>
      </c>
      <c r="C13" s="9" t="s">
        <v>23</v>
      </c>
      <c r="D13">
        <v>1</v>
      </c>
      <c r="E13" s="10">
        <f t="shared" si="0"/>
        <v>0.01</v>
      </c>
      <c r="H13" s="16"/>
      <c r="I13" s="16"/>
      <c r="J13" s="16"/>
      <c r="K13" s="16"/>
      <c r="L13" s="16"/>
    </row>
    <row r="14" spans="1:26" ht="17">
      <c r="B14" s="8" t="s">
        <v>24</v>
      </c>
      <c r="C14" s="9" t="s">
        <v>25</v>
      </c>
      <c r="D14">
        <v>2</v>
      </c>
      <c r="E14" s="10">
        <f t="shared" si="0"/>
        <v>0.02</v>
      </c>
      <c r="H14" s="16"/>
      <c r="I14" s="16"/>
      <c r="J14" s="16"/>
      <c r="K14" s="16"/>
      <c r="L14" s="16"/>
    </row>
    <row r="15" spans="1:26" ht="17">
      <c r="B15" s="8" t="s">
        <v>26</v>
      </c>
      <c r="C15" s="9" t="s">
        <v>27</v>
      </c>
      <c r="D15">
        <v>12</v>
      </c>
      <c r="E15" s="10">
        <f t="shared" si="0"/>
        <v>0.12</v>
      </c>
      <c r="H15" s="16"/>
      <c r="I15" s="16"/>
      <c r="J15" s="16"/>
      <c r="K15" s="16"/>
      <c r="L15" s="16"/>
    </row>
    <row r="16" spans="1:26" ht="17">
      <c r="B16" s="8" t="s">
        <v>28</v>
      </c>
      <c r="C16" s="9" t="s">
        <v>29</v>
      </c>
      <c r="D16">
        <v>5</v>
      </c>
      <c r="E16" s="10">
        <f t="shared" si="0"/>
        <v>0.05</v>
      </c>
      <c r="H16" s="16"/>
      <c r="I16" s="16"/>
      <c r="J16" s="16"/>
      <c r="K16" s="16"/>
      <c r="L16" s="16"/>
    </row>
    <row r="17" spans="2:16" ht="17">
      <c r="B17" s="8" t="s">
        <v>30</v>
      </c>
      <c r="C17" s="9" t="s">
        <v>31</v>
      </c>
      <c r="D17">
        <v>13</v>
      </c>
      <c r="E17" s="10">
        <f t="shared" si="0"/>
        <v>0.13</v>
      </c>
    </row>
    <row r="18" spans="2:16" ht="17">
      <c r="B18" s="8" t="s">
        <v>32</v>
      </c>
      <c r="C18" s="9" t="s">
        <v>33</v>
      </c>
      <c r="D18">
        <v>2</v>
      </c>
      <c r="E18" s="10">
        <f t="shared" si="0"/>
        <v>0.02</v>
      </c>
    </row>
    <row r="19" spans="2:16" ht="17">
      <c r="B19" s="8" t="s">
        <v>34</v>
      </c>
      <c r="C19" s="9" t="s">
        <v>35</v>
      </c>
      <c r="D19">
        <v>3</v>
      </c>
      <c r="E19" s="10">
        <f t="shared" si="0"/>
        <v>0.03</v>
      </c>
    </row>
    <row r="20" spans="2:16" ht="17">
      <c r="B20" s="8" t="s">
        <v>36</v>
      </c>
      <c r="C20" s="9" t="s">
        <v>37</v>
      </c>
      <c r="D20">
        <v>2</v>
      </c>
      <c r="E20" s="10">
        <f t="shared" si="0"/>
        <v>0.02</v>
      </c>
      <c r="I20" s="28"/>
      <c r="J20" s="28"/>
      <c r="K20" s="29"/>
      <c r="L20" s="30"/>
      <c r="M20" s="30"/>
      <c r="N20" s="30"/>
      <c r="O20" s="28"/>
      <c r="P20" s="28"/>
    </row>
    <row r="21" spans="2:16" ht="17">
      <c r="B21" s="8" t="s">
        <v>38</v>
      </c>
      <c r="C21" s="9" t="s">
        <v>39</v>
      </c>
      <c r="D21">
        <v>0</v>
      </c>
      <c r="E21" s="10">
        <f t="shared" si="0"/>
        <v>0</v>
      </c>
      <c r="I21" s="28"/>
      <c r="J21" s="28"/>
      <c r="K21" s="28"/>
      <c r="L21" s="29"/>
      <c r="M21" s="29"/>
      <c r="N21" s="29"/>
      <c r="O21" s="28"/>
      <c r="P21" s="28"/>
    </row>
    <row r="22" spans="2:16" ht="17">
      <c r="B22" s="8" t="s">
        <v>40</v>
      </c>
      <c r="C22" s="9" t="s">
        <v>41</v>
      </c>
      <c r="D22">
        <v>1</v>
      </c>
      <c r="E22" s="10">
        <f t="shared" si="0"/>
        <v>0.01</v>
      </c>
      <c r="I22" s="28"/>
      <c r="J22" s="28"/>
      <c r="K22" s="29"/>
      <c r="L22" s="29"/>
      <c r="M22" s="29"/>
      <c r="N22" s="29"/>
      <c r="O22" s="28"/>
      <c r="P22" s="28"/>
    </row>
    <row r="23" spans="2:16" ht="17">
      <c r="B23" s="8" t="s">
        <v>42</v>
      </c>
      <c r="C23" s="9" t="s">
        <v>43</v>
      </c>
      <c r="D23">
        <v>0</v>
      </c>
      <c r="E23" s="10">
        <f t="shared" si="0"/>
        <v>0</v>
      </c>
      <c r="I23" s="28"/>
      <c r="J23" s="28"/>
      <c r="K23" s="28"/>
      <c r="L23" s="29"/>
      <c r="M23" s="29"/>
      <c r="N23" s="29"/>
      <c r="O23" s="28"/>
      <c r="P23" s="28"/>
    </row>
    <row r="24" spans="2:16" ht="17">
      <c r="B24" s="8" t="s">
        <v>44</v>
      </c>
      <c r="C24" s="9" t="s">
        <v>45</v>
      </c>
      <c r="D24">
        <v>4</v>
      </c>
      <c r="E24" s="10">
        <f t="shared" si="0"/>
        <v>0.04</v>
      </c>
      <c r="I24" s="28"/>
      <c r="J24" s="28"/>
      <c r="K24" s="28"/>
      <c r="L24" s="29"/>
      <c r="M24" s="29"/>
      <c r="N24" s="29"/>
      <c r="O24" s="28"/>
      <c r="P24" s="28"/>
    </row>
    <row r="25" spans="2:16" ht="17">
      <c r="B25" s="8" t="s">
        <v>46</v>
      </c>
      <c r="C25" s="9" t="s">
        <v>47</v>
      </c>
      <c r="D25">
        <v>7</v>
      </c>
      <c r="E25" s="10">
        <f t="shared" si="0"/>
        <v>7.0000000000000007E-2</v>
      </c>
      <c r="I25" s="28"/>
      <c r="J25" s="28"/>
      <c r="K25" s="29"/>
      <c r="L25" s="29"/>
      <c r="M25" s="29"/>
      <c r="N25" s="29"/>
      <c r="O25" s="28"/>
      <c r="P25" s="28"/>
    </row>
    <row r="26" spans="2:16" ht="17">
      <c r="B26" s="8" t="s">
        <v>48</v>
      </c>
      <c r="C26" s="9" t="s">
        <v>49</v>
      </c>
      <c r="D26">
        <v>1</v>
      </c>
      <c r="E26" s="10">
        <f t="shared" si="0"/>
        <v>0.01</v>
      </c>
      <c r="I26" s="28"/>
      <c r="J26" s="28"/>
      <c r="K26" s="28"/>
      <c r="L26" s="29"/>
      <c r="M26" s="29"/>
      <c r="N26" s="29"/>
      <c r="O26" s="28"/>
      <c r="P26" s="28"/>
    </row>
    <row r="27" spans="2:16" ht="17">
      <c r="B27" s="8" t="s">
        <v>50</v>
      </c>
      <c r="C27" s="9" t="s">
        <v>51</v>
      </c>
      <c r="D27">
        <v>5</v>
      </c>
      <c r="E27" s="10">
        <f t="shared" si="0"/>
        <v>0.05</v>
      </c>
      <c r="I27" s="28"/>
      <c r="J27" s="28"/>
      <c r="K27" s="28"/>
      <c r="L27" s="29"/>
      <c r="M27" s="29"/>
      <c r="N27" s="29"/>
      <c r="O27" s="28"/>
      <c r="P27" s="28"/>
    </row>
    <row r="28" spans="2:16" ht="17">
      <c r="B28" s="8" t="s">
        <v>52</v>
      </c>
      <c r="C28" s="9" t="s">
        <v>53</v>
      </c>
      <c r="D28">
        <v>0</v>
      </c>
      <c r="E28" s="10">
        <f t="shared" si="0"/>
        <v>0</v>
      </c>
      <c r="I28" s="28"/>
      <c r="J28" s="28"/>
      <c r="K28" s="28"/>
      <c r="L28" s="29"/>
      <c r="M28" s="29"/>
      <c r="N28" s="29"/>
      <c r="O28" s="28"/>
      <c r="P28" s="28"/>
    </row>
    <row r="29" spans="2:16" ht="17">
      <c r="B29" s="8" t="s">
        <v>54</v>
      </c>
      <c r="C29" s="9" t="s">
        <v>55</v>
      </c>
      <c r="D29">
        <v>2</v>
      </c>
      <c r="E29" s="10">
        <f t="shared" si="0"/>
        <v>0.02</v>
      </c>
      <c r="I29" s="28"/>
      <c r="J29" s="28"/>
      <c r="K29" s="37"/>
      <c r="L29" s="29"/>
      <c r="M29" s="29"/>
      <c r="N29" s="29"/>
      <c r="O29" s="28"/>
      <c r="P29" s="28"/>
    </row>
    <row r="30" spans="2:16" ht="17">
      <c r="B30" s="8" t="s">
        <v>56</v>
      </c>
      <c r="C30" s="9" t="s">
        <v>57</v>
      </c>
      <c r="D30">
        <v>0</v>
      </c>
      <c r="E30" s="10">
        <f t="shared" si="0"/>
        <v>0</v>
      </c>
      <c r="I30" s="28"/>
      <c r="J30" s="28"/>
      <c r="L30" s="29"/>
      <c r="M30" s="29"/>
      <c r="N30" s="29"/>
      <c r="O30" s="28"/>
      <c r="P30" s="28"/>
    </row>
    <row r="31" spans="2:16" ht="17">
      <c r="B31" s="8" t="s">
        <v>58</v>
      </c>
      <c r="C31" s="9" t="s">
        <v>59</v>
      </c>
      <c r="D31">
        <v>0</v>
      </c>
      <c r="E31" s="10">
        <f t="shared" si="0"/>
        <v>0</v>
      </c>
      <c r="I31" s="28"/>
      <c r="J31" s="28"/>
      <c r="L31" s="29"/>
      <c r="M31" s="29"/>
      <c r="N31" s="29"/>
      <c r="O31" s="28"/>
      <c r="P31" s="28"/>
    </row>
    <row r="32" spans="2:16" ht="17">
      <c r="B32" s="8" t="s">
        <v>60</v>
      </c>
      <c r="C32" s="9" t="s">
        <v>61</v>
      </c>
      <c r="D32">
        <v>0</v>
      </c>
      <c r="E32" s="10">
        <f t="shared" si="0"/>
        <v>0</v>
      </c>
      <c r="I32" s="28"/>
      <c r="J32" s="28"/>
      <c r="L32" s="29"/>
      <c r="M32" s="29"/>
      <c r="N32" s="29"/>
      <c r="O32" s="28"/>
      <c r="P32" s="28"/>
    </row>
    <row r="33" spans="2:16" ht="17">
      <c r="B33" s="8" t="s">
        <v>62</v>
      </c>
      <c r="C33" s="9" t="s">
        <v>63</v>
      </c>
      <c r="D33">
        <v>0</v>
      </c>
      <c r="E33" s="10">
        <f t="shared" si="0"/>
        <v>0</v>
      </c>
      <c r="I33" s="28"/>
      <c r="J33" s="28"/>
      <c r="K33" s="29"/>
      <c r="L33" s="29"/>
      <c r="M33" s="29"/>
      <c r="N33" s="29"/>
      <c r="O33" s="28"/>
      <c r="P33" s="28"/>
    </row>
    <row r="34" spans="2:16" ht="17">
      <c r="B34" s="8" t="s">
        <v>64</v>
      </c>
      <c r="C34" s="9" t="s">
        <v>65</v>
      </c>
      <c r="D34">
        <v>2</v>
      </c>
      <c r="E34" s="10">
        <f t="shared" si="0"/>
        <v>0.02</v>
      </c>
      <c r="I34" s="28"/>
      <c r="J34" s="28"/>
      <c r="K34" s="28"/>
      <c r="L34" s="29"/>
      <c r="M34" s="28"/>
      <c r="N34" s="29"/>
      <c r="O34" s="28"/>
      <c r="P34" s="28"/>
    </row>
    <row r="35" spans="2:16" ht="17">
      <c r="B35" s="8" t="s">
        <v>66</v>
      </c>
      <c r="C35" s="9" t="s">
        <v>67</v>
      </c>
      <c r="D35">
        <v>3</v>
      </c>
      <c r="E35" s="10">
        <f t="shared" si="0"/>
        <v>0.03</v>
      </c>
      <c r="I35" s="28"/>
      <c r="J35" s="28"/>
      <c r="K35" s="29"/>
      <c r="L35" s="29"/>
      <c r="M35" s="29"/>
      <c r="N35" s="29"/>
      <c r="O35" s="28"/>
      <c r="P35" s="28"/>
    </row>
    <row r="36" spans="2:16" ht="17">
      <c r="B36" s="8" t="s">
        <v>68</v>
      </c>
      <c r="C36" s="9" t="s">
        <v>69</v>
      </c>
      <c r="D36">
        <v>1</v>
      </c>
      <c r="E36" s="10">
        <f t="shared" si="0"/>
        <v>0.01</v>
      </c>
      <c r="I36" s="28"/>
      <c r="J36" s="29"/>
      <c r="K36" s="28"/>
      <c r="L36" s="29"/>
      <c r="M36" s="29"/>
      <c r="N36" s="29"/>
      <c r="O36" s="28"/>
      <c r="P36" s="28"/>
    </row>
    <row r="37" spans="2:16" ht="17">
      <c r="B37" s="8" t="s">
        <v>70</v>
      </c>
      <c r="C37" s="9" t="s">
        <v>71</v>
      </c>
      <c r="D37">
        <v>6</v>
      </c>
      <c r="E37" s="10">
        <f t="shared" si="0"/>
        <v>0.06</v>
      </c>
      <c r="I37" s="28"/>
      <c r="J37" s="28"/>
      <c r="K37" s="28"/>
      <c r="L37" s="29"/>
      <c r="M37" s="29"/>
      <c r="N37" s="29"/>
      <c r="O37" s="28"/>
      <c r="P37" s="28"/>
    </row>
    <row r="38" spans="2:16" ht="17">
      <c r="B38" s="8" t="s">
        <v>72</v>
      </c>
      <c r="C38" s="9" t="s">
        <v>73</v>
      </c>
      <c r="D38">
        <v>0</v>
      </c>
      <c r="E38" s="10">
        <f t="shared" si="0"/>
        <v>0</v>
      </c>
      <c r="I38" s="28"/>
      <c r="J38" s="28"/>
      <c r="K38" s="29"/>
      <c r="L38" s="29"/>
      <c r="M38" s="29"/>
      <c r="N38" s="29"/>
      <c r="O38" s="28"/>
      <c r="P38" s="28"/>
    </row>
    <row r="39" spans="2:16" ht="17">
      <c r="B39" s="8" t="s">
        <v>74</v>
      </c>
      <c r="C39" s="9" t="s">
        <v>75</v>
      </c>
      <c r="D39">
        <v>1</v>
      </c>
      <c r="E39" s="10">
        <f t="shared" si="0"/>
        <v>0.01</v>
      </c>
      <c r="I39" s="28"/>
      <c r="J39" s="28"/>
      <c r="K39" s="29"/>
      <c r="L39" s="29"/>
      <c r="M39" s="29"/>
      <c r="N39" s="29"/>
      <c r="O39" s="28"/>
      <c r="P39" s="28"/>
    </row>
    <row r="40" spans="2:16" ht="17">
      <c r="B40" s="8" t="s">
        <v>76</v>
      </c>
      <c r="C40" s="9" t="s">
        <v>77</v>
      </c>
      <c r="D40">
        <v>2</v>
      </c>
      <c r="E40" s="10">
        <f t="shared" si="0"/>
        <v>0.02</v>
      </c>
      <c r="I40" s="28"/>
      <c r="J40" s="28"/>
      <c r="K40" s="29"/>
      <c r="L40" s="29"/>
      <c r="M40" s="29"/>
      <c r="N40" s="29"/>
      <c r="O40" s="28"/>
      <c r="P40" s="28"/>
    </row>
    <row r="41" spans="2:16" ht="17">
      <c r="B41" s="8" t="s">
        <v>78</v>
      </c>
      <c r="C41" s="9" t="s">
        <v>79</v>
      </c>
      <c r="D41">
        <v>0</v>
      </c>
      <c r="E41" s="10">
        <f t="shared" si="0"/>
        <v>0</v>
      </c>
      <c r="I41" s="28"/>
      <c r="J41" s="28"/>
      <c r="K41" s="29"/>
      <c r="L41" s="29"/>
      <c r="M41" s="29"/>
      <c r="N41" s="29"/>
      <c r="O41" s="28"/>
      <c r="P41" s="28"/>
    </row>
    <row r="42" spans="2:16" ht="17">
      <c r="B42" s="8" t="s">
        <v>80</v>
      </c>
      <c r="C42" s="9" t="s">
        <v>81</v>
      </c>
      <c r="D42">
        <v>1</v>
      </c>
      <c r="E42" s="10">
        <f t="shared" si="0"/>
        <v>0.01</v>
      </c>
      <c r="L42" s="29"/>
      <c r="O42" s="28"/>
      <c r="P42" s="28"/>
    </row>
    <row r="43" spans="2:16" ht="17">
      <c r="B43" s="8" t="s">
        <v>82</v>
      </c>
      <c r="C43" s="9" t="s">
        <v>83</v>
      </c>
      <c r="D43">
        <v>2</v>
      </c>
      <c r="E43" s="10">
        <f t="shared" si="0"/>
        <v>0.02</v>
      </c>
      <c r="I43" s="28"/>
      <c r="J43" s="28"/>
      <c r="K43" s="28"/>
      <c r="L43" s="29"/>
      <c r="M43" s="29"/>
      <c r="N43" s="29"/>
      <c r="O43" s="28"/>
      <c r="P43" s="28"/>
    </row>
    <row r="44" spans="2:16" ht="17">
      <c r="B44" s="8" t="s">
        <v>84</v>
      </c>
      <c r="C44" s="9" t="s">
        <v>85</v>
      </c>
      <c r="D44">
        <v>3</v>
      </c>
      <c r="E44" s="10">
        <f t="shared" si="0"/>
        <v>0.03</v>
      </c>
      <c r="L44" s="29"/>
    </row>
    <row r="45" spans="2:16" ht="17">
      <c r="B45" s="8" t="s">
        <v>86</v>
      </c>
      <c r="C45" s="9" t="s">
        <v>87</v>
      </c>
      <c r="D45">
        <v>2</v>
      </c>
      <c r="E45" s="10">
        <f t="shared" si="0"/>
        <v>0.02</v>
      </c>
      <c r="L45" s="29"/>
    </row>
    <row r="46" spans="2:16" ht="17">
      <c r="B46" s="8" t="s">
        <v>88</v>
      </c>
      <c r="C46" s="9" t="s">
        <v>89</v>
      </c>
      <c r="D46">
        <v>0</v>
      </c>
      <c r="E46" s="10">
        <f t="shared" si="0"/>
        <v>0</v>
      </c>
      <c r="L46" s="28"/>
    </row>
    <row r="47" spans="2:16" ht="17">
      <c r="B47" s="8" t="s">
        <v>90</v>
      </c>
      <c r="C47" s="9" t="s">
        <v>91</v>
      </c>
      <c r="D47">
        <v>0</v>
      </c>
      <c r="E47" s="10">
        <f t="shared" si="0"/>
        <v>0</v>
      </c>
      <c r="M47" s="29"/>
      <c r="N47" s="29"/>
    </row>
    <row r="48" spans="2:16" ht="17">
      <c r="B48" s="8" t="s">
        <v>92</v>
      </c>
      <c r="C48" s="9" t="s">
        <v>93</v>
      </c>
      <c r="D48">
        <v>2</v>
      </c>
      <c r="E48" s="10">
        <f t="shared" si="0"/>
        <v>0.02</v>
      </c>
    </row>
    <row r="49" spans="2:6" ht="17">
      <c r="B49" s="8" t="s">
        <v>94</v>
      </c>
      <c r="C49" s="9" t="s">
        <v>95</v>
      </c>
      <c r="D49">
        <v>1</v>
      </c>
      <c r="E49" s="10">
        <f t="shared" si="0"/>
        <v>0.01</v>
      </c>
    </row>
    <row r="50" spans="2:6" ht="17">
      <c r="B50" s="8" t="s">
        <v>96</v>
      </c>
      <c r="C50" s="9" t="s">
        <v>97</v>
      </c>
      <c r="D50">
        <v>0</v>
      </c>
      <c r="E50" s="10">
        <f t="shared" si="0"/>
        <v>0</v>
      </c>
    </row>
    <row r="51" spans="2:6" ht="17">
      <c r="B51" s="8" t="s">
        <v>98</v>
      </c>
      <c r="C51" s="9" t="s">
        <v>99</v>
      </c>
      <c r="D51">
        <v>6</v>
      </c>
      <c r="E51" s="10">
        <f t="shared" si="0"/>
        <v>0.06</v>
      </c>
    </row>
    <row r="52" spans="2:6" ht="17">
      <c r="B52" s="8" t="s">
        <v>100</v>
      </c>
      <c r="C52" s="9" t="s">
        <v>101</v>
      </c>
      <c r="D52">
        <v>0</v>
      </c>
      <c r="E52" s="10">
        <f t="shared" si="0"/>
        <v>0</v>
      </c>
    </row>
    <row r="53" spans="2:6" ht="17">
      <c r="B53" s="11" t="s">
        <v>102</v>
      </c>
      <c r="C53" s="12" t="s">
        <v>103</v>
      </c>
      <c r="D53" s="13">
        <f>SUM(D5:D52)</f>
        <v>100</v>
      </c>
      <c r="E53" s="14">
        <f t="shared" si="0"/>
        <v>1</v>
      </c>
    </row>
    <row r="55" spans="2:6">
      <c r="F55" s="32"/>
    </row>
  </sheetData>
  <mergeCells count="1">
    <mergeCell ref="G7:M12"/>
  </mergeCells>
  <hyperlinks>
    <hyperlink ref="H5" r:id="rId1" xr:uid="{FD4D6BD8-247E-E04E-B440-FFEB0050B6AB}"/>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724C-7966-EC45-904F-02DF64937DE6}">
  <dimension ref="A1:Z90"/>
  <sheetViews>
    <sheetView workbookViewId="0">
      <selection activeCell="L17" sqref="L17"/>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212</v>
      </c>
    </row>
    <row r="4" spans="1:26" ht="17">
      <c r="B4" s="4" t="s">
        <v>2</v>
      </c>
      <c r="C4" s="5" t="s">
        <v>3</v>
      </c>
      <c r="D4" s="6" t="s">
        <v>104</v>
      </c>
      <c r="E4" s="7" t="s">
        <v>5</v>
      </c>
      <c r="G4" s="15" t="s">
        <v>106</v>
      </c>
      <c r="H4" t="s">
        <v>187</v>
      </c>
    </row>
    <row r="5" spans="1:26" ht="17">
      <c r="B5" s="8" t="s">
        <v>6</v>
      </c>
      <c r="C5" s="9" t="s">
        <v>7</v>
      </c>
      <c r="D5">
        <v>0.5</v>
      </c>
      <c r="E5" s="10">
        <f>D5/D$53</f>
        <v>5.0000000000000001E-3</v>
      </c>
      <c r="G5" s="15" t="s">
        <v>105</v>
      </c>
      <c r="H5" s="17" t="s">
        <v>188</v>
      </c>
    </row>
    <row r="6" spans="1:26" ht="17" customHeight="1">
      <c r="B6" s="8" t="s">
        <v>8</v>
      </c>
      <c r="C6" s="9" t="s">
        <v>9</v>
      </c>
      <c r="D6">
        <v>0</v>
      </c>
      <c r="E6" s="10">
        <f t="shared" ref="E6:E53" si="0">D6/D$53</f>
        <v>0</v>
      </c>
      <c r="G6" s="15"/>
    </row>
    <row r="7" spans="1:26" ht="17" customHeight="1">
      <c r="B7" s="8" t="s">
        <v>10</v>
      </c>
      <c r="C7" s="9" t="s">
        <v>11</v>
      </c>
      <c r="D7">
        <v>2</v>
      </c>
      <c r="E7" s="10">
        <f t="shared" si="0"/>
        <v>0.02</v>
      </c>
      <c r="G7" s="38" t="s">
        <v>210</v>
      </c>
      <c r="H7" s="38"/>
      <c r="I7" s="38"/>
      <c r="J7" s="38"/>
      <c r="K7" s="38"/>
      <c r="L7" s="38"/>
      <c r="M7" s="38"/>
    </row>
    <row r="8" spans="1:26" ht="17" customHeight="1">
      <c r="B8" s="8" t="s">
        <v>12</v>
      </c>
      <c r="C8" s="9" t="s">
        <v>13</v>
      </c>
      <c r="D8">
        <v>3</v>
      </c>
      <c r="E8" s="10">
        <f t="shared" si="0"/>
        <v>0.03</v>
      </c>
      <c r="G8" s="38"/>
      <c r="H8" s="38"/>
      <c r="I8" s="38"/>
      <c r="J8" s="38"/>
      <c r="K8" s="38"/>
      <c r="L8" s="38"/>
      <c r="M8" s="38"/>
    </row>
    <row r="9" spans="1:26" ht="17" customHeight="1">
      <c r="B9" s="8" t="s">
        <v>14</v>
      </c>
      <c r="C9" s="9" t="s">
        <v>15</v>
      </c>
      <c r="D9">
        <v>1</v>
      </c>
      <c r="E9" s="10">
        <f t="shared" si="0"/>
        <v>0.01</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0.5</v>
      </c>
      <c r="E12" s="10">
        <f t="shared" si="0"/>
        <v>5.0000000000000001E-3</v>
      </c>
      <c r="G12" s="38"/>
      <c r="H12" s="38"/>
      <c r="I12" s="38"/>
      <c r="J12" s="38"/>
      <c r="K12" s="38"/>
      <c r="L12" s="38"/>
      <c r="M12" s="38"/>
    </row>
    <row r="13" spans="1:26" ht="17" customHeight="1">
      <c r="B13" s="8" t="s">
        <v>22</v>
      </c>
      <c r="C13" s="9" t="s">
        <v>23</v>
      </c>
      <c r="D13">
        <v>0.5</v>
      </c>
      <c r="E13" s="10">
        <f t="shared" si="0"/>
        <v>5.0000000000000001E-3</v>
      </c>
      <c r="H13" s="16"/>
      <c r="I13" s="16"/>
      <c r="J13" s="16"/>
      <c r="K13" s="16"/>
      <c r="L13" s="16"/>
    </row>
    <row r="14" spans="1:26" ht="17">
      <c r="B14" s="8" t="s">
        <v>24</v>
      </c>
      <c r="C14" s="9" t="s">
        <v>25</v>
      </c>
      <c r="D14">
        <v>2</v>
      </c>
      <c r="E14" s="10">
        <f t="shared" si="0"/>
        <v>0.02</v>
      </c>
      <c r="H14" s="16"/>
      <c r="I14" s="16"/>
      <c r="J14" s="16"/>
      <c r="K14" s="16"/>
      <c r="L14" s="16"/>
    </row>
    <row r="15" spans="1:26" ht="17">
      <c r="B15" s="8" t="s">
        <v>26</v>
      </c>
      <c r="C15" s="9" t="s">
        <v>27</v>
      </c>
      <c r="D15">
        <v>8</v>
      </c>
      <c r="E15" s="10">
        <f t="shared" si="0"/>
        <v>0.08</v>
      </c>
      <c r="H15" s="16"/>
      <c r="I15" s="16"/>
      <c r="J15" s="16"/>
      <c r="K15" s="16"/>
      <c r="L15" s="16"/>
    </row>
    <row r="16" spans="1:26" ht="17">
      <c r="B16" s="8" t="s">
        <v>28</v>
      </c>
      <c r="C16" s="9" t="s">
        <v>29</v>
      </c>
      <c r="D16">
        <v>5</v>
      </c>
      <c r="E16" s="10">
        <f t="shared" si="0"/>
        <v>0.05</v>
      </c>
      <c r="H16" s="16"/>
      <c r="I16" s="16"/>
      <c r="J16" s="16"/>
      <c r="K16" s="16"/>
      <c r="L16" s="16"/>
    </row>
    <row r="17" spans="2:16" ht="17">
      <c r="B17" s="8" t="s">
        <v>30</v>
      </c>
      <c r="C17" s="9" t="s">
        <v>31</v>
      </c>
      <c r="D17">
        <v>10</v>
      </c>
      <c r="E17" s="10">
        <f t="shared" si="0"/>
        <v>0.1</v>
      </c>
    </row>
    <row r="18" spans="2:16" ht="17">
      <c r="B18" s="8" t="s">
        <v>32</v>
      </c>
      <c r="C18" s="9" t="s">
        <v>33</v>
      </c>
      <c r="D18">
        <v>7</v>
      </c>
      <c r="E18" s="10">
        <f t="shared" si="0"/>
        <v>7.0000000000000007E-2</v>
      </c>
    </row>
    <row r="19" spans="2:16" ht="17">
      <c r="B19" s="8" t="s">
        <v>34</v>
      </c>
      <c r="C19" s="9" t="s">
        <v>35</v>
      </c>
      <c r="D19">
        <v>2</v>
      </c>
      <c r="E19" s="10">
        <f t="shared" si="0"/>
        <v>0.02</v>
      </c>
    </row>
    <row r="20" spans="2:16" ht="17">
      <c r="B20" s="8" t="s">
        <v>36</v>
      </c>
      <c r="C20" s="9" t="s">
        <v>37</v>
      </c>
      <c r="D20">
        <v>2</v>
      </c>
      <c r="E20" s="10">
        <f t="shared" si="0"/>
        <v>0.02</v>
      </c>
      <c r="I20" s="28"/>
      <c r="J20" s="28"/>
      <c r="K20" s="29"/>
      <c r="L20" s="30"/>
      <c r="M20" s="30"/>
      <c r="N20" s="30"/>
      <c r="O20" s="28"/>
      <c r="P20" s="28"/>
    </row>
    <row r="21" spans="2:16" ht="17">
      <c r="B21" s="8" t="s">
        <v>38</v>
      </c>
      <c r="C21" s="9" t="s">
        <v>39</v>
      </c>
      <c r="D21">
        <v>0</v>
      </c>
      <c r="E21" s="10">
        <f t="shared" si="0"/>
        <v>0</v>
      </c>
      <c r="I21" s="28"/>
      <c r="J21" s="28"/>
      <c r="K21" s="28"/>
      <c r="L21" s="29"/>
      <c r="M21" s="29"/>
      <c r="N21" s="29"/>
      <c r="O21" s="28"/>
      <c r="P21" s="28"/>
    </row>
    <row r="22" spans="2:16" ht="17">
      <c r="B22" s="8" t="s">
        <v>40</v>
      </c>
      <c r="C22" s="9" t="s">
        <v>41</v>
      </c>
      <c r="D22">
        <v>0.5</v>
      </c>
      <c r="E22" s="10">
        <f t="shared" si="0"/>
        <v>5.0000000000000001E-3</v>
      </c>
      <c r="I22" s="28"/>
      <c r="J22" s="28"/>
      <c r="K22" s="29"/>
      <c r="L22" s="29"/>
      <c r="M22" s="29"/>
      <c r="N22" s="29"/>
      <c r="O22" s="28"/>
      <c r="P22" s="28"/>
    </row>
    <row r="23" spans="2:16" ht="17">
      <c r="B23" s="8" t="s">
        <v>42</v>
      </c>
      <c r="C23" s="9" t="s">
        <v>43</v>
      </c>
      <c r="D23">
        <v>0</v>
      </c>
      <c r="E23" s="10">
        <f t="shared" si="0"/>
        <v>0</v>
      </c>
      <c r="I23" s="28"/>
      <c r="J23" s="28"/>
      <c r="K23" s="28"/>
      <c r="L23" s="29"/>
      <c r="M23" s="29"/>
      <c r="N23" s="29"/>
      <c r="O23" s="28"/>
      <c r="P23" s="28"/>
    </row>
    <row r="24" spans="2:16" ht="17">
      <c r="B24" s="8" t="s">
        <v>44</v>
      </c>
      <c r="C24" s="9" t="s">
        <v>45</v>
      </c>
      <c r="D24">
        <v>2</v>
      </c>
      <c r="E24" s="10">
        <f t="shared" si="0"/>
        <v>0.02</v>
      </c>
      <c r="I24" s="28"/>
      <c r="J24" s="28"/>
      <c r="K24" s="28"/>
      <c r="L24" s="29"/>
      <c r="M24" s="29"/>
      <c r="N24" s="29"/>
      <c r="O24" s="28"/>
      <c r="P24" s="28"/>
    </row>
    <row r="25" spans="2:16" ht="17">
      <c r="B25" s="8" t="s">
        <v>46</v>
      </c>
      <c r="C25" s="9" t="s">
        <v>47</v>
      </c>
      <c r="D25">
        <v>6</v>
      </c>
      <c r="E25" s="10">
        <f t="shared" si="0"/>
        <v>0.06</v>
      </c>
      <c r="I25" s="28"/>
      <c r="J25" s="28"/>
      <c r="K25" s="29"/>
      <c r="L25" s="29"/>
      <c r="M25" s="29"/>
      <c r="N25" s="29"/>
      <c r="O25" s="28"/>
      <c r="P25" s="28"/>
    </row>
    <row r="26" spans="2:16" ht="17">
      <c r="B26" s="8" t="s">
        <v>48</v>
      </c>
      <c r="C26" s="9" t="s">
        <v>49</v>
      </c>
      <c r="D26">
        <v>0.5</v>
      </c>
      <c r="E26" s="10">
        <f t="shared" si="0"/>
        <v>5.0000000000000001E-3</v>
      </c>
      <c r="I26" s="28"/>
      <c r="J26" s="28"/>
      <c r="K26" s="28"/>
      <c r="L26" s="29"/>
      <c r="M26" s="29"/>
      <c r="N26" s="29"/>
      <c r="O26" s="28"/>
      <c r="P26" s="28"/>
    </row>
    <row r="27" spans="2:16" ht="17">
      <c r="B27" s="8" t="s">
        <v>50</v>
      </c>
      <c r="C27" s="9" t="s">
        <v>51</v>
      </c>
      <c r="D27">
        <v>4</v>
      </c>
      <c r="E27" s="10">
        <f t="shared" si="0"/>
        <v>0.04</v>
      </c>
      <c r="I27" s="28"/>
      <c r="J27" s="28"/>
      <c r="K27" s="28"/>
      <c r="L27" s="29"/>
      <c r="M27" s="29"/>
      <c r="N27" s="29"/>
      <c r="O27" s="28"/>
      <c r="P27" s="28"/>
    </row>
    <row r="28" spans="2:16" ht="17">
      <c r="B28" s="8" t="s">
        <v>52</v>
      </c>
      <c r="C28" s="9" t="s">
        <v>53</v>
      </c>
      <c r="D28">
        <v>2</v>
      </c>
      <c r="E28" s="10">
        <f t="shared" si="0"/>
        <v>0.02</v>
      </c>
      <c r="I28" s="28"/>
      <c r="J28" s="28"/>
      <c r="K28" s="28"/>
      <c r="L28" s="29"/>
      <c r="M28" s="29"/>
      <c r="N28" s="29"/>
      <c r="O28" s="28"/>
      <c r="P28" s="28"/>
    </row>
    <row r="29" spans="2:16" ht="17">
      <c r="B29" s="8" t="s">
        <v>54</v>
      </c>
      <c r="C29" s="9" t="s">
        <v>55</v>
      </c>
      <c r="D29">
        <v>7</v>
      </c>
      <c r="E29" s="10">
        <f t="shared" si="0"/>
        <v>7.0000000000000007E-2</v>
      </c>
      <c r="I29" s="28"/>
      <c r="J29" s="28"/>
      <c r="K29" s="29"/>
      <c r="L29" s="29"/>
      <c r="M29" s="29"/>
      <c r="N29" s="29"/>
      <c r="O29" s="28"/>
      <c r="P29" s="28"/>
    </row>
    <row r="30" spans="2:16" ht="17">
      <c r="B30" s="8" t="s">
        <v>56</v>
      </c>
      <c r="C30" s="9" t="s">
        <v>57</v>
      </c>
      <c r="D30">
        <v>0</v>
      </c>
      <c r="E30" s="10">
        <f t="shared" si="0"/>
        <v>0</v>
      </c>
      <c r="I30" s="28"/>
      <c r="J30" s="28"/>
      <c r="K30" s="29"/>
      <c r="L30" s="29"/>
      <c r="M30" s="29"/>
      <c r="N30" s="29"/>
      <c r="O30" s="28"/>
      <c r="P30" s="28"/>
    </row>
    <row r="31" spans="2:16" ht="17">
      <c r="B31" s="8" t="s">
        <v>58</v>
      </c>
      <c r="C31" s="9" t="s">
        <v>59</v>
      </c>
      <c r="D31">
        <v>0</v>
      </c>
      <c r="E31" s="10">
        <f t="shared" si="0"/>
        <v>0</v>
      </c>
      <c r="I31" s="28"/>
      <c r="J31" s="28"/>
      <c r="K31" s="29"/>
      <c r="L31" s="29"/>
      <c r="M31" s="29"/>
      <c r="N31" s="29"/>
      <c r="O31" s="28"/>
      <c r="P31" s="28"/>
    </row>
    <row r="32" spans="2:16" ht="17">
      <c r="B32" s="8" t="s">
        <v>60</v>
      </c>
      <c r="C32" s="9" t="s">
        <v>61</v>
      </c>
      <c r="D32">
        <v>0</v>
      </c>
      <c r="E32" s="10">
        <f t="shared" si="0"/>
        <v>0</v>
      </c>
      <c r="I32" s="28"/>
      <c r="J32" s="28"/>
      <c r="K32" s="28"/>
      <c r="L32" s="29"/>
      <c r="M32" s="29"/>
      <c r="N32" s="29"/>
      <c r="O32" s="28"/>
      <c r="P32" s="28"/>
    </row>
    <row r="33" spans="2:16" ht="17">
      <c r="B33" s="8" t="s">
        <v>62</v>
      </c>
      <c r="C33" s="9" t="s">
        <v>63</v>
      </c>
      <c r="D33">
        <v>0</v>
      </c>
      <c r="E33" s="10">
        <f t="shared" si="0"/>
        <v>0</v>
      </c>
      <c r="I33" s="28"/>
      <c r="J33" s="28"/>
      <c r="K33" s="29"/>
      <c r="L33" s="29"/>
      <c r="M33" s="29"/>
      <c r="N33" s="29"/>
      <c r="O33" s="28"/>
      <c r="P33" s="28"/>
    </row>
    <row r="34" spans="2:16" ht="17">
      <c r="B34" s="8" t="s">
        <v>64</v>
      </c>
      <c r="C34" s="9" t="s">
        <v>65</v>
      </c>
      <c r="D34">
        <v>1</v>
      </c>
      <c r="E34" s="10">
        <f t="shared" si="0"/>
        <v>0.01</v>
      </c>
      <c r="I34" s="28"/>
      <c r="J34" s="28"/>
      <c r="K34" s="28"/>
      <c r="L34" s="29"/>
      <c r="M34" s="28"/>
      <c r="N34" s="29"/>
      <c r="O34" s="28"/>
      <c r="P34" s="28"/>
    </row>
    <row r="35" spans="2:16" ht="17">
      <c r="B35" s="8" t="s">
        <v>66</v>
      </c>
      <c r="C35" s="9" t="s">
        <v>67</v>
      </c>
      <c r="D35">
        <v>1.5</v>
      </c>
      <c r="E35" s="10">
        <f t="shared" si="0"/>
        <v>1.4999999999999999E-2</v>
      </c>
      <c r="I35" s="28"/>
      <c r="J35" s="28"/>
      <c r="K35" s="29"/>
      <c r="L35" s="29"/>
      <c r="M35" s="29"/>
      <c r="N35" s="29"/>
      <c r="O35" s="28"/>
      <c r="P35" s="28"/>
    </row>
    <row r="36" spans="2:16" ht="17">
      <c r="B36" s="8" t="s">
        <v>68</v>
      </c>
      <c r="C36" s="9" t="s">
        <v>69</v>
      </c>
      <c r="D36">
        <v>6</v>
      </c>
      <c r="E36" s="10">
        <f t="shared" si="0"/>
        <v>0.06</v>
      </c>
      <c r="I36" s="28"/>
      <c r="J36" s="28"/>
      <c r="K36" s="28"/>
      <c r="L36" s="29"/>
      <c r="M36" s="29"/>
      <c r="N36" s="29"/>
      <c r="O36" s="28"/>
      <c r="P36" s="28"/>
    </row>
    <row r="37" spans="2:16" ht="17">
      <c r="B37" s="8" t="s">
        <v>70</v>
      </c>
      <c r="C37" s="9" t="s">
        <v>71</v>
      </c>
      <c r="D37">
        <v>3</v>
      </c>
      <c r="E37" s="10">
        <f t="shared" si="0"/>
        <v>0.03</v>
      </c>
      <c r="I37" s="28"/>
      <c r="J37" s="28"/>
      <c r="K37" s="28"/>
      <c r="L37" s="29"/>
      <c r="M37" s="29"/>
      <c r="N37" s="29"/>
      <c r="O37" s="28"/>
      <c r="P37" s="28"/>
    </row>
    <row r="38" spans="2:16" ht="17">
      <c r="B38" s="8" t="s">
        <v>72</v>
      </c>
      <c r="C38" s="9" t="s">
        <v>73</v>
      </c>
      <c r="D38">
        <v>2</v>
      </c>
      <c r="E38" s="10">
        <f t="shared" si="0"/>
        <v>0.02</v>
      </c>
      <c r="I38" s="28"/>
      <c r="J38" s="28"/>
      <c r="K38" s="29"/>
      <c r="L38" s="29"/>
      <c r="M38" s="29"/>
      <c r="N38" s="29"/>
      <c r="O38" s="28"/>
      <c r="P38" s="28"/>
    </row>
    <row r="39" spans="2:16" ht="17">
      <c r="B39" s="8" t="s">
        <v>74</v>
      </c>
      <c r="C39" s="9" t="s">
        <v>75</v>
      </c>
      <c r="D39">
        <v>1</v>
      </c>
      <c r="E39" s="10">
        <f t="shared" si="0"/>
        <v>0.01</v>
      </c>
      <c r="I39" s="28"/>
      <c r="J39" s="28"/>
      <c r="K39" s="29"/>
      <c r="L39" s="29"/>
      <c r="M39" s="29"/>
      <c r="N39" s="29"/>
      <c r="O39" s="28"/>
      <c r="P39" s="28"/>
    </row>
    <row r="40" spans="2:16" ht="17">
      <c r="B40" s="8" t="s">
        <v>76</v>
      </c>
      <c r="C40" s="9" t="s">
        <v>77</v>
      </c>
      <c r="D40">
        <v>1</v>
      </c>
      <c r="E40" s="10">
        <f t="shared" si="0"/>
        <v>0.01</v>
      </c>
      <c r="I40" s="28"/>
      <c r="J40" s="28"/>
      <c r="K40" s="29"/>
      <c r="M40" s="29"/>
      <c r="N40" s="29"/>
      <c r="O40" s="28"/>
      <c r="P40" s="28"/>
    </row>
    <row r="41" spans="2:16" ht="17">
      <c r="B41" s="8" t="s">
        <v>78</v>
      </c>
      <c r="C41" s="9" t="s">
        <v>79</v>
      </c>
      <c r="D41">
        <v>0</v>
      </c>
      <c r="E41" s="10">
        <f t="shared" si="0"/>
        <v>0</v>
      </c>
      <c r="I41" s="28"/>
      <c r="J41" s="28"/>
      <c r="K41" s="29"/>
      <c r="M41" s="29"/>
      <c r="N41" s="29"/>
      <c r="O41" s="28"/>
      <c r="P41" s="28"/>
    </row>
    <row r="42" spans="2:16" ht="17">
      <c r="B42" s="8" t="s">
        <v>80</v>
      </c>
      <c r="C42" s="9" t="s">
        <v>81</v>
      </c>
      <c r="D42">
        <v>0.5</v>
      </c>
      <c r="E42" s="10">
        <f t="shared" si="0"/>
        <v>5.0000000000000001E-3</v>
      </c>
      <c r="I42" s="28"/>
      <c r="J42" s="28"/>
      <c r="K42" s="28"/>
      <c r="P42" s="28"/>
    </row>
    <row r="43" spans="2:16" ht="17">
      <c r="B43" s="8" t="s">
        <v>82</v>
      </c>
      <c r="C43" s="9" t="s">
        <v>83</v>
      </c>
      <c r="D43">
        <v>5</v>
      </c>
      <c r="E43" s="10">
        <f t="shared" si="0"/>
        <v>0.05</v>
      </c>
      <c r="I43" s="28"/>
      <c r="J43" s="28"/>
      <c r="K43" s="28"/>
      <c r="P43" s="28"/>
    </row>
    <row r="44" spans="2:16" ht="17">
      <c r="B44" s="8" t="s">
        <v>84</v>
      </c>
      <c r="C44" s="9" t="s">
        <v>85</v>
      </c>
      <c r="D44">
        <v>2</v>
      </c>
      <c r="E44" s="10">
        <f t="shared" si="0"/>
        <v>0.02</v>
      </c>
    </row>
    <row r="45" spans="2:16" ht="17">
      <c r="B45" s="8" t="s">
        <v>86</v>
      </c>
      <c r="C45" s="9" t="s">
        <v>87</v>
      </c>
      <c r="D45">
        <v>5</v>
      </c>
      <c r="E45" s="10">
        <f t="shared" si="0"/>
        <v>0.05</v>
      </c>
    </row>
    <row r="46" spans="2:16" ht="17">
      <c r="B46" s="8" t="s">
        <v>88</v>
      </c>
      <c r="C46" s="9" t="s">
        <v>89</v>
      </c>
      <c r="D46">
        <v>0</v>
      </c>
      <c r="E46" s="10">
        <f t="shared" si="0"/>
        <v>0</v>
      </c>
    </row>
    <row r="47" spans="2:16" ht="17">
      <c r="B47" s="8" t="s">
        <v>90</v>
      </c>
      <c r="C47" s="9" t="s">
        <v>91</v>
      </c>
      <c r="D47">
        <v>0</v>
      </c>
      <c r="E47" s="10">
        <f t="shared" si="0"/>
        <v>0</v>
      </c>
    </row>
    <row r="48" spans="2:16" ht="17">
      <c r="B48" s="8" t="s">
        <v>92</v>
      </c>
      <c r="C48" s="9" t="s">
        <v>93</v>
      </c>
      <c r="D48">
        <v>0.5</v>
      </c>
      <c r="E48" s="10">
        <f t="shared" si="0"/>
        <v>5.0000000000000001E-3</v>
      </c>
    </row>
    <row r="49" spans="2:6" ht="17">
      <c r="B49" s="8" t="s">
        <v>94</v>
      </c>
      <c r="C49" s="9" t="s">
        <v>95</v>
      </c>
      <c r="D49">
        <v>1.5</v>
      </c>
      <c r="E49" s="10">
        <f t="shared" si="0"/>
        <v>1.4999999999999999E-2</v>
      </c>
    </row>
    <row r="50" spans="2:6" ht="17">
      <c r="B50" s="8" t="s">
        <v>96</v>
      </c>
      <c r="C50" s="9" t="s">
        <v>97</v>
      </c>
      <c r="D50">
        <v>0</v>
      </c>
      <c r="E50" s="10">
        <f t="shared" si="0"/>
        <v>0</v>
      </c>
    </row>
    <row r="51" spans="2:6" ht="17">
      <c r="B51" s="8" t="s">
        <v>98</v>
      </c>
      <c r="C51" s="9" t="s">
        <v>99</v>
      </c>
      <c r="D51">
        <v>3</v>
      </c>
      <c r="E51" s="10">
        <f t="shared" si="0"/>
        <v>0.03</v>
      </c>
    </row>
    <row r="52" spans="2:6" ht="17">
      <c r="B52" s="8" t="s">
        <v>100</v>
      </c>
      <c r="C52" s="9" t="s">
        <v>101</v>
      </c>
      <c r="D52">
        <v>1.5</v>
      </c>
      <c r="E52" s="10">
        <f t="shared" si="0"/>
        <v>1.4999999999999999E-2</v>
      </c>
    </row>
    <row r="53" spans="2:6" ht="17">
      <c r="B53" s="11" t="s">
        <v>102</v>
      </c>
      <c r="C53" s="12" t="s">
        <v>103</v>
      </c>
      <c r="D53" s="13">
        <f>SUM(D5:D52)</f>
        <v>100</v>
      </c>
      <c r="E53" s="14">
        <f t="shared" si="0"/>
        <v>1</v>
      </c>
    </row>
    <row r="55" spans="2:6">
      <c r="F55" s="32"/>
    </row>
    <row r="88" spans="12:15">
      <c r="L88" s="13"/>
    </row>
    <row r="90" spans="12:15">
      <c r="M90" s="13"/>
      <c r="N90" s="13"/>
      <c r="O90" s="13"/>
    </row>
  </sheetData>
  <mergeCells count="1">
    <mergeCell ref="G7:M12"/>
  </mergeCells>
  <hyperlinks>
    <hyperlink ref="H5" r:id="rId1" xr:uid="{F0F1E38F-5252-0D4C-8B02-309E5440AEB8}"/>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82A4-0A17-B749-8E4E-0EDB2A2A8B30}">
  <dimension ref="A1:Z53"/>
  <sheetViews>
    <sheetView workbookViewId="0">
      <selection activeCell="G18" sqref="G18:G1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130</v>
      </c>
    </row>
    <row r="4" spans="1:26" ht="17">
      <c r="B4" s="4" t="s">
        <v>2</v>
      </c>
      <c r="C4" s="5" t="s">
        <v>3</v>
      </c>
      <c r="D4" s="6" t="s">
        <v>104</v>
      </c>
      <c r="E4" s="7" t="s">
        <v>5</v>
      </c>
      <c r="G4" s="15" t="s">
        <v>106</v>
      </c>
      <c r="H4" t="s">
        <v>130</v>
      </c>
    </row>
    <row r="5" spans="1:26" ht="17">
      <c r="B5" s="8" t="s">
        <v>6</v>
      </c>
      <c r="C5" s="9" t="s">
        <v>7</v>
      </c>
      <c r="D5">
        <v>2949251.9500220022</v>
      </c>
      <c r="E5" s="10">
        <f>D5/D$53</f>
        <v>8.3845280506493029E-3</v>
      </c>
      <c r="G5" s="15" t="s">
        <v>105</v>
      </c>
      <c r="H5" s="17" t="s">
        <v>137</v>
      </c>
    </row>
    <row r="6" spans="1:26" ht="17" customHeight="1">
      <c r="B6" s="8" t="s">
        <v>8</v>
      </c>
      <c r="C6" s="9" t="s">
        <v>9</v>
      </c>
      <c r="D6">
        <v>676276.37112000014</v>
      </c>
      <c r="E6" s="10">
        <f t="shared" ref="E6:E53" si="0">D6/D$53</f>
        <v>1.9226089529599728E-3</v>
      </c>
      <c r="G6" s="15"/>
    </row>
    <row r="7" spans="1:26" ht="17" customHeight="1">
      <c r="B7" s="8" t="s">
        <v>10</v>
      </c>
      <c r="C7" s="9" t="s">
        <v>11</v>
      </c>
      <c r="D7">
        <v>8441447.7361899726</v>
      </c>
      <c r="E7" s="10">
        <f t="shared" si="0"/>
        <v>2.3998477082179049E-2</v>
      </c>
      <c r="G7" s="38" t="s">
        <v>131</v>
      </c>
      <c r="H7" s="38"/>
      <c r="I7" s="38"/>
      <c r="J7" s="38"/>
      <c r="K7" s="38"/>
      <c r="L7" s="38"/>
      <c r="M7" s="38"/>
    </row>
    <row r="8" spans="1:26" ht="17" customHeight="1">
      <c r="B8" s="8" t="s">
        <v>12</v>
      </c>
      <c r="C8" s="9" t="s">
        <v>13</v>
      </c>
      <c r="D8">
        <v>3378469.7997879996</v>
      </c>
      <c r="E8" s="10">
        <f t="shared" si="0"/>
        <v>9.6047659829071892E-3</v>
      </c>
      <c r="G8" s="38"/>
      <c r="H8" s="38"/>
      <c r="I8" s="38"/>
      <c r="J8" s="38"/>
      <c r="K8" s="38"/>
      <c r="L8" s="38"/>
      <c r="M8" s="38"/>
    </row>
    <row r="9" spans="1:26" ht="17" customHeight="1">
      <c r="B9" s="8" t="s">
        <v>14</v>
      </c>
      <c r="C9" s="9" t="s">
        <v>15</v>
      </c>
      <c r="D9">
        <v>6099728.3183800112</v>
      </c>
      <c r="E9" s="10">
        <f t="shared" si="0"/>
        <v>1.734112380138142E-2</v>
      </c>
      <c r="G9" s="38"/>
      <c r="H9" s="38"/>
      <c r="I9" s="38"/>
      <c r="J9" s="38"/>
      <c r="K9" s="38"/>
      <c r="L9" s="38"/>
      <c r="M9" s="38"/>
    </row>
    <row r="10" spans="1:26" ht="17" customHeight="1">
      <c r="B10" s="8" t="s">
        <v>16</v>
      </c>
      <c r="C10" s="9" t="s">
        <v>17</v>
      </c>
      <c r="D10">
        <v>60227.675282999873</v>
      </c>
      <c r="E10" s="10">
        <f t="shared" si="0"/>
        <v>1.712232937006087E-4</v>
      </c>
      <c r="G10" s="38"/>
      <c r="H10" s="38"/>
      <c r="I10" s="38"/>
      <c r="J10" s="38"/>
      <c r="K10" s="38"/>
      <c r="L10" s="38"/>
      <c r="M10" s="38"/>
    </row>
    <row r="11" spans="1:26" ht="17" customHeight="1">
      <c r="B11" s="8" t="s">
        <v>18</v>
      </c>
      <c r="C11" s="9" t="s">
        <v>19</v>
      </c>
      <c r="D11">
        <v>434291.89745699981</v>
      </c>
      <c r="E11" s="10">
        <f t="shared" si="0"/>
        <v>1.2346631139366578E-3</v>
      </c>
      <c r="G11" s="38"/>
      <c r="H11" s="38"/>
      <c r="I11" s="38"/>
      <c r="J11" s="38"/>
      <c r="K11" s="38"/>
      <c r="L11" s="38"/>
      <c r="M11" s="38"/>
    </row>
    <row r="12" spans="1:26" ht="17" customHeight="1">
      <c r="B12" s="8" t="s">
        <v>20</v>
      </c>
      <c r="C12" s="9" t="s">
        <v>21</v>
      </c>
      <c r="D12">
        <v>2134132.8031700007</v>
      </c>
      <c r="E12" s="10">
        <f t="shared" si="0"/>
        <v>6.0671982778060752E-3</v>
      </c>
      <c r="G12" s="38"/>
      <c r="H12" s="38"/>
      <c r="I12" s="38"/>
      <c r="J12" s="38"/>
      <c r="K12" s="38"/>
      <c r="L12" s="38"/>
      <c r="M12" s="38"/>
    </row>
    <row r="13" spans="1:26" ht="17" customHeight="1">
      <c r="B13" s="8" t="s">
        <v>22</v>
      </c>
      <c r="C13" s="9" t="s">
        <v>23</v>
      </c>
      <c r="D13">
        <v>4090420.315869004</v>
      </c>
      <c r="E13" s="10">
        <f t="shared" si="0"/>
        <v>1.1628794168329223E-2</v>
      </c>
      <c r="H13" s="16"/>
      <c r="I13" s="16"/>
      <c r="J13" s="16"/>
      <c r="K13" s="16"/>
      <c r="L13" s="16"/>
    </row>
    <row r="14" spans="1:26" ht="17">
      <c r="B14" s="8" t="s">
        <v>24</v>
      </c>
      <c r="C14" s="9" t="s">
        <v>25</v>
      </c>
      <c r="D14">
        <v>4522740.7382999845</v>
      </c>
      <c r="E14" s="10">
        <f t="shared" si="0"/>
        <v>1.2857852509280416E-2</v>
      </c>
      <c r="H14" s="16"/>
      <c r="I14" s="16"/>
      <c r="J14" s="16"/>
      <c r="K14" s="16"/>
      <c r="L14" s="16"/>
    </row>
    <row r="15" spans="1:26" ht="17">
      <c r="B15" s="8" t="s">
        <v>26</v>
      </c>
      <c r="C15" s="9" t="s">
        <v>27</v>
      </c>
      <c r="D15">
        <v>23292625.658109013</v>
      </c>
      <c r="E15" s="10">
        <f t="shared" si="0"/>
        <v>6.6219392752196612E-2</v>
      </c>
      <c r="H15" s="16"/>
      <c r="I15" s="16"/>
      <c r="J15" s="16"/>
      <c r="K15" s="16"/>
      <c r="L15" s="16"/>
    </row>
    <row r="16" spans="1:26" ht="17">
      <c r="B16" s="8" t="s">
        <v>28</v>
      </c>
      <c r="C16" s="9" t="s">
        <v>29</v>
      </c>
      <c r="D16">
        <v>12221648.26582092</v>
      </c>
      <c r="E16" s="10">
        <f t="shared" si="0"/>
        <v>3.4745336935076178E-2</v>
      </c>
      <c r="H16" s="16"/>
      <c r="I16" s="16"/>
      <c r="J16" s="16"/>
      <c r="K16" s="16"/>
      <c r="L16" s="16"/>
    </row>
    <row r="17" spans="2:5" ht="17">
      <c r="B17" s="8" t="s">
        <v>30</v>
      </c>
      <c r="C17" s="9" t="s">
        <v>31</v>
      </c>
      <c r="D17">
        <v>26033370.126992937</v>
      </c>
      <c r="E17" s="10">
        <f t="shared" si="0"/>
        <v>7.4011147837362457E-2</v>
      </c>
    </row>
    <row r="18" spans="2:5" ht="17">
      <c r="B18" s="8" t="s">
        <v>32</v>
      </c>
      <c r="C18" s="9" t="s">
        <v>33</v>
      </c>
      <c r="D18">
        <v>26066020.926928058</v>
      </c>
      <c r="E18" s="10">
        <f t="shared" si="0"/>
        <v>7.4103971900064222E-2</v>
      </c>
    </row>
    <row r="19" spans="2:5" ht="17">
      <c r="B19" s="8" t="s">
        <v>34</v>
      </c>
      <c r="C19" s="9" t="s">
        <v>35</v>
      </c>
      <c r="D19">
        <v>6153358.4543220084</v>
      </c>
      <c r="E19" s="10">
        <f t="shared" si="0"/>
        <v>1.7493590727498891E-2</v>
      </c>
    </row>
    <row r="20" spans="2:5" ht="17">
      <c r="B20" s="8" t="s">
        <v>36</v>
      </c>
      <c r="C20" s="9" t="s">
        <v>37</v>
      </c>
      <c r="D20">
        <v>3388912.1242329972</v>
      </c>
      <c r="E20" s="10">
        <f t="shared" si="0"/>
        <v>9.6344528200125804E-3</v>
      </c>
    </row>
    <row r="21" spans="2:5" ht="17">
      <c r="B21" s="8" t="s">
        <v>38</v>
      </c>
      <c r="C21" s="9" t="s">
        <v>39</v>
      </c>
      <c r="D21">
        <v>264209.93249999988</v>
      </c>
      <c r="E21" s="10">
        <f t="shared" si="0"/>
        <v>7.5113134715054826E-4</v>
      </c>
    </row>
    <row r="22" spans="2:5" ht="17">
      <c r="B22" s="8" t="s">
        <v>40</v>
      </c>
      <c r="C22" s="9" t="s">
        <v>41</v>
      </c>
      <c r="D22">
        <v>1325494.0393463781</v>
      </c>
      <c r="E22" s="10">
        <f t="shared" si="0"/>
        <v>3.7682918049050532E-3</v>
      </c>
    </row>
    <row r="23" spans="2:5" ht="17">
      <c r="B23" s="8" t="s">
        <v>42</v>
      </c>
      <c r="C23" s="9" t="s">
        <v>43</v>
      </c>
      <c r="D23">
        <v>73153.938926999908</v>
      </c>
      <c r="E23" s="10">
        <f t="shared" si="0"/>
        <v>2.0797180550964487E-4</v>
      </c>
    </row>
    <row r="24" spans="2:5" ht="17">
      <c r="B24" s="8" t="s">
        <v>44</v>
      </c>
      <c r="C24" s="9" t="s">
        <v>45</v>
      </c>
      <c r="D24">
        <v>6105079.6580719771</v>
      </c>
      <c r="E24" s="10">
        <f t="shared" si="0"/>
        <v>1.7356337305861939E-2</v>
      </c>
    </row>
    <row r="25" spans="2:5" ht="17">
      <c r="B25" s="8" t="s">
        <v>46</v>
      </c>
      <c r="C25" s="9" t="s">
        <v>47</v>
      </c>
      <c r="D25">
        <v>19667816.803333972</v>
      </c>
      <c r="E25" s="10">
        <f t="shared" si="0"/>
        <v>5.591430114383926E-2</v>
      </c>
    </row>
    <row r="26" spans="2:5" ht="17">
      <c r="B26" s="8" t="s">
        <v>48</v>
      </c>
      <c r="C26" s="9" t="s">
        <v>49</v>
      </c>
      <c r="D26">
        <v>4562714.9562369986</v>
      </c>
      <c r="E26" s="10">
        <f t="shared" si="0"/>
        <v>1.2971496564544382E-2</v>
      </c>
    </row>
    <row r="27" spans="2:5" ht="17">
      <c r="B27" s="8" t="s">
        <v>50</v>
      </c>
      <c r="C27" s="9" t="s">
        <v>51</v>
      </c>
      <c r="D27">
        <v>19183805.532414958</v>
      </c>
      <c r="E27" s="10">
        <f t="shared" si="0"/>
        <v>5.4538289142619552E-2</v>
      </c>
    </row>
    <row r="28" spans="2:5" ht="17">
      <c r="B28" s="8" t="s">
        <v>52</v>
      </c>
      <c r="C28" s="9" t="s">
        <v>53</v>
      </c>
      <c r="D28">
        <v>13675620.775000013</v>
      </c>
      <c r="E28" s="10">
        <f t="shared" si="0"/>
        <v>3.8878884524319653E-2</v>
      </c>
    </row>
    <row r="29" spans="2:5" ht="17">
      <c r="B29" s="8" t="s">
        <v>54</v>
      </c>
      <c r="C29" s="9" t="s">
        <v>55</v>
      </c>
      <c r="D29">
        <v>18931620.95725302</v>
      </c>
      <c r="E29" s="10">
        <f t="shared" si="0"/>
        <v>5.3821345090291108E-2</v>
      </c>
    </row>
    <row r="30" spans="2:5" ht="17">
      <c r="B30" s="8" t="s">
        <v>56</v>
      </c>
      <c r="C30" s="9" t="s">
        <v>57</v>
      </c>
      <c r="D30">
        <v>273124.30432799965</v>
      </c>
      <c r="E30" s="10">
        <f t="shared" si="0"/>
        <v>7.7647431611772128E-4</v>
      </c>
    </row>
    <row r="31" spans="2:5" ht="17">
      <c r="B31" s="8" t="s">
        <v>58</v>
      </c>
      <c r="C31" s="9" t="s">
        <v>59</v>
      </c>
      <c r="D31">
        <v>42581.879517999994</v>
      </c>
      <c r="E31" s="10">
        <f t="shared" si="0"/>
        <v>1.2105746450905168E-4</v>
      </c>
    </row>
    <row r="32" spans="2:5" ht="17">
      <c r="B32" s="8" t="s">
        <v>60</v>
      </c>
      <c r="C32" s="9" t="s">
        <v>61</v>
      </c>
      <c r="D32">
        <v>269451.21364499995</v>
      </c>
      <c r="E32" s="10">
        <f t="shared" si="0"/>
        <v>7.6603196246802382E-4</v>
      </c>
    </row>
    <row r="33" spans="2:5" ht="17">
      <c r="B33" s="8" t="s">
        <v>62</v>
      </c>
      <c r="C33" s="9" t="s">
        <v>63</v>
      </c>
      <c r="D33">
        <v>1249878.7949999974</v>
      </c>
      <c r="E33" s="10">
        <f t="shared" si="0"/>
        <v>3.5533226710288512E-3</v>
      </c>
    </row>
    <row r="34" spans="2:5" ht="17">
      <c r="B34" s="8" t="s">
        <v>64</v>
      </c>
      <c r="C34" s="9" t="s">
        <v>65</v>
      </c>
      <c r="D34">
        <v>2633931.8716950053</v>
      </c>
      <c r="E34" s="10">
        <f t="shared" si="0"/>
        <v>7.4880939424525053E-3</v>
      </c>
    </row>
    <row r="35" spans="2:5" ht="17">
      <c r="B35" s="8" t="s">
        <v>66</v>
      </c>
      <c r="C35" s="9" t="s">
        <v>67</v>
      </c>
      <c r="D35">
        <v>4450705.0079019777</v>
      </c>
      <c r="E35" s="10">
        <f t="shared" si="0"/>
        <v>1.2653059696592238E-2</v>
      </c>
    </row>
    <row r="36" spans="2:5" ht="17">
      <c r="B36" s="8" t="s">
        <v>68</v>
      </c>
      <c r="C36" s="9" t="s">
        <v>69</v>
      </c>
      <c r="D36">
        <v>24744386.347647946</v>
      </c>
      <c r="E36" s="10">
        <f t="shared" si="0"/>
        <v>7.0346652284627664E-2</v>
      </c>
    </row>
    <row r="37" spans="2:5" ht="17">
      <c r="B37" s="8" t="s">
        <v>70</v>
      </c>
      <c r="C37" s="9" t="s">
        <v>71</v>
      </c>
      <c r="D37">
        <v>10097540.468299959</v>
      </c>
      <c r="E37" s="10">
        <f t="shared" si="0"/>
        <v>2.8706639084665486E-2</v>
      </c>
    </row>
    <row r="38" spans="2:5" ht="17">
      <c r="B38" s="8" t="s">
        <v>72</v>
      </c>
      <c r="C38" s="9" t="s">
        <v>73</v>
      </c>
      <c r="D38">
        <v>15439909.111709956</v>
      </c>
      <c r="E38" s="10">
        <f t="shared" si="0"/>
        <v>4.3894639468032605E-2</v>
      </c>
    </row>
    <row r="39" spans="2:5" ht="17">
      <c r="B39" s="8" t="s">
        <v>74</v>
      </c>
      <c r="C39" s="9" t="s">
        <v>75</v>
      </c>
      <c r="D39">
        <v>2070385.8901590011</v>
      </c>
      <c r="E39" s="10">
        <f t="shared" si="0"/>
        <v>5.8859700242216229E-3</v>
      </c>
    </row>
    <row r="40" spans="2:5" ht="17">
      <c r="B40" s="8" t="s">
        <v>76</v>
      </c>
      <c r="C40" s="9" t="s">
        <v>77</v>
      </c>
      <c r="D40">
        <v>2622473.5849819966</v>
      </c>
      <c r="E40" s="10">
        <f t="shared" si="0"/>
        <v>7.4555187918768188E-3</v>
      </c>
    </row>
    <row r="41" spans="2:5" ht="17">
      <c r="B41" s="8" t="s">
        <v>78</v>
      </c>
      <c r="C41" s="9" t="s">
        <v>79</v>
      </c>
      <c r="D41">
        <v>13431.772134999981</v>
      </c>
      <c r="E41" s="10">
        <f t="shared" si="0"/>
        <v>3.8185638983809727E-5</v>
      </c>
    </row>
    <row r="42" spans="2:5" ht="17">
      <c r="B42" s="8" t="s">
        <v>80</v>
      </c>
      <c r="C42" s="9" t="s">
        <v>81</v>
      </c>
      <c r="D42">
        <v>1563007.5247239959</v>
      </c>
      <c r="E42" s="10">
        <f t="shared" si="0"/>
        <v>4.4435269202166708E-3</v>
      </c>
    </row>
    <row r="43" spans="2:5" ht="17">
      <c r="B43" s="8" t="s">
        <v>82</v>
      </c>
      <c r="C43" s="9" t="s">
        <v>83</v>
      </c>
      <c r="D43">
        <v>18249127.600034937</v>
      </c>
      <c r="E43" s="10">
        <f t="shared" si="0"/>
        <v>5.1881061657424635E-2</v>
      </c>
    </row>
    <row r="44" spans="2:5" ht="17">
      <c r="B44" s="8" t="s">
        <v>84</v>
      </c>
      <c r="C44" s="9" t="s">
        <v>85</v>
      </c>
      <c r="D44">
        <v>4823841.0706119956</v>
      </c>
      <c r="E44" s="10">
        <f t="shared" si="0"/>
        <v>1.3713860820917219E-2</v>
      </c>
    </row>
    <row r="45" spans="2:5" ht="17">
      <c r="B45" s="8" t="s">
        <v>86</v>
      </c>
      <c r="C45" s="9" t="s">
        <v>87</v>
      </c>
      <c r="D45">
        <v>29545917.802105997</v>
      </c>
      <c r="E45" s="10">
        <f t="shared" si="0"/>
        <v>8.399708834373687E-2</v>
      </c>
    </row>
    <row r="46" spans="2:5" ht="17">
      <c r="B46" s="8" t="s">
        <v>88</v>
      </c>
      <c r="C46" s="9" t="s">
        <v>89</v>
      </c>
      <c r="D46">
        <v>1893364.3099999991</v>
      </c>
      <c r="E46" s="10">
        <f t="shared" si="0"/>
        <v>5.3827093908252986E-3</v>
      </c>
    </row>
    <row r="47" spans="2:5" ht="17">
      <c r="B47" s="8" t="s">
        <v>90</v>
      </c>
      <c r="C47" s="9" t="s">
        <v>91</v>
      </c>
      <c r="D47">
        <v>301630.84364799911</v>
      </c>
      <c r="E47" s="10">
        <f t="shared" si="0"/>
        <v>8.5751652024466593E-4</v>
      </c>
    </row>
    <row r="48" spans="2:5" ht="17">
      <c r="B48" s="8" t="s">
        <v>92</v>
      </c>
      <c r="C48" s="9" t="s">
        <v>93</v>
      </c>
      <c r="D48">
        <v>3014333.1252439963</v>
      </c>
      <c r="E48" s="10">
        <f t="shared" si="0"/>
        <v>8.5695495233701954E-3</v>
      </c>
    </row>
    <row r="49" spans="2:5" ht="17">
      <c r="B49" s="8" t="s">
        <v>94</v>
      </c>
      <c r="C49" s="9" t="s">
        <v>95</v>
      </c>
      <c r="D49">
        <v>3767859.0779999946</v>
      </c>
      <c r="E49" s="10">
        <f t="shared" si="0"/>
        <v>1.0711773922926082E-2</v>
      </c>
    </row>
    <row r="50" spans="2:5" ht="17">
      <c r="B50" s="8" t="s">
        <v>96</v>
      </c>
      <c r="C50" s="9" t="s">
        <v>97</v>
      </c>
      <c r="D50">
        <v>826867.23593700037</v>
      </c>
      <c r="E50" s="10">
        <f t="shared" si="0"/>
        <v>2.3507288123772925E-3</v>
      </c>
    </row>
    <row r="51" spans="2:5" ht="17">
      <c r="B51" s="8" t="s">
        <v>98</v>
      </c>
      <c r="C51" s="9" t="s">
        <v>99</v>
      </c>
      <c r="D51">
        <v>8697678.0026589725</v>
      </c>
      <c r="E51" s="10">
        <f t="shared" si="0"/>
        <v>2.4726922767064889E-2</v>
      </c>
    </row>
    <row r="52" spans="2:5" ht="17">
      <c r="B52" s="8" t="s">
        <v>100</v>
      </c>
      <c r="C52" s="9" t="s">
        <v>101</v>
      </c>
      <c r="D52">
        <v>1388078.4049999963</v>
      </c>
      <c r="E52" s="10">
        <f t="shared" si="0"/>
        <v>3.9462150133142025E-3</v>
      </c>
    </row>
    <row r="53" spans="2:5" ht="17">
      <c r="B53" s="11" t="s">
        <v>102</v>
      </c>
      <c r="C53" s="12" t="s">
        <v>103</v>
      </c>
      <c r="D53" s="13">
        <v>351749309.228396</v>
      </c>
      <c r="E53" s="14">
        <f t="shared" si="0"/>
        <v>1</v>
      </c>
    </row>
  </sheetData>
  <mergeCells count="1">
    <mergeCell ref="G7:M12"/>
  </mergeCells>
  <hyperlinks>
    <hyperlink ref="H5" r:id="rId1" display="FSA Crop Acreage Data Reported to FSA (USDA)" xr:uid="{C4E6D829-B3A5-BF40-AA79-1976E95BD73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345E-FFF6-B849-89AE-427AA9CC6307}">
  <dimension ref="A1"/>
  <sheetViews>
    <sheetView tabSelected="1" workbookViewId="0">
      <selection activeCell="H49" sqref="H49"/>
    </sheetView>
  </sheetViews>
  <sheetFormatPr baseColWidth="10" defaultRowHeight="16"/>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81D1-3ED8-D344-834D-D400BD15FA4A}">
  <dimension ref="A1:Z70"/>
  <sheetViews>
    <sheetView workbookViewId="0">
      <selection activeCell="I45" sqref="I45"/>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115</v>
      </c>
    </row>
    <row r="4" spans="1:26" ht="17">
      <c r="B4" s="4" t="s">
        <v>2</v>
      </c>
      <c r="C4" s="5" t="s">
        <v>3</v>
      </c>
      <c r="D4" s="6" t="s">
        <v>104</v>
      </c>
      <c r="E4" s="7" t="s">
        <v>5</v>
      </c>
      <c r="G4" s="15" t="s">
        <v>106</v>
      </c>
      <c r="H4" t="s">
        <v>117</v>
      </c>
    </row>
    <row r="5" spans="1:26" ht="17">
      <c r="B5" s="8" t="s">
        <v>6</v>
      </c>
      <c r="C5" s="9" t="s">
        <v>7</v>
      </c>
      <c r="D5">
        <v>773.4</v>
      </c>
      <c r="E5" s="10">
        <f>D5/D$53</f>
        <v>2.4664663898509406E-2</v>
      </c>
      <c r="G5" s="15" t="s">
        <v>105</v>
      </c>
      <c r="H5" s="17" t="s">
        <v>116</v>
      </c>
    </row>
    <row r="6" spans="1:26" ht="17" customHeight="1">
      <c r="B6" s="8" t="s">
        <v>8</v>
      </c>
      <c r="C6" s="9" t="s">
        <v>9</v>
      </c>
      <c r="D6">
        <v>208.2</v>
      </c>
      <c r="E6" s="10">
        <f t="shared" ref="E6:E53" si="0">D6/D$53</f>
        <v>6.6397504831518725E-3</v>
      </c>
      <c r="G6" s="15"/>
    </row>
    <row r="7" spans="1:26" ht="17" customHeight="1">
      <c r="B7" s="8" t="s">
        <v>10</v>
      </c>
      <c r="C7" s="9" t="s">
        <v>11</v>
      </c>
      <c r="D7">
        <v>392.8</v>
      </c>
      <c r="E7" s="10">
        <f t="shared" si="0"/>
        <v>1.2526868346695752E-2</v>
      </c>
      <c r="G7" s="38" t="s">
        <v>118</v>
      </c>
      <c r="H7" s="38"/>
      <c r="I7" s="38"/>
      <c r="J7" s="38"/>
      <c r="K7" s="38"/>
      <c r="L7" s="38"/>
      <c r="M7" s="38"/>
    </row>
    <row r="8" spans="1:26" ht="17" customHeight="1">
      <c r="B8" s="8" t="s">
        <v>12</v>
      </c>
      <c r="C8" s="9" t="s">
        <v>13</v>
      </c>
      <c r="D8">
        <v>1412.9</v>
      </c>
      <c r="E8" s="10">
        <f t="shared" si="0"/>
        <v>4.5059094417124308E-2</v>
      </c>
      <c r="G8" s="38"/>
      <c r="H8" s="38"/>
      <c r="I8" s="38"/>
      <c r="J8" s="38"/>
      <c r="K8" s="38"/>
      <c r="L8" s="38"/>
      <c r="M8" s="38"/>
    </row>
    <row r="9" spans="1:26" ht="17" customHeight="1">
      <c r="B9" s="8" t="s">
        <v>14</v>
      </c>
      <c r="C9" s="9" t="s">
        <v>15</v>
      </c>
      <c r="D9">
        <v>349.6</v>
      </c>
      <c r="E9" s="10">
        <f t="shared" si="0"/>
        <v>1.1149167958260781E-2</v>
      </c>
      <c r="G9" s="38"/>
      <c r="H9" s="38"/>
      <c r="I9" s="38"/>
      <c r="J9" s="38"/>
      <c r="K9" s="38"/>
      <c r="L9" s="38"/>
      <c r="M9" s="38"/>
    </row>
    <row r="10" spans="1:26" ht="17" customHeight="1">
      <c r="B10" s="8" t="s">
        <v>16</v>
      </c>
      <c r="C10" s="9" t="s">
        <v>17</v>
      </c>
      <c r="D10">
        <v>67</v>
      </c>
      <c r="E10" s="10">
        <f t="shared" si="0"/>
        <v>2.1367112505820147E-3</v>
      </c>
      <c r="G10" s="38"/>
      <c r="H10" s="38"/>
      <c r="I10" s="38"/>
      <c r="J10" s="38"/>
      <c r="K10" s="38"/>
      <c r="L10" s="38"/>
      <c r="M10" s="38"/>
    </row>
    <row r="11" spans="1:26" ht="17" customHeight="1">
      <c r="B11" s="8" t="s">
        <v>18</v>
      </c>
      <c r="C11" s="9" t="s">
        <v>19</v>
      </c>
      <c r="D11">
        <v>69.2</v>
      </c>
      <c r="E11" s="10">
        <f t="shared" si="0"/>
        <v>2.2068719185115737E-3</v>
      </c>
      <c r="G11" s="38"/>
      <c r="H11" s="38"/>
      <c r="I11" s="38"/>
      <c r="J11" s="38"/>
      <c r="K11" s="38"/>
      <c r="L11" s="38"/>
      <c r="M11" s="38"/>
    </row>
    <row r="12" spans="1:26" ht="17" customHeight="1">
      <c r="B12" s="8" t="s">
        <v>20</v>
      </c>
      <c r="C12" s="9" t="s">
        <v>21</v>
      </c>
      <c r="D12">
        <v>440.6</v>
      </c>
      <c r="E12" s="10">
        <f t="shared" si="0"/>
        <v>1.4051268313528891E-2</v>
      </c>
      <c r="G12" s="38"/>
      <c r="H12" s="38"/>
      <c r="I12" s="38"/>
      <c r="J12" s="38"/>
      <c r="K12" s="38"/>
      <c r="L12" s="38"/>
      <c r="M12" s="38"/>
    </row>
    <row r="13" spans="1:26" ht="17" customHeight="1">
      <c r="B13" s="8" t="s">
        <v>22</v>
      </c>
      <c r="C13" s="9" t="s">
        <v>23</v>
      </c>
      <c r="D13">
        <v>722.7</v>
      </c>
      <c r="E13" s="10">
        <f t="shared" si="0"/>
        <v>2.3047779414860033E-2</v>
      </c>
      <c r="H13" s="16"/>
      <c r="I13" s="16"/>
      <c r="J13" s="16"/>
      <c r="K13" s="16"/>
      <c r="L13" s="16"/>
    </row>
    <row r="14" spans="1:26" ht="17">
      <c r="B14" s="8" t="s">
        <v>24</v>
      </c>
      <c r="C14" s="9" t="s">
        <v>25</v>
      </c>
      <c r="D14">
        <v>139.80000000000001</v>
      </c>
      <c r="E14" s="10">
        <f t="shared" si="0"/>
        <v>4.458391534796503E-3</v>
      </c>
      <c r="H14" s="16"/>
      <c r="I14" s="16"/>
      <c r="J14" s="16"/>
      <c r="K14" s="16"/>
      <c r="L14" s="16"/>
    </row>
    <row r="15" spans="1:26" ht="17">
      <c r="B15" s="8" t="s">
        <v>26</v>
      </c>
      <c r="C15" s="9" t="s">
        <v>27</v>
      </c>
      <c r="D15">
        <v>1067.4000000000001</v>
      </c>
      <c r="E15" s="10">
        <f t="shared" si="0"/>
        <v>3.4040680430914072E-2</v>
      </c>
      <c r="H15" s="16"/>
      <c r="I15" s="16"/>
      <c r="J15" s="16"/>
      <c r="K15" s="16"/>
      <c r="L15" s="16"/>
    </row>
    <row r="16" spans="1:26" ht="17">
      <c r="B16" s="8" t="s">
        <v>28</v>
      </c>
      <c r="C16" s="9" t="s">
        <v>29</v>
      </c>
      <c r="D16">
        <v>1177.4000000000001</v>
      </c>
      <c r="E16" s="10">
        <f t="shared" si="0"/>
        <v>3.7548713827392007E-2</v>
      </c>
      <c r="H16" s="16"/>
      <c r="I16" s="16"/>
      <c r="J16" s="16"/>
      <c r="K16" s="16"/>
      <c r="L16" s="16"/>
    </row>
    <row r="17" spans="2:8" ht="17">
      <c r="B17" s="8" t="s">
        <v>30</v>
      </c>
      <c r="C17" s="9" t="s">
        <v>31</v>
      </c>
      <c r="D17">
        <v>802.7</v>
      </c>
      <c r="E17" s="10">
        <f t="shared" si="0"/>
        <v>2.5599076430480348E-2</v>
      </c>
    </row>
    <row r="18" spans="2:8" ht="17">
      <c r="B18" s="8" t="s">
        <v>32</v>
      </c>
      <c r="C18" s="9" t="s">
        <v>33</v>
      </c>
      <c r="D18">
        <v>349.7</v>
      </c>
      <c r="E18" s="10">
        <f t="shared" si="0"/>
        <v>1.1152357079530306E-2</v>
      </c>
    </row>
    <row r="19" spans="2:8" ht="17">
      <c r="B19" s="8" t="s">
        <v>34</v>
      </c>
      <c r="C19" s="9" t="s">
        <v>35</v>
      </c>
      <c r="D19">
        <v>580.29999999999995</v>
      </c>
      <c r="E19" s="10">
        <f t="shared" si="0"/>
        <v>1.8506470727055867E-2</v>
      </c>
      <c r="G19" s="21"/>
      <c r="H19" s="22"/>
    </row>
    <row r="20" spans="2:8" ht="17">
      <c r="B20" s="8" t="s">
        <v>36</v>
      </c>
      <c r="C20" s="9" t="s">
        <v>37</v>
      </c>
      <c r="D20">
        <v>2997.2</v>
      </c>
      <c r="E20" s="10">
        <f t="shared" si="0"/>
        <v>9.5584342690215138E-2</v>
      </c>
      <c r="G20" s="21"/>
      <c r="H20" s="22"/>
    </row>
    <row r="21" spans="2:8" ht="17">
      <c r="B21" s="8" t="s">
        <v>38</v>
      </c>
      <c r="C21" s="9" t="s">
        <v>39</v>
      </c>
      <c r="D21">
        <v>80.2</v>
      </c>
      <c r="E21" s="10">
        <f t="shared" si="0"/>
        <v>2.5576752581593669E-3</v>
      </c>
      <c r="G21" s="21"/>
      <c r="H21" s="22"/>
    </row>
    <row r="22" spans="2:8" ht="17">
      <c r="B22" s="8" t="s">
        <v>40</v>
      </c>
      <c r="C22" s="9" t="s">
        <v>41</v>
      </c>
      <c r="D22">
        <v>82.3</v>
      </c>
      <c r="E22" s="10">
        <f t="shared" si="0"/>
        <v>2.6246468048193999E-3</v>
      </c>
      <c r="G22" s="21"/>
      <c r="H22" s="22"/>
    </row>
    <row r="23" spans="2:8" ht="17">
      <c r="B23" s="8" t="s">
        <v>42</v>
      </c>
      <c r="C23" s="9" t="s">
        <v>43</v>
      </c>
      <c r="D23">
        <v>126.1</v>
      </c>
      <c r="E23" s="10">
        <f t="shared" si="0"/>
        <v>4.0214819208715235E-3</v>
      </c>
      <c r="G23" s="21"/>
      <c r="H23" s="23"/>
    </row>
    <row r="24" spans="2:8" ht="17">
      <c r="B24" s="8" t="s">
        <v>44</v>
      </c>
      <c r="C24" s="9" t="s">
        <v>45</v>
      </c>
      <c r="D24">
        <v>622.4</v>
      </c>
      <c r="E24" s="10">
        <f t="shared" si="0"/>
        <v>1.9849090781526059E-2</v>
      </c>
      <c r="G24" s="21"/>
      <c r="H24" s="22"/>
    </row>
    <row r="25" spans="2:8" ht="17">
      <c r="B25" s="8" t="s">
        <v>46</v>
      </c>
      <c r="C25" s="9" t="s">
        <v>47</v>
      </c>
      <c r="D25">
        <v>547.6</v>
      </c>
      <c r="E25" s="10">
        <f t="shared" si="0"/>
        <v>1.7463628071921065E-2</v>
      </c>
      <c r="G25" s="21"/>
      <c r="H25" s="22"/>
    </row>
    <row r="26" spans="2:8" ht="17">
      <c r="B26" s="8" t="s">
        <v>48</v>
      </c>
      <c r="C26" s="9" t="s">
        <v>49</v>
      </c>
      <c r="D26">
        <v>396.1</v>
      </c>
      <c r="E26" s="10">
        <f t="shared" si="0"/>
        <v>1.2632109348590092E-2</v>
      </c>
      <c r="G26" s="21"/>
      <c r="H26" s="22"/>
    </row>
    <row r="27" spans="2:8" ht="17">
      <c r="B27" s="8" t="s">
        <v>50</v>
      </c>
      <c r="C27" s="9" t="s">
        <v>51</v>
      </c>
      <c r="D27">
        <v>293.5</v>
      </c>
      <c r="E27" s="10">
        <f t="shared" si="0"/>
        <v>9.3600709260570347E-3</v>
      </c>
      <c r="G27" s="21"/>
      <c r="H27" s="22"/>
    </row>
    <row r="28" spans="2:8" ht="17">
      <c r="B28" s="8" t="s">
        <v>52</v>
      </c>
      <c r="C28" s="9" t="s">
        <v>53</v>
      </c>
      <c r="D28">
        <v>113.1</v>
      </c>
      <c r="E28" s="10">
        <f t="shared" si="0"/>
        <v>3.6068961558332218E-3</v>
      </c>
      <c r="G28" s="21"/>
      <c r="H28" s="22"/>
    </row>
    <row r="29" spans="2:8" ht="17">
      <c r="B29" s="8" t="s">
        <v>54</v>
      </c>
      <c r="C29" s="9" t="s">
        <v>55</v>
      </c>
      <c r="D29">
        <v>370.9</v>
      </c>
      <c r="E29" s="10">
        <f t="shared" si="0"/>
        <v>1.1828450788669689E-2</v>
      </c>
      <c r="G29" s="21"/>
      <c r="H29" s="22"/>
    </row>
    <row r="30" spans="2:8" ht="17">
      <c r="B30" s="8" t="s">
        <v>56</v>
      </c>
      <c r="C30" s="9" t="s">
        <v>57</v>
      </c>
      <c r="D30">
        <v>132</v>
      </c>
      <c r="E30" s="10">
        <f t="shared" si="0"/>
        <v>4.2096400757735217E-3</v>
      </c>
      <c r="G30" s="21"/>
      <c r="H30" s="22"/>
    </row>
    <row r="31" spans="2:8" ht="17">
      <c r="B31" s="8" t="s">
        <v>58</v>
      </c>
      <c r="C31" s="9" t="s">
        <v>59</v>
      </c>
      <c r="D31">
        <v>38.4</v>
      </c>
      <c r="E31" s="10">
        <f t="shared" si="0"/>
        <v>1.2246225674977518E-3</v>
      </c>
      <c r="G31" s="21"/>
      <c r="H31" s="22"/>
    </row>
    <row r="32" spans="2:8" ht="17">
      <c r="B32" s="8" t="s">
        <v>60</v>
      </c>
      <c r="C32" s="9" t="s">
        <v>61</v>
      </c>
      <c r="D32">
        <v>228.2</v>
      </c>
      <c r="E32" s="10">
        <f t="shared" si="0"/>
        <v>7.2775747370569513E-3</v>
      </c>
      <c r="G32" s="21"/>
      <c r="H32" s="23"/>
    </row>
    <row r="33" spans="2:8" ht="17">
      <c r="B33" s="8" t="s">
        <v>62</v>
      </c>
      <c r="C33" s="9" t="s">
        <v>63</v>
      </c>
      <c r="D33">
        <v>263.5</v>
      </c>
      <c r="E33" s="10">
        <f t="shared" si="0"/>
        <v>8.4033345451994153E-3</v>
      </c>
      <c r="G33" s="21"/>
      <c r="H33" s="23"/>
    </row>
    <row r="34" spans="2:8" ht="17">
      <c r="B34" s="8" t="s">
        <v>64</v>
      </c>
      <c r="C34" s="9" t="s">
        <v>65</v>
      </c>
      <c r="D34">
        <v>322</v>
      </c>
      <c r="E34" s="10">
        <f t="shared" si="0"/>
        <v>1.0268970487871773E-2</v>
      </c>
      <c r="G34" s="21"/>
      <c r="H34" s="22"/>
    </row>
    <row r="35" spans="2:8" ht="17">
      <c r="B35" s="8" t="s">
        <v>66</v>
      </c>
      <c r="C35" s="9" t="s">
        <v>67</v>
      </c>
      <c r="D35">
        <v>496.9</v>
      </c>
      <c r="E35" s="10">
        <f t="shared" si="0"/>
        <v>1.5846743588271688E-2</v>
      </c>
      <c r="G35" s="21"/>
      <c r="H35" s="22"/>
    </row>
    <row r="36" spans="2:8" ht="17">
      <c r="B36" s="8" t="s">
        <v>68</v>
      </c>
      <c r="C36" s="9" t="s">
        <v>69</v>
      </c>
      <c r="D36">
        <v>397.8</v>
      </c>
      <c r="E36" s="10">
        <f t="shared" si="0"/>
        <v>1.2686324410172022E-2</v>
      </c>
      <c r="G36" s="21"/>
      <c r="H36" s="22"/>
    </row>
    <row r="37" spans="2:8" ht="17">
      <c r="B37" s="8" t="s">
        <v>70</v>
      </c>
      <c r="C37" s="9" t="s">
        <v>71</v>
      </c>
      <c r="D37">
        <v>1127</v>
      </c>
      <c r="E37" s="10">
        <f t="shared" si="0"/>
        <v>3.5941396707551206E-2</v>
      </c>
      <c r="G37" s="21"/>
      <c r="H37" s="23"/>
    </row>
    <row r="38" spans="2:8" ht="17">
      <c r="B38" s="8" t="s">
        <v>72</v>
      </c>
      <c r="C38" s="9" t="s">
        <v>73</v>
      </c>
      <c r="D38">
        <v>615.6</v>
      </c>
      <c r="E38" s="10">
        <f t="shared" si="0"/>
        <v>1.9632230535198334E-2</v>
      </c>
      <c r="G38" s="21"/>
      <c r="H38" s="22"/>
    </row>
    <row r="39" spans="2:8" ht="17">
      <c r="B39" s="8" t="s">
        <v>74</v>
      </c>
      <c r="C39" s="9" t="s">
        <v>75</v>
      </c>
      <c r="D39">
        <v>218</v>
      </c>
      <c r="E39" s="10">
        <f t="shared" si="0"/>
        <v>6.9522843675653614E-3</v>
      </c>
      <c r="G39" s="21"/>
      <c r="H39" s="22"/>
    </row>
    <row r="40" spans="2:8" ht="17">
      <c r="B40" s="8" t="s">
        <v>76</v>
      </c>
      <c r="C40" s="9" t="s">
        <v>77</v>
      </c>
      <c r="D40">
        <v>1398.6</v>
      </c>
      <c r="E40" s="10">
        <f t="shared" si="0"/>
        <v>4.4603050075582171E-2</v>
      </c>
      <c r="G40" s="21"/>
      <c r="H40" s="22"/>
    </row>
    <row r="41" spans="2:8" ht="17">
      <c r="B41" s="8" t="s">
        <v>78</v>
      </c>
      <c r="C41" s="9" t="s">
        <v>79</v>
      </c>
      <c r="D41">
        <v>19.399999999999999</v>
      </c>
      <c r="E41" s="10">
        <f t="shared" si="0"/>
        <v>6.1868952628792661E-4</v>
      </c>
      <c r="G41" s="21"/>
      <c r="H41" s="22"/>
    </row>
    <row r="42" spans="2:8" ht="17">
      <c r="B42" s="8" t="s">
        <v>80</v>
      </c>
      <c r="C42" s="9" t="s">
        <v>81</v>
      </c>
      <c r="D42">
        <v>490.6</v>
      </c>
      <c r="E42" s="10">
        <f t="shared" si="0"/>
        <v>1.5645828948291588E-2</v>
      </c>
      <c r="G42" s="21"/>
      <c r="H42" s="22"/>
    </row>
    <row r="43" spans="2:8" ht="17">
      <c r="B43" s="8" t="s">
        <v>82</v>
      </c>
      <c r="C43" s="9" t="s">
        <v>83</v>
      </c>
      <c r="D43">
        <v>162.1</v>
      </c>
      <c r="E43" s="10">
        <f t="shared" si="0"/>
        <v>5.1695655779006649E-3</v>
      </c>
      <c r="G43" s="21"/>
      <c r="H43" s="22"/>
    </row>
    <row r="44" spans="2:8" ht="17">
      <c r="B44" s="8" t="s">
        <v>84</v>
      </c>
      <c r="C44" s="9" t="s">
        <v>85</v>
      </c>
      <c r="D44">
        <v>527.9</v>
      </c>
      <c r="E44" s="10">
        <f t="shared" si="0"/>
        <v>1.6835371181824561E-2</v>
      </c>
      <c r="G44" s="21"/>
      <c r="H44" s="22"/>
    </row>
    <row r="45" spans="2:8" ht="17">
      <c r="B45" s="8" t="s">
        <v>86</v>
      </c>
      <c r="C45" s="9" t="s">
        <v>87</v>
      </c>
      <c r="D45">
        <v>8113.5</v>
      </c>
      <c r="E45" s="10">
        <f t="shared" si="0"/>
        <v>0.25874935420294293</v>
      </c>
      <c r="G45" s="21"/>
      <c r="H45" s="22"/>
    </row>
    <row r="46" spans="2:8" ht="17">
      <c r="B46" s="8" t="s">
        <v>88</v>
      </c>
      <c r="C46" s="9" t="s">
        <v>89</v>
      </c>
      <c r="D46">
        <v>194.5</v>
      </c>
      <c r="E46" s="10">
        <f t="shared" si="0"/>
        <v>6.2028408692268939E-3</v>
      </c>
      <c r="G46" s="21"/>
      <c r="H46" s="22"/>
    </row>
    <row r="47" spans="2:8" ht="17">
      <c r="B47" s="8" t="s">
        <v>90</v>
      </c>
      <c r="C47" s="9" t="s">
        <v>91</v>
      </c>
      <c r="D47">
        <v>15.6</v>
      </c>
      <c r="E47" s="10">
        <f t="shared" si="0"/>
        <v>4.9750291804596166E-4</v>
      </c>
      <c r="G47" s="21"/>
      <c r="H47" s="22"/>
    </row>
    <row r="48" spans="2:8" ht="17">
      <c r="B48" s="8" t="s">
        <v>92</v>
      </c>
      <c r="C48" s="9" t="s">
        <v>93</v>
      </c>
      <c r="D48">
        <v>377.5</v>
      </c>
      <c r="E48" s="10">
        <f t="shared" si="0"/>
        <v>1.2038932792458367E-2</v>
      </c>
      <c r="G48" s="21"/>
      <c r="H48" s="22"/>
    </row>
    <row r="49" spans="2:8" ht="17">
      <c r="B49" s="8" t="s">
        <v>94</v>
      </c>
      <c r="C49" s="9" t="s">
        <v>95</v>
      </c>
      <c r="D49">
        <v>369.4</v>
      </c>
      <c r="E49" s="10">
        <f t="shared" si="0"/>
        <v>1.1780613969626808E-2</v>
      </c>
      <c r="G49" s="21"/>
      <c r="H49" s="22"/>
    </row>
    <row r="50" spans="2:8" ht="17">
      <c r="B50" s="8" t="s">
        <v>96</v>
      </c>
      <c r="C50" s="9" t="s">
        <v>97</v>
      </c>
      <c r="D50">
        <v>407.4</v>
      </c>
      <c r="E50" s="10">
        <f t="shared" si="0"/>
        <v>1.299248005204646E-2</v>
      </c>
      <c r="G50" s="21"/>
      <c r="H50" s="22"/>
    </row>
    <row r="51" spans="2:8" ht="17">
      <c r="B51" s="8" t="s">
        <v>98</v>
      </c>
      <c r="C51" s="9" t="s">
        <v>99</v>
      </c>
      <c r="D51">
        <v>511.9</v>
      </c>
      <c r="E51" s="10">
        <f t="shared" si="0"/>
        <v>1.6325111778700496E-2</v>
      </c>
      <c r="G51" s="21"/>
      <c r="H51" s="22"/>
    </row>
    <row r="52" spans="2:8" ht="17">
      <c r="B52" s="8" t="s">
        <v>100</v>
      </c>
      <c r="C52" s="9" t="s">
        <v>101</v>
      </c>
      <c r="D52">
        <v>283</v>
      </c>
      <c r="E52" s="10">
        <f t="shared" si="0"/>
        <v>9.0252131927568684E-3</v>
      </c>
      <c r="G52" s="21"/>
      <c r="H52" s="22"/>
    </row>
    <row r="53" spans="2:8" ht="17">
      <c r="B53" s="11" t="s">
        <v>102</v>
      </c>
      <c r="C53" s="12" t="s">
        <v>103</v>
      </c>
      <c r="D53" s="13">
        <v>31356.6</v>
      </c>
      <c r="E53" s="14">
        <f t="shared" si="0"/>
        <v>1</v>
      </c>
      <c r="G53" s="21"/>
      <c r="H53" s="22"/>
    </row>
    <row r="54" spans="2:8">
      <c r="G54" s="21"/>
      <c r="H54" s="23"/>
    </row>
    <row r="55" spans="2:8">
      <c r="G55" s="21"/>
      <c r="H55" s="22"/>
    </row>
    <row r="56" spans="2:8">
      <c r="G56" s="21"/>
      <c r="H56" s="22"/>
    </row>
    <row r="57" spans="2:8">
      <c r="G57" s="21"/>
      <c r="H57" s="23"/>
    </row>
    <row r="58" spans="2:8">
      <c r="G58" s="21"/>
      <c r="H58" s="22"/>
    </row>
    <row r="59" spans="2:8">
      <c r="G59" s="21"/>
      <c r="H59" s="22"/>
    </row>
    <row r="60" spans="2:8">
      <c r="G60" s="21"/>
      <c r="H60" s="22"/>
    </row>
    <row r="61" spans="2:8">
      <c r="G61" s="21"/>
      <c r="H61" s="22"/>
    </row>
    <row r="62" spans="2:8">
      <c r="G62" s="21"/>
      <c r="H62" s="23"/>
    </row>
    <row r="63" spans="2:8">
      <c r="G63" s="21"/>
      <c r="H63" s="22"/>
    </row>
    <row r="64" spans="2:8">
      <c r="G64" s="21"/>
      <c r="H64" s="22"/>
    </row>
    <row r="65" spans="7:8">
      <c r="G65" s="21"/>
      <c r="H65" s="22"/>
    </row>
    <row r="66" spans="7:8">
      <c r="G66" s="21"/>
      <c r="H66" s="22"/>
    </row>
    <row r="67" spans="7:8">
      <c r="G67" s="21"/>
      <c r="H67" s="22"/>
    </row>
    <row r="68" spans="7:8">
      <c r="G68" s="21"/>
      <c r="H68" s="22"/>
    </row>
    <row r="69" spans="7:8">
      <c r="G69" s="21"/>
      <c r="H69" s="22"/>
    </row>
    <row r="70" spans="7:8">
      <c r="G70" s="21"/>
      <c r="H70" s="23"/>
    </row>
  </sheetData>
  <mergeCells count="1">
    <mergeCell ref="G7:M1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8D7B7-071B-C344-9935-882A601A479C}">
  <dimension ref="A1:Z53"/>
  <sheetViews>
    <sheetView workbookViewId="0">
      <selection activeCell="H51" sqref="H51"/>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158</v>
      </c>
    </row>
    <row r="4" spans="1:26" ht="17">
      <c r="B4" s="4" t="s">
        <v>2</v>
      </c>
      <c r="C4" s="5" t="s">
        <v>3</v>
      </c>
      <c r="D4" s="6" t="s">
        <v>104</v>
      </c>
      <c r="E4" s="7" t="s">
        <v>5</v>
      </c>
      <c r="G4" s="15" t="s">
        <v>106</v>
      </c>
      <c r="H4" t="s">
        <v>4</v>
      </c>
    </row>
    <row r="5" spans="1:26" ht="17">
      <c r="B5" s="8" t="s">
        <v>6</v>
      </c>
      <c r="C5" s="9" t="s">
        <v>7</v>
      </c>
      <c r="D5">
        <v>5544</v>
      </c>
      <c r="E5" s="10">
        <f>D5/D$53</f>
        <v>6.5992143792405672E-2</v>
      </c>
      <c r="G5" s="15" t="s">
        <v>105</v>
      </c>
      <c r="H5" s="17" t="s">
        <v>111</v>
      </c>
    </row>
    <row r="6" spans="1:26" ht="17" customHeight="1">
      <c r="B6" s="8" t="s">
        <v>8</v>
      </c>
      <c r="C6" s="9" t="s">
        <v>9</v>
      </c>
      <c r="D6">
        <v>325</v>
      </c>
      <c r="E6" s="10">
        <f t="shared" ref="E6:E53" si="0">D6/D$53</f>
        <v>3.8685870729675037E-3</v>
      </c>
      <c r="G6" s="15"/>
    </row>
    <row r="7" spans="1:26" ht="17" customHeight="1">
      <c r="B7" s="8" t="s">
        <v>10</v>
      </c>
      <c r="C7" s="9" t="s">
        <v>11</v>
      </c>
      <c r="D7">
        <v>4326</v>
      </c>
      <c r="E7" s="10">
        <f t="shared" si="0"/>
        <v>5.1493869777407449E-2</v>
      </c>
      <c r="G7" s="38" t="s">
        <v>159</v>
      </c>
      <c r="H7" s="38"/>
      <c r="I7" s="38"/>
      <c r="J7" s="38"/>
      <c r="K7" s="38"/>
      <c r="L7" s="38"/>
      <c r="M7" s="38"/>
    </row>
    <row r="8" spans="1:26" ht="17" customHeight="1">
      <c r="B8" s="8" t="s">
        <v>12</v>
      </c>
      <c r="C8" s="9" t="s">
        <v>13</v>
      </c>
      <c r="D8">
        <v>1630</v>
      </c>
      <c r="E8" s="10">
        <f t="shared" si="0"/>
        <v>1.9402452089037018E-2</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950</v>
      </c>
      <c r="E12" s="10">
        <f t="shared" si="0"/>
        <v>1.1308177597905011E-2</v>
      </c>
      <c r="G12" s="38"/>
      <c r="H12" s="38"/>
      <c r="I12" s="38"/>
      <c r="J12" s="38"/>
      <c r="K12" s="38"/>
      <c r="L12" s="38"/>
      <c r="M12" s="38"/>
    </row>
    <row r="13" spans="1:26" ht="17" customHeight="1">
      <c r="B13" s="8" t="s">
        <v>22</v>
      </c>
      <c r="C13" s="9" t="s">
        <v>23</v>
      </c>
      <c r="D13">
        <v>789</v>
      </c>
      <c r="E13" s="10">
        <f t="shared" si="0"/>
        <v>9.3917390786811099E-3</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3708</v>
      </c>
      <c r="E15" s="10">
        <f t="shared" si="0"/>
        <v>4.4137602666349245E-2</v>
      </c>
      <c r="H15" s="16"/>
      <c r="I15" s="16"/>
      <c r="J15" s="16"/>
      <c r="K15" s="16"/>
      <c r="L15" s="16"/>
    </row>
    <row r="16" spans="1:26" ht="17">
      <c r="B16" s="8" t="s">
        <v>28</v>
      </c>
      <c r="C16" s="9" t="s">
        <v>29</v>
      </c>
      <c r="D16">
        <v>16721</v>
      </c>
      <c r="E16" s="10">
        <f t="shared" si="0"/>
        <v>0.1990358290679681</v>
      </c>
      <c r="H16" s="24"/>
      <c r="I16" s="24"/>
      <c r="J16" s="25"/>
      <c r="K16" s="25"/>
      <c r="L16" s="25"/>
    </row>
    <row r="17" spans="2:12" ht="17">
      <c r="B17" s="8" t="s">
        <v>30</v>
      </c>
      <c r="C17" s="9" t="s">
        <v>31</v>
      </c>
      <c r="D17">
        <v>1010</v>
      </c>
      <c r="E17" s="10">
        <f t="shared" si="0"/>
        <v>1.2022378288299012E-2</v>
      </c>
      <c r="I17" s="18"/>
      <c r="J17" s="18"/>
      <c r="K17" s="18"/>
      <c r="L17" s="18"/>
    </row>
    <row r="18" spans="2:12" ht="17">
      <c r="B18" s="8" t="s">
        <v>32</v>
      </c>
      <c r="C18" s="9" t="s">
        <v>33</v>
      </c>
      <c r="D18">
        <v>0</v>
      </c>
      <c r="E18" s="10">
        <f t="shared" si="0"/>
        <v>0</v>
      </c>
      <c r="J18" s="18"/>
      <c r="K18" s="18"/>
      <c r="L18" s="18"/>
    </row>
    <row r="19" spans="2:12" ht="17">
      <c r="B19" s="8" t="s">
        <v>34</v>
      </c>
      <c r="C19" s="9" t="s">
        <v>35</v>
      </c>
      <c r="D19">
        <v>2648</v>
      </c>
      <c r="E19" s="10">
        <f t="shared" si="0"/>
        <v>3.1520057136055234E-2</v>
      </c>
      <c r="I19" s="18"/>
      <c r="J19" s="18"/>
      <c r="K19" s="18"/>
      <c r="L19" s="18"/>
    </row>
    <row r="20" spans="2:12" ht="17">
      <c r="B20" s="8" t="s">
        <v>36</v>
      </c>
      <c r="C20" s="9" t="s">
        <v>37</v>
      </c>
      <c r="D20">
        <v>346</v>
      </c>
      <c r="E20" s="10">
        <f t="shared" si="0"/>
        <v>4.1185573146054043E-3</v>
      </c>
      <c r="I20" s="18"/>
      <c r="J20" s="18"/>
      <c r="K20" s="18"/>
      <c r="L20" s="18"/>
    </row>
    <row r="21" spans="2:12" ht="17">
      <c r="B21" s="8" t="s">
        <v>38</v>
      </c>
      <c r="C21" s="9" t="s">
        <v>39</v>
      </c>
      <c r="D21">
        <v>0</v>
      </c>
      <c r="E21" s="10">
        <f t="shared" si="0"/>
        <v>0</v>
      </c>
      <c r="J21" s="18"/>
      <c r="K21" s="18"/>
      <c r="L21" s="18"/>
    </row>
    <row r="22" spans="2:12" ht="17">
      <c r="B22" s="8" t="s">
        <v>40</v>
      </c>
      <c r="C22" s="9" t="s">
        <v>41</v>
      </c>
      <c r="D22">
        <v>198</v>
      </c>
      <c r="E22" s="10">
        <f t="shared" si="0"/>
        <v>2.3568622783002023E-3</v>
      </c>
      <c r="J22" s="18"/>
      <c r="K22" s="18"/>
      <c r="L22" s="18"/>
    </row>
    <row r="23" spans="2:12" ht="17">
      <c r="B23" s="8" t="s">
        <v>42</v>
      </c>
      <c r="C23" s="9" t="s">
        <v>43</v>
      </c>
      <c r="D23">
        <v>32</v>
      </c>
      <c r="E23" s="10">
        <f t="shared" si="0"/>
        <v>3.8090703487680039E-4</v>
      </c>
      <c r="I23" s="18"/>
      <c r="J23" s="18"/>
      <c r="K23" s="18"/>
      <c r="L23" s="18"/>
    </row>
    <row r="24" spans="2:12" ht="17">
      <c r="B24" s="8" t="s">
        <v>44</v>
      </c>
      <c r="C24" s="9" t="s">
        <v>45</v>
      </c>
      <c r="D24">
        <v>3006</v>
      </c>
      <c r="E24" s="10">
        <f t="shared" si="0"/>
        <v>3.5781454588739436E-2</v>
      </c>
      <c r="I24" s="18"/>
      <c r="J24" s="18"/>
      <c r="K24" s="18"/>
      <c r="L24" s="18"/>
    </row>
    <row r="25" spans="2:12" ht="17">
      <c r="B25" s="8" t="s">
        <v>46</v>
      </c>
      <c r="C25" s="9" t="s">
        <v>47</v>
      </c>
      <c r="D25">
        <v>0</v>
      </c>
      <c r="E25" s="10">
        <f t="shared" si="0"/>
        <v>0</v>
      </c>
      <c r="I25" s="18"/>
      <c r="J25" s="18"/>
      <c r="K25" s="18"/>
      <c r="L25" s="18"/>
    </row>
    <row r="26" spans="2:12" ht="17">
      <c r="B26" s="8" t="s">
        <v>48</v>
      </c>
      <c r="C26" s="9" t="s">
        <v>49</v>
      </c>
      <c r="D26">
        <v>1493</v>
      </c>
      <c r="E26" s="10">
        <f t="shared" si="0"/>
        <v>1.7771693845970719E-2</v>
      </c>
      <c r="I26" s="18"/>
      <c r="J26" s="18"/>
      <c r="K26" s="18"/>
      <c r="L26" s="18"/>
    </row>
    <row r="27" spans="2:12" ht="17">
      <c r="B27" s="8" t="s">
        <v>50</v>
      </c>
      <c r="C27" s="9" t="s">
        <v>51</v>
      </c>
      <c r="D27">
        <v>313</v>
      </c>
      <c r="E27" s="10">
        <f t="shared" si="0"/>
        <v>3.7257469348887036E-3</v>
      </c>
      <c r="J27" s="18"/>
      <c r="K27" s="18"/>
      <c r="L27" s="18"/>
    </row>
    <row r="28" spans="2:12" ht="17">
      <c r="B28" s="8" t="s">
        <v>52</v>
      </c>
      <c r="C28" s="9" t="s">
        <v>53</v>
      </c>
      <c r="D28">
        <v>0</v>
      </c>
      <c r="E28" s="10">
        <f t="shared" si="0"/>
        <v>0</v>
      </c>
      <c r="J28" s="18"/>
      <c r="K28" s="18"/>
      <c r="L28" s="18"/>
    </row>
    <row r="29" spans="2:12" ht="17">
      <c r="B29" s="8" t="s">
        <v>54</v>
      </c>
      <c r="C29" s="9" t="s">
        <v>55</v>
      </c>
      <c r="D29">
        <v>0</v>
      </c>
      <c r="E29" s="10">
        <f t="shared" si="0"/>
        <v>0</v>
      </c>
      <c r="J29" s="18"/>
      <c r="K29" s="18"/>
      <c r="L29" s="18"/>
    </row>
    <row r="30" spans="2:12" ht="17">
      <c r="B30" s="8" t="s">
        <v>56</v>
      </c>
      <c r="C30" s="9" t="s">
        <v>57</v>
      </c>
      <c r="D30">
        <v>0</v>
      </c>
      <c r="E30" s="10">
        <f t="shared" si="0"/>
        <v>0</v>
      </c>
      <c r="I30" s="18"/>
      <c r="J30" s="18"/>
      <c r="K30" s="18"/>
      <c r="L30" s="18"/>
    </row>
    <row r="31" spans="2:12" ht="17">
      <c r="B31" s="8" t="s">
        <v>58</v>
      </c>
      <c r="C31" s="9" t="s">
        <v>59</v>
      </c>
      <c r="D31">
        <v>0</v>
      </c>
      <c r="E31" s="10">
        <f t="shared" si="0"/>
        <v>0</v>
      </c>
      <c r="I31" s="18"/>
      <c r="J31" s="18"/>
      <c r="K31" s="18"/>
      <c r="L31" s="18"/>
    </row>
    <row r="32" spans="2:12" ht="17">
      <c r="B32" s="8" t="s">
        <v>60</v>
      </c>
      <c r="C32" s="9" t="s">
        <v>61</v>
      </c>
      <c r="D32">
        <v>666</v>
      </c>
      <c r="E32" s="10">
        <f t="shared" si="0"/>
        <v>7.9276276633734079E-3</v>
      </c>
      <c r="J32" s="18"/>
      <c r="K32" s="18"/>
      <c r="L32" s="18"/>
    </row>
    <row r="33" spans="2:12" ht="17">
      <c r="B33" s="8" t="s">
        <v>62</v>
      </c>
      <c r="C33" s="9" t="s">
        <v>63</v>
      </c>
      <c r="D33">
        <v>0</v>
      </c>
      <c r="E33" s="10">
        <f t="shared" si="0"/>
        <v>0</v>
      </c>
      <c r="J33" s="18"/>
      <c r="K33" s="18"/>
      <c r="L33" s="18"/>
    </row>
    <row r="34" spans="2:12" ht="17">
      <c r="B34" s="8" t="s">
        <v>64</v>
      </c>
      <c r="C34" s="9" t="s">
        <v>65</v>
      </c>
      <c r="D34">
        <v>560</v>
      </c>
      <c r="E34" s="10">
        <f t="shared" si="0"/>
        <v>6.6658731103440066E-3</v>
      </c>
      <c r="J34" s="18"/>
      <c r="K34" s="18"/>
      <c r="L34" s="18"/>
    </row>
    <row r="35" spans="2:12" ht="17">
      <c r="B35" s="8" t="s">
        <v>66</v>
      </c>
      <c r="C35" s="9" t="s">
        <v>67</v>
      </c>
      <c r="D35">
        <v>1341</v>
      </c>
      <c r="E35" s="10">
        <f t="shared" si="0"/>
        <v>1.5962385430305915E-2</v>
      </c>
      <c r="I35" s="18"/>
      <c r="J35" s="18"/>
      <c r="K35" s="18"/>
      <c r="L35" s="18"/>
    </row>
    <row r="36" spans="2:12" ht="17">
      <c r="B36" s="8" t="s">
        <v>68</v>
      </c>
      <c r="C36" s="9" t="s">
        <v>69</v>
      </c>
      <c r="D36">
        <v>0</v>
      </c>
      <c r="E36" s="10">
        <f t="shared" si="0"/>
        <v>0</v>
      </c>
      <c r="I36" s="18"/>
      <c r="J36" s="18"/>
      <c r="K36" s="18"/>
      <c r="L36" s="18"/>
    </row>
    <row r="37" spans="2:12" ht="17">
      <c r="B37" s="8" t="s">
        <v>70</v>
      </c>
      <c r="C37" s="9" t="s">
        <v>71</v>
      </c>
      <c r="D37">
        <v>10388</v>
      </c>
      <c r="E37" s="10">
        <f t="shared" si="0"/>
        <v>0.12365194619688133</v>
      </c>
      <c r="J37" s="18"/>
      <c r="K37" s="18"/>
      <c r="L37" s="18"/>
    </row>
    <row r="38" spans="2:12" ht="17">
      <c r="B38" s="8" t="s">
        <v>72</v>
      </c>
      <c r="C38" s="9" t="s">
        <v>73</v>
      </c>
      <c r="D38">
        <v>425</v>
      </c>
      <c r="E38" s="10">
        <f t="shared" si="0"/>
        <v>5.0589215569575054E-3</v>
      </c>
      <c r="J38" s="18"/>
      <c r="K38" s="18"/>
      <c r="L38" s="18"/>
    </row>
    <row r="39" spans="2:12" ht="17">
      <c r="B39" s="8" t="s">
        <v>74</v>
      </c>
      <c r="C39" s="9" t="s">
        <v>75</v>
      </c>
      <c r="D39">
        <v>694</v>
      </c>
      <c r="E39" s="10">
        <f t="shared" si="0"/>
        <v>8.2609213188906076E-3</v>
      </c>
      <c r="I39" s="18"/>
      <c r="J39" s="18"/>
      <c r="K39" s="18"/>
      <c r="L39" s="18"/>
    </row>
    <row r="40" spans="2:12" ht="17">
      <c r="B40" s="8" t="s">
        <v>76</v>
      </c>
      <c r="C40" s="9" t="s">
        <v>77</v>
      </c>
      <c r="D40">
        <v>10884</v>
      </c>
      <c r="E40" s="10">
        <f t="shared" si="0"/>
        <v>0.12955600523747174</v>
      </c>
      <c r="I40" s="18"/>
      <c r="J40" s="18"/>
      <c r="K40" s="18"/>
      <c r="L40" s="18"/>
    </row>
    <row r="41" spans="2:12" ht="17">
      <c r="B41" s="8" t="s">
        <v>78</v>
      </c>
      <c r="C41" s="9" t="s">
        <v>79</v>
      </c>
      <c r="D41">
        <v>0</v>
      </c>
      <c r="E41" s="10">
        <f t="shared" si="0"/>
        <v>0</v>
      </c>
      <c r="I41" s="18"/>
      <c r="J41" s="18"/>
      <c r="K41" s="18"/>
      <c r="L41" s="18"/>
    </row>
    <row r="42" spans="2:12" ht="17">
      <c r="B42" s="8" t="s">
        <v>80</v>
      </c>
      <c r="C42" s="9" t="s">
        <v>81</v>
      </c>
      <c r="D42">
        <v>2705</v>
      </c>
      <c r="E42" s="10">
        <f t="shared" si="0"/>
        <v>3.219854779192953E-2</v>
      </c>
      <c r="I42" s="18"/>
      <c r="J42" s="18"/>
      <c r="K42" s="18"/>
      <c r="L42" s="18"/>
    </row>
    <row r="43" spans="2:12" ht="17">
      <c r="B43" s="8" t="s">
        <v>82</v>
      </c>
      <c r="C43" s="9" t="s">
        <v>83</v>
      </c>
      <c r="D43">
        <v>0</v>
      </c>
      <c r="E43" s="10">
        <f t="shared" si="0"/>
        <v>0</v>
      </c>
      <c r="J43" s="18"/>
      <c r="K43" s="18"/>
      <c r="L43" s="18"/>
    </row>
    <row r="44" spans="2:12" ht="17">
      <c r="B44" s="8" t="s">
        <v>84</v>
      </c>
      <c r="C44" s="9" t="s">
        <v>85</v>
      </c>
      <c r="D44">
        <v>1587</v>
      </c>
      <c r="E44" s="10">
        <f t="shared" si="0"/>
        <v>1.8890608260921319E-2</v>
      </c>
      <c r="I44" s="18"/>
      <c r="J44" s="18"/>
      <c r="K44" s="18"/>
      <c r="L44" s="18"/>
    </row>
    <row r="45" spans="2:12" ht="17">
      <c r="B45" s="8" t="s">
        <v>86</v>
      </c>
      <c r="C45" s="9" t="s">
        <v>87</v>
      </c>
      <c r="D45">
        <v>5742</v>
      </c>
      <c r="E45" s="10">
        <f t="shared" si="0"/>
        <v>6.8349006070705862E-2</v>
      </c>
      <c r="J45" s="18"/>
      <c r="K45" s="18"/>
      <c r="L45" s="18"/>
    </row>
    <row r="46" spans="2:12" ht="17">
      <c r="B46" s="8" t="s">
        <v>88</v>
      </c>
      <c r="C46" s="9" t="s">
        <v>89</v>
      </c>
      <c r="D46">
        <v>685</v>
      </c>
      <c r="E46" s="10">
        <f t="shared" si="0"/>
        <v>8.1537912153315083E-3</v>
      </c>
      <c r="I46" s="18"/>
      <c r="J46" s="18"/>
      <c r="K46" s="18"/>
      <c r="L46" s="18"/>
    </row>
    <row r="47" spans="2:12" ht="17">
      <c r="B47" s="8" t="s">
        <v>90</v>
      </c>
      <c r="C47" s="9" t="s">
        <v>91</v>
      </c>
      <c r="D47">
        <v>0</v>
      </c>
      <c r="E47" s="10">
        <f t="shared" si="0"/>
        <v>0</v>
      </c>
      <c r="J47" s="18"/>
      <c r="K47" s="18"/>
      <c r="L47" s="18"/>
    </row>
    <row r="48" spans="2:12" ht="17">
      <c r="B48" s="8" t="s">
        <v>92</v>
      </c>
      <c r="C48" s="9" t="s">
        <v>93</v>
      </c>
      <c r="D48">
        <v>1101</v>
      </c>
      <c r="E48" s="10">
        <f t="shared" si="0"/>
        <v>1.3105582668729913E-2</v>
      </c>
      <c r="J48" s="18"/>
      <c r="L48" s="18"/>
    </row>
    <row r="49" spans="2:5" ht="17">
      <c r="B49" s="8" t="s">
        <v>94</v>
      </c>
      <c r="C49" s="9" t="s">
        <v>95</v>
      </c>
      <c r="D49">
        <v>205</v>
      </c>
      <c r="E49" s="10">
        <f t="shared" si="0"/>
        <v>2.4401856921795026E-3</v>
      </c>
    </row>
    <row r="50" spans="2:5" ht="17">
      <c r="B50" s="8" t="s">
        <v>96</v>
      </c>
      <c r="C50" s="9" t="s">
        <v>97</v>
      </c>
      <c r="D50">
        <v>1458</v>
      </c>
      <c r="E50" s="10">
        <f t="shared" si="0"/>
        <v>1.7355076776574219E-2</v>
      </c>
    </row>
    <row r="51" spans="2:5" ht="17">
      <c r="B51" s="8" t="s">
        <v>98</v>
      </c>
      <c r="C51" s="9" t="s">
        <v>99</v>
      </c>
      <c r="D51">
        <v>234</v>
      </c>
      <c r="E51" s="10">
        <f t="shared" si="0"/>
        <v>2.7853826925366026E-3</v>
      </c>
    </row>
    <row r="52" spans="2:5" ht="17">
      <c r="B52" s="8" t="s">
        <v>100</v>
      </c>
      <c r="C52" s="9" t="s">
        <v>101</v>
      </c>
      <c r="D52">
        <v>0</v>
      </c>
      <c r="E52" s="10">
        <f t="shared" si="0"/>
        <v>0</v>
      </c>
    </row>
    <row r="53" spans="2:5" ht="17">
      <c r="B53" s="11" t="s">
        <v>102</v>
      </c>
      <c r="C53" s="12" t="s">
        <v>103</v>
      </c>
      <c r="D53" s="13">
        <v>84010</v>
      </c>
      <c r="E53" s="14">
        <f t="shared" si="0"/>
        <v>1</v>
      </c>
    </row>
  </sheetData>
  <mergeCells count="1">
    <mergeCell ref="G7:M12"/>
  </mergeCells>
  <hyperlinks>
    <hyperlink ref="H5" r:id="rId1" location="tab=Tables" display="U.S. Bureau of Labor Statistics Quarterly Census of Employment and Wages" xr:uid="{E5EC013B-CBB8-AC4E-895D-94B062BA6F0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0BDE-1953-AA4E-B4B5-A606C5D84B69}">
  <dimension ref="A1:Z63"/>
  <sheetViews>
    <sheetView topLeftCell="D1" workbookViewId="0">
      <selection activeCell="G4" sqref="G4: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160</v>
      </c>
    </row>
    <row r="4" spans="1:26" ht="17">
      <c r="B4" s="4" t="s">
        <v>2</v>
      </c>
      <c r="C4" s="5" t="s">
        <v>3</v>
      </c>
      <c r="D4" s="6" t="s">
        <v>104</v>
      </c>
      <c r="E4" s="7" t="s">
        <v>5</v>
      </c>
      <c r="G4" s="15" t="s">
        <v>106</v>
      </c>
      <c r="H4" t="s">
        <v>4</v>
      </c>
    </row>
    <row r="5" spans="1:26" ht="17">
      <c r="B5" s="8" t="s">
        <v>6</v>
      </c>
      <c r="C5" s="9" t="s">
        <v>7</v>
      </c>
      <c r="D5">
        <v>18311</v>
      </c>
      <c r="E5" s="10">
        <f>D5/D$53</f>
        <v>5.0518956679118682E-2</v>
      </c>
      <c r="G5" s="15" t="s">
        <v>105</v>
      </c>
      <c r="H5" s="17" t="s">
        <v>111</v>
      </c>
    </row>
    <row r="6" spans="1:26" ht="17" customHeight="1">
      <c r="B6" s="8" t="s">
        <v>8</v>
      </c>
      <c r="C6" s="9" t="s">
        <v>9</v>
      </c>
      <c r="D6">
        <v>4365</v>
      </c>
      <c r="E6" s="10">
        <f t="shared" ref="E6:E53" si="0">D6/D$53</f>
        <v>1.2042774611127358E-2</v>
      </c>
      <c r="G6" s="15"/>
    </row>
    <row r="7" spans="1:26" ht="17" customHeight="1">
      <c r="B7" s="8" t="s">
        <v>10</v>
      </c>
      <c r="C7" s="9" t="s">
        <v>11</v>
      </c>
      <c r="D7">
        <v>8860</v>
      </c>
      <c r="E7" s="10">
        <f t="shared" si="0"/>
        <v>2.4444211467259655E-2</v>
      </c>
      <c r="G7" s="38" t="s">
        <v>161</v>
      </c>
      <c r="H7" s="38"/>
      <c r="I7" s="38"/>
      <c r="J7" s="38"/>
      <c r="K7" s="38"/>
      <c r="L7" s="38"/>
      <c r="M7" s="38"/>
    </row>
    <row r="8" spans="1:26" ht="17" customHeight="1">
      <c r="B8" s="8" t="s">
        <v>12</v>
      </c>
      <c r="C8" s="9" t="s">
        <v>13</v>
      </c>
      <c r="D8">
        <v>13038</v>
      </c>
      <c r="E8" s="10">
        <f t="shared" si="0"/>
        <v>3.5971064233649139E-2</v>
      </c>
      <c r="G8" s="38"/>
      <c r="H8" s="38"/>
      <c r="I8" s="38"/>
      <c r="J8" s="38"/>
      <c r="K8" s="38"/>
      <c r="L8" s="38"/>
      <c r="M8" s="38"/>
    </row>
    <row r="9" spans="1:26" ht="17" customHeight="1">
      <c r="B9" s="8" t="s">
        <v>14</v>
      </c>
      <c r="C9" s="9" t="s">
        <v>15</v>
      </c>
      <c r="D9">
        <v>2129</v>
      </c>
      <c r="E9" s="10">
        <f t="shared" si="0"/>
        <v>5.8737839970424161E-3</v>
      </c>
      <c r="G9" s="38"/>
      <c r="H9" s="38"/>
      <c r="I9" s="38"/>
      <c r="J9" s="38"/>
      <c r="K9" s="38"/>
      <c r="L9" s="38"/>
      <c r="M9" s="38"/>
    </row>
    <row r="10" spans="1:26" ht="17" customHeight="1">
      <c r="B10" s="8" t="s">
        <v>16</v>
      </c>
      <c r="C10" s="9" t="s">
        <v>17</v>
      </c>
      <c r="D10">
        <v>3416</v>
      </c>
      <c r="E10" s="10">
        <f t="shared" si="0"/>
        <v>9.4245402225913068E-3</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6154</v>
      </c>
      <c r="E12" s="10">
        <f t="shared" si="0"/>
        <v>1.6978518890464551E-2</v>
      </c>
      <c r="G12" s="38"/>
      <c r="H12" s="38"/>
      <c r="I12" s="38"/>
      <c r="J12" s="38"/>
      <c r="K12" s="38"/>
      <c r="L12" s="38"/>
      <c r="M12" s="38"/>
    </row>
    <row r="13" spans="1:26" ht="17" customHeight="1">
      <c r="B13" s="8" t="s">
        <v>22</v>
      </c>
      <c r="C13" s="9" t="s">
        <v>23</v>
      </c>
      <c r="D13">
        <v>8967</v>
      </c>
      <c r="E13" s="10">
        <f t="shared" si="0"/>
        <v>2.4739418084302182E-2</v>
      </c>
      <c r="H13" s="16"/>
      <c r="I13" s="16"/>
      <c r="J13" s="16"/>
      <c r="K13" s="16"/>
      <c r="L13" s="16"/>
    </row>
    <row r="14" spans="1:26" ht="17">
      <c r="B14" s="8" t="s">
        <v>24</v>
      </c>
      <c r="C14" s="9" t="s">
        <v>25</v>
      </c>
      <c r="D14">
        <v>514</v>
      </c>
      <c r="E14" s="10">
        <f t="shared" si="0"/>
        <v>1.418095337942603E-3</v>
      </c>
      <c r="H14" s="16"/>
      <c r="I14" s="16"/>
      <c r="J14" s="16"/>
      <c r="K14" s="16"/>
      <c r="L14" s="16"/>
    </row>
    <row r="15" spans="1:26" ht="17">
      <c r="B15" s="8" t="s">
        <v>26</v>
      </c>
      <c r="C15" s="9" t="s">
        <v>27</v>
      </c>
      <c r="D15">
        <v>16092</v>
      </c>
      <c r="E15" s="10">
        <f t="shared" si="0"/>
        <v>4.4396868050919004E-2</v>
      </c>
      <c r="H15" s="16"/>
      <c r="I15" s="24"/>
      <c r="J15" s="24"/>
      <c r="K15" s="25"/>
      <c r="L15" s="25"/>
      <c r="M15" s="19"/>
    </row>
    <row r="16" spans="1:26" ht="17">
      <c r="B16" s="8" t="s">
        <v>28</v>
      </c>
      <c r="C16" s="9" t="s">
        <v>29</v>
      </c>
      <c r="D16">
        <v>40546</v>
      </c>
      <c r="E16" s="10">
        <f t="shared" si="0"/>
        <v>0.11186399527669413</v>
      </c>
      <c r="H16" s="24"/>
      <c r="I16" s="24"/>
      <c r="J16" s="25"/>
      <c r="K16" s="25"/>
      <c r="L16" s="25"/>
      <c r="M16" s="18"/>
    </row>
    <row r="17" spans="2:17" ht="17">
      <c r="B17" s="8" t="s">
        <v>30</v>
      </c>
      <c r="C17" s="9" t="s">
        <v>31</v>
      </c>
      <c r="D17">
        <v>6727</v>
      </c>
      <c r="E17" s="10">
        <f t="shared" si="0"/>
        <v>1.8559391708832473E-2</v>
      </c>
      <c r="I17" s="18"/>
      <c r="J17" s="18"/>
      <c r="K17" s="18"/>
      <c r="L17" s="18"/>
      <c r="M17" s="18"/>
    </row>
    <row r="18" spans="2:17" ht="17">
      <c r="B18" s="8" t="s">
        <v>32</v>
      </c>
      <c r="C18" s="9" t="s">
        <v>33</v>
      </c>
      <c r="D18">
        <v>1665</v>
      </c>
      <c r="E18" s="10">
        <f t="shared" si="0"/>
        <v>4.5936356764094046E-3</v>
      </c>
      <c r="J18" s="18"/>
      <c r="K18" s="18"/>
      <c r="L18" s="18"/>
      <c r="M18" s="18"/>
    </row>
    <row r="19" spans="2:17" ht="17">
      <c r="B19" s="8" t="s">
        <v>34</v>
      </c>
      <c r="C19" s="9" t="s">
        <v>35</v>
      </c>
      <c r="D19">
        <v>13639</v>
      </c>
      <c r="E19" s="10">
        <f t="shared" si="0"/>
        <v>3.7629187381710436E-2</v>
      </c>
      <c r="I19" s="18"/>
      <c r="J19" s="18"/>
      <c r="K19" s="18"/>
      <c r="L19" s="18"/>
      <c r="M19" s="18"/>
    </row>
    <row r="20" spans="2:17" ht="17">
      <c r="B20" s="8" t="s">
        <v>36</v>
      </c>
      <c r="C20" s="9" t="s">
        <v>37</v>
      </c>
      <c r="D20">
        <v>3237</v>
      </c>
      <c r="E20" s="10">
        <f t="shared" si="0"/>
        <v>8.9306899006229689E-3</v>
      </c>
      <c r="I20" s="18"/>
      <c r="J20" s="18"/>
      <c r="K20" s="18"/>
      <c r="L20" s="18"/>
      <c r="M20" s="18"/>
    </row>
    <row r="21" spans="2:17" ht="17">
      <c r="B21" s="8" t="s">
        <v>38</v>
      </c>
      <c r="C21" s="9" t="s">
        <v>39</v>
      </c>
      <c r="D21">
        <v>262</v>
      </c>
      <c r="E21" s="10">
        <f t="shared" si="0"/>
        <v>7.2284237070226068E-4</v>
      </c>
      <c r="J21" s="18"/>
      <c r="K21" s="18"/>
      <c r="L21" s="18"/>
      <c r="M21" s="18"/>
    </row>
    <row r="22" spans="2:17" ht="17">
      <c r="B22" s="8" t="s">
        <v>40</v>
      </c>
      <c r="C22" s="9" t="s">
        <v>41</v>
      </c>
      <c r="D22">
        <v>714</v>
      </c>
      <c r="E22" s="10">
        <f t="shared" si="0"/>
        <v>1.9698834071809699E-3</v>
      </c>
      <c r="J22" s="18"/>
      <c r="K22" s="18"/>
      <c r="L22" s="18"/>
      <c r="M22" s="18"/>
    </row>
    <row r="23" spans="2:17" ht="17">
      <c r="B23" s="8" t="s">
        <v>42</v>
      </c>
      <c r="C23" s="9" t="s">
        <v>43</v>
      </c>
      <c r="D23">
        <v>2927</v>
      </c>
      <c r="E23" s="10">
        <f t="shared" si="0"/>
        <v>8.0754183933035E-3</v>
      </c>
      <c r="I23" s="18"/>
      <c r="J23" s="18"/>
      <c r="K23" s="18"/>
      <c r="L23" s="18"/>
      <c r="M23" s="18"/>
    </row>
    <row r="24" spans="2:17" ht="17">
      <c r="B24" s="8" t="s">
        <v>44</v>
      </c>
      <c r="C24" s="9" t="s">
        <v>45</v>
      </c>
      <c r="D24">
        <v>18282</v>
      </c>
      <c r="E24" s="10">
        <f t="shared" si="0"/>
        <v>5.0438947409079123E-2</v>
      </c>
      <c r="I24" s="18"/>
      <c r="J24" s="18"/>
      <c r="K24" s="18"/>
      <c r="L24" s="18"/>
      <c r="M24" s="18"/>
    </row>
    <row r="25" spans="2:17" ht="17">
      <c r="B25" s="8" t="s">
        <v>46</v>
      </c>
      <c r="C25" s="9" t="s">
        <v>47</v>
      </c>
      <c r="D25">
        <v>5108</v>
      </c>
      <c r="E25" s="10">
        <f t="shared" si="0"/>
        <v>1.4092667288347892E-2</v>
      </c>
      <c r="I25" s="18"/>
      <c r="J25" s="18"/>
      <c r="K25" s="18"/>
      <c r="L25" s="18"/>
      <c r="M25" s="18"/>
    </row>
    <row r="26" spans="2:17" ht="17">
      <c r="B26" s="8" t="s">
        <v>48</v>
      </c>
      <c r="C26" s="9" t="s">
        <v>49</v>
      </c>
      <c r="D26">
        <v>3864</v>
      </c>
      <c r="E26" s="10">
        <f t="shared" si="0"/>
        <v>1.0660545497685249E-2</v>
      </c>
      <c r="I26" s="18"/>
      <c r="J26" s="18"/>
      <c r="K26" s="18"/>
      <c r="L26" s="18"/>
      <c r="M26" s="18"/>
    </row>
    <row r="27" spans="2:17" ht="17">
      <c r="B27" s="8" t="s">
        <v>50</v>
      </c>
      <c r="C27" s="9" t="s">
        <v>51</v>
      </c>
      <c r="D27">
        <v>6269</v>
      </c>
      <c r="E27" s="10">
        <f t="shared" si="0"/>
        <v>1.7295797030276613E-2</v>
      </c>
      <c r="J27" s="18"/>
      <c r="K27" s="18"/>
      <c r="L27" s="18"/>
      <c r="M27" s="18"/>
    </row>
    <row r="28" spans="2:17" ht="17">
      <c r="B28" s="8" t="s">
        <v>52</v>
      </c>
      <c r="C28" s="9" t="s">
        <v>53</v>
      </c>
      <c r="D28">
        <v>234</v>
      </c>
      <c r="E28" s="10">
        <f t="shared" si="0"/>
        <v>6.4559204100888927E-4</v>
      </c>
      <c r="J28" s="28"/>
      <c r="K28" s="29"/>
      <c r="L28" s="29"/>
      <c r="M28" s="30"/>
      <c r="N28" s="30"/>
      <c r="O28" s="30"/>
      <c r="P28" s="28"/>
      <c r="Q28" s="28"/>
    </row>
    <row r="29" spans="2:17" ht="17">
      <c r="B29" s="8" t="s">
        <v>54</v>
      </c>
      <c r="C29" s="9" t="s">
        <v>55</v>
      </c>
      <c r="D29">
        <v>1007</v>
      </c>
      <c r="E29" s="10">
        <f t="shared" si="0"/>
        <v>2.7782529286151775E-3</v>
      </c>
      <c r="J29" s="28"/>
      <c r="K29" s="29"/>
      <c r="L29" s="29"/>
      <c r="M29" s="29"/>
      <c r="N29" s="29"/>
      <c r="O29" s="29"/>
      <c r="P29" s="28"/>
      <c r="Q29" s="28"/>
    </row>
    <row r="30" spans="2:17" ht="17">
      <c r="B30" s="8" t="s">
        <v>56</v>
      </c>
      <c r="C30" s="9" t="s">
        <v>57</v>
      </c>
      <c r="D30">
        <v>813</v>
      </c>
      <c r="E30" s="10">
        <f t="shared" si="0"/>
        <v>2.2430185014539615E-3</v>
      </c>
      <c r="I30" s="18"/>
      <c r="J30" s="28"/>
      <c r="K30" s="29"/>
      <c r="L30" s="29"/>
      <c r="M30" s="29"/>
      <c r="N30" s="29"/>
      <c r="O30" s="29"/>
      <c r="P30" s="28"/>
      <c r="Q30" s="28"/>
    </row>
    <row r="31" spans="2:17" ht="17">
      <c r="B31" s="8" t="s">
        <v>58</v>
      </c>
      <c r="C31" s="9" t="s">
        <v>59</v>
      </c>
      <c r="D31">
        <v>2290</v>
      </c>
      <c r="E31" s="10">
        <f t="shared" si="0"/>
        <v>6.3179733927793014E-3</v>
      </c>
      <c r="I31" s="18"/>
      <c r="J31" s="28"/>
      <c r="K31" s="29"/>
      <c r="L31" s="29"/>
      <c r="M31" s="29"/>
      <c r="N31" s="29"/>
      <c r="O31" s="29"/>
      <c r="P31" s="28"/>
      <c r="Q31" s="28"/>
    </row>
    <row r="32" spans="2:17" ht="17">
      <c r="B32" s="8" t="s">
        <v>60</v>
      </c>
      <c r="C32" s="9" t="s">
        <v>61</v>
      </c>
      <c r="D32">
        <v>3422</v>
      </c>
      <c r="E32" s="10">
        <f t="shared" si="0"/>
        <v>9.4410938646684577E-3</v>
      </c>
      <c r="J32" s="28"/>
      <c r="K32" s="29"/>
      <c r="L32" s="29"/>
      <c r="M32" s="29"/>
      <c r="N32" s="29"/>
      <c r="O32" s="29"/>
      <c r="P32" s="28"/>
      <c r="Q32" s="28"/>
    </row>
    <row r="33" spans="2:17" ht="17">
      <c r="B33" s="8" t="s">
        <v>62</v>
      </c>
      <c r="C33" s="9" t="s">
        <v>63</v>
      </c>
      <c r="D33">
        <v>362</v>
      </c>
      <c r="E33" s="10">
        <f t="shared" si="0"/>
        <v>9.9873640532144423E-4</v>
      </c>
      <c r="J33" s="28"/>
      <c r="K33" s="29"/>
      <c r="L33" s="29"/>
      <c r="M33" s="29"/>
      <c r="N33" s="29"/>
      <c r="O33" s="29"/>
      <c r="P33" s="28"/>
      <c r="Q33" s="28"/>
    </row>
    <row r="34" spans="2:17" ht="17">
      <c r="B34" s="8" t="s">
        <v>64</v>
      </c>
      <c r="C34" s="9" t="s">
        <v>65</v>
      </c>
      <c r="D34">
        <v>9332</v>
      </c>
      <c r="E34" s="10">
        <f t="shared" si="0"/>
        <v>2.5746431310662201E-2</v>
      </c>
      <c r="J34" s="28"/>
      <c r="K34" s="29"/>
      <c r="L34" s="29"/>
      <c r="M34" s="29"/>
      <c r="N34" s="29"/>
      <c r="O34" s="29"/>
      <c r="P34" s="28"/>
      <c r="Q34" s="28"/>
    </row>
    <row r="35" spans="2:17" ht="17">
      <c r="B35" s="8" t="s">
        <v>66</v>
      </c>
      <c r="C35" s="9" t="s">
        <v>67</v>
      </c>
      <c r="D35">
        <v>8300</v>
      </c>
      <c r="E35" s="10">
        <f t="shared" si="0"/>
        <v>2.2899204873392226E-2</v>
      </c>
      <c r="I35" s="18"/>
      <c r="J35" s="28"/>
      <c r="K35" s="29"/>
      <c r="L35" s="29"/>
      <c r="M35" s="29"/>
      <c r="N35" s="29"/>
      <c r="O35" s="29"/>
      <c r="P35" s="28"/>
      <c r="Q35" s="28"/>
    </row>
    <row r="36" spans="2:17" ht="17">
      <c r="B36" s="8" t="s">
        <v>68</v>
      </c>
      <c r="C36" s="9" t="s">
        <v>69</v>
      </c>
      <c r="D36">
        <v>0</v>
      </c>
      <c r="E36" s="10">
        <f t="shared" si="0"/>
        <v>0</v>
      </c>
      <c r="I36" s="18"/>
      <c r="J36" s="28"/>
      <c r="K36" s="29"/>
      <c r="L36" s="29"/>
      <c r="M36" s="29"/>
      <c r="N36" s="29"/>
      <c r="O36" s="29"/>
      <c r="P36" s="28"/>
      <c r="Q36" s="28"/>
    </row>
    <row r="37" spans="2:17" ht="17">
      <c r="B37" s="8" t="s">
        <v>70</v>
      </c>
      <c r="C37" s="9" t="s">
        <v>71</v>
      </c>
      <c r="D37">
        <v>35077</v>
      </c>
      <c r="E37" s="10">
        <f t="shared" si="0"/>
        <v>9.6775350523370982E-2</v>
      </c>
      <c r="J37" s="28"/>
      <c r="K37" s="29"/>
      <c r="L37" s="29"/>
      <c r="M37" s="29"/>
      <c r="N37" s="29"/>
      <c r="O37" s="29"/>
      <c r="P37" s="28"/>
      <c r="Q37" s="28"/>
    </row>
    <row r="38" spans="2:17" ht="17">
      <c r="B38" s="8" t="s">
        <v>72</v>
      </c>
      <c r="C38" s="9" t="s">
        <v>73</v>
      </c>
      <c r="D38">
        <v>3259</v>
      </c>
      <c r="E38" s="10">
        <f t="shared" si="0"/>
        <v>8.9913865882391888E-3</v>
      </c>
      <c r="J38" s="28"/>
      <c r="K38" s="29"/>
      <c r="L38" s="29"/>
      <c r="M38" s="29"/>
      <c r="N38" s="29"/>
      <c r="O38" s="29"/>
      <c r="P38" s="28"/>
      <c r="Q38" s="28"/>
    </row>
    <row r="39" spans="2:17" ht="17">
      <c r="B39" s="8" t="s">
        <v>74</v>
      </c>
      <c r="C39" s="9" t="s">
        <v>75</v>
      </c>
      <c r="D39">
        <v>7461</v>
      </c>
      <c r="E39" s="10">
        <f t="shared" si="0"/>
        <v>2.0584453922937278E-2</v>
      </c>
      <c r="I39" s="18"/>
      <c r="J39" s="28"/>
      <c r="K39" s="29"/>
      <c r="L39" s="29"/>
      <c r="M39" s="29"/>
      <c r="N39" s="29"/>
      <c r="O39" s="29"/>
      <c r="P39" s="28"/>
      <c r="Q39" s="28"/>
    </row>
    <row r="40" spans="2:17" ht="17">
      <c r="B40" s="8" t="s">
        <v>76</v>
      </c>
      <c r="C40" s="9" t="s">
        <v>77</v>
      </c>
      <c r="D40">
        <v>33413</v>
      </c>
      <c r="E40" s="10">
        <f t="shared" si="0"/>
        <v>9.2184473787307777E-2</v>
      </c>
      <c r="I40" s="18"/>
      <c r="J40" s="28"/>
      <c r="K40" s="29"/>
      <c r="L40" s="29"/>
      <c r="M40" s="29"/>
      <c r="N40" s="29"/>
      <c r="O40" s="29"/>
      <c r="P40" s="28"/>
      <c r="Q40" s="28"/>
    </row>
    <row r="41" spans="2:17" ht="17">
      <c r="B41" s="8" t="s">
        <v>78</v>
      </c>
      <c r="C41" s="9" t="s">
        <v>79</v>
      </c>
      <c r="D41">
        <v>1161</v>
      </c>
      <c r="E41" s="10">
        <f t="shared" si="0"/>
        <v>3.2031297419287202E-3</v>
      </c>
      <c r="I41" s="18"/>
      <c r="J41" s="28"/>
      <c r="K41" s="29"/>
      <c r="L41" s="29"/>
      <c r="M41" s="29"/>
      <c r="N41" s="29"/>
      <c r="O41" s="29"/>
      <c r="P41" s="28"/>
      <c r="Q41" s="28"/>
    </row>
    <row r="42" spans="2:17" ht="17">
      <c r="B42" s="8" t="s">
        <v>80</v>
      </c>
      <c r="C42" s="9" t="s">
        <v>81</v>
      </c>
      <c r="D42">
        <v>6800</v>
      </c>
      <c r="E42" s="10">
        <f t="shared" si="0"/>
        <v>1.8760794354104476E-2</v>
      </c>
      <c r="I42" s="18"/>
      <c r="J42" s="28"/>
      <c r="K42" s="29"/>
      <c r="L42" s="29"/>
      <c r="M42" s="29"/>
      <c r="N42" s="29"/>
      <c r="O42" s="29"/>
      <c r="P42" s="28"/>
      <c r="Q42" s="28"/>
    </row>
    <row r="43" spans="2:17" ht="17">
      <c r="B43" s="8" t="s">
        <v>82</v>
      </c>
      <c r="C43" s="9" t="s">
        <v>83</v>
      </c>
      <c r="D43">
        <v>611</v>
      </c>
      <c r="E43" s="10">
        <f t="shared" si="0"/>
        <v>1.685712551523211E-3</v>
      </c>
      <c r="J43" s="28"/>
      <c r="K43" s="29"/>
      <c r="L43" s="29"/>
      <c r="M43" s="29"/>
      <c r="N43" s="29"/>
      <c r="O43" s="29"/>
      <c r="P43" s="28"/>
      <c r="Q43" s="28"/>
    </row>
    <row r="44" spans="2:17" ht="17">
      <c r="B44" s="8" t="s">
        <v>84</v>
      </c>
      <c r="C44" s="9" t="s">
        <v>85</v>
      </c>
      <c r="D44">
        <v>11073</v>
      </c>
      <c r="E44" s="10">
        <f t="shared" si="0"/>
        <v>3.0549746453382185E-2</v>
      </c>
      <c r="I44" s="18"/>
      <c r="J44" s="28"/>
      <c r="K44" s="29"/>
      <c r="L44" s="29"/>
      <c r="M44" s="29"/>
      <c r="N44" s="29"/>
      <c r="O44" s="29"/>
      <c r="P44" s="28"/>
      <c r="Q44" s="28"/>
    </row>
    <row r="45" spans="2:17" ht="17">
      <c r="B45" s="8" t="s">
        <v>86</v>
      </c>
      <c r="C45" s="9" t="s">
        <v>87</v>
      </c>
      <c r="D45">
        <v>22561</v>
      </c>
      <c r="E45" s="10">
        <f t="shared" si="0"/>
        <v>6.2244453150433983E-2</v>
      </c>
      <c r="J45" s="28"/>
      <c r="K45" s="29"/>
      <c r="L45" s="29"/>
      <c r="M45" s="29"/>
      <c r="N45" s="29"/>
      <c r="O45" s="29"/>
      <c r="P45" s="28"/>
      <c r="Q45" s="28"/>
    </row>
    <row r="46" spans="2:17" ht="17">
      <c r="B46" s="8" t="s">
        <v>88</v>
      </c>
      <c r="C46" s="9" t="s">
        <v>89</v>
      </c>
      <c r="D46">
        <v>3706</v>
      </c>
      <c r="E46" s="10">
        <f t="shared" si="0"/>
        <v>1.0224632922986939E-2</v>
      </c>
      <c r="I46" s="18"/>
      <c r="J46" s="28"/>
      <c r="K46" s="29"/>
      <c r="L46" s="29"/>
      <c r="M46" s="29"/>
      <c r="N46" s="29"/>
      <c r="O46" s="29"/>
      <c r="P46" s="28"/>
      <c r="Q46" s="28"/>
    </row>
    <row r="47" spans="2:17" ht="17">
      <c r="B47" s="8" t="s">
        <v>90</v>
      </c>
      <c r="C47" s="9" t="s">
        <v>91</v>
      </c>
      <c r="D47">
        <v>0</v>
      </c>
      <c r="E47" s="10">
        <f t="shared" si="0"/>
        <v>0</v>
      </c>
      <c r="J47" s="28"/>
      <c r="K47" s="29"/>
      <c r="L47" s="29"/>
      <c r="M47" s="29"/>
      <c r="N47" s="29"/>
      <c r="O47" s="29"/>
      <c r="P47" s="28"/>
      <c r="Q47" s="28"/>
    </row>
    <row r="48" spans="2:17" ht="17">
      <c r="B48" s="8" t="s">
        <v>92</v>
      </c>
      <c r="C48" s="9" t="s">
        <v>93</v>
      </c>
      <c r="D48">
        <v>4182</v>
      </c>
      <c r="E48" s="10">
        <f t="shared" si="0"/>
        <v>1.1537888527774253E-2</v>
      </c>
      <c r="J48" s="28"/>
      <c r="K48" s="29"/>
      <c r="L48" s="29"/>
      <c r="M48" s="29"/>
      <c r="N48" s="29"/>
      <c r="O48" s="29"/>
      <c r="P48" s="28"/>
      <c r="Q48" s="28"/>
    </row>
    <row r="49" spans="2:17" ht="17">
      <c r="B49" s="8" t="s">
        <v>94</v>
      </c>
      <c r="C49" s="9" t="s">
        <v>95</v>
      </c>
      <c r="D49">
        <v>4757</v>
      </c>
      <c r="E49" s="10">
        <f t="shared" si="0"/>
        <v>1.3124279226834557E-2</v>
      </c>
      <c r="J49" s="28"/>
      <c r="K49" s="29"/>
      <c r="L49" s="29"/>
      <c r="M49" s="29"/>
      <c r="N49" s="29"/>
      <c r="O49" s="29"/>
      <c r="P49" s="28"/>
      <c r="Q49" s="28"/>
    </row>
    <row r="50" spans="2:17" ht="17">
      <c r="B50" s="8" t="s">
        <v>96</v>
      </c>
      <c r="C50" s="9" t="s">
        <v>97</v>
      </c>
      <c r="D50">
        <v>3773</v>
      </c>
      <c r="E50" s="10">
        <f t="shared" si="0"/>
        <v>1.0409481926181793E-2</v>
      </c>
      <c r="J50" s="28"/>
      <c r="K50" s="29"/>
      <c r="L50" s="29"/>
      <c r="M50" s="29"/>
      <c r="N50" s="29"/>
      <c r="O50" s="29"/>
      <c r="P50" s="28"/>
      <c r="Q50" s="28"/>
    </row>
    <row r="51" spans="2:17" ht="17">
      <c r="B51" s="8" t="s">
        <v>98</v>
      </c>
      <c r="C51" s="9" t="s">
        <v>99</v>
      </c>
      <c r="D51">
        <v>12761</v>
      </c>
      <c r="E51" s="10">
        <f t="shared" si="0"/>
        <v>3.5206837757754003E-2</v>
      </c>
      <c r="J51" s="28"/>
      <c r="K51" s="29"/>
      <c r="L51" s="29"/>
      <c r="M51" s="29"/>
      <c r="N51" s="29"/>
      <c r="O51" s="29"/>
      <c r="P51" s="28"/>
      <c r="Q51" s="28"/>
    </row>
    <row r="52" spans="2:17" ht="17">
      <c r="B52" s="8" t="s">
        <v>100</v>
      </c>
      <c r="C52" s="9" t="s">
        <v>101</v>
      </c>
      <c r="D52">
        <v>157</v>
      </c>
      <c r="E52" s="10">
        <f t="shared" si="0"/>
        <v>4.3315363435211801E-4</v>
      </c>
      <c r="J52" s="28"/>
      <c r="K52" s="29"/>
      <c r="L52" s="29"/>
      <c r="M52" s="29"/>
      <c r="N52" s="29"/>
      <c r="O52" s="29"/>
      <c r="P52" s="28"/>
      <c r="Q52" s="28"/>
    </row>
    <row r="53" spans="2:17" ht="17">
      <c r="B53" s="11" t="s">
        <v>102</v>
      </c>
      <c r="C53" s="12" t="s">
        <v>103</v>
      </c>
      <c r="D53" s="13">
        <v>362458</v>
      </c>
      <c r="E53" s="14">
        <f t="shared" si="0"/>
        <v>1</v>
      </c>
      <c r="J53" s="28"/>
      <c r="K53" s="29"/>
      <c r="L53" s="29"/>
      <c r="M53" s="29"/>
      <c r="N53" s="29"/>
      <c r="O53" s="29"/>
      <c r="P53" s="28"/>
      <c r="Q53" s="28"/>
    </row>
    <row r="54" spans="2:17">
      <c r="J54" s="28"/>
      <c r="K54" s="29"/>
      <c r="L54" s="29"/>
      <c r="M54" s="29"/>
      <c r="N54" s="29"/>
      <c r="O54" s="29"/>
      <c r="P54" s="28"/>
      <c r="Q54" s="28"/>
    </row>
    <row r="55" spans="2:17">
      <c r="J55" s="28"/>
      <c r="K55" s="29"/>
      <c r="L55" s="29"/>
      <c r="M55" s="29"/>
      <c r="N55" s="29"/>
      <c r="O55" s="29"/>
      <c r="P55" s="28"/>
      <c r="Q55" s="28"/>
    </row>
    <row r="56" spans="2:17">
      <c r="J56" s="28"/>
      <c r="K56" s="29"/>
      <c r="L56" s="29"/>
      <c r="M56" s="29"/>
      <c r="N56" s="29"/>
      <c r="O56" s="29"/>
      <c r="P56" s="28"/>
      <c r="Q56" s="28"/>
    </row>
    <row r="57" spans="2:17">
      <c r="J57" s="28"/>
      <c r="K57" s="29"/>
      <c r="L57" s="29"/>
      <c r="M57" s="29"/>
      <c r="N57" s="29"/>
      <c r="O57" s="29"/>
      <c r="P57" s="28"/>
      <c r="Q57" s="28"/>
    </row>
    <row r="58" spans="2:17">
      <c r="J58" s="28"/>
      <c r="K58" s="29"/>
      <c r="L58" s="29"/>
      <c r="M58" s="29"/>
      <c r="N58" s="29"/>
      <c r="O58" s="29"/>
      <c r="P58" s="28"/>
      <c r="Q58" s="28"/>
    </row>
    <row r="59" spans="2:17">
      <c r="J59" s="28"/>
      <c r="K59" s="29"/>
      <c r="L59" s="29"/>
      <c r="M59" s="29"/>
      <c r="N59" s="29"/>
      <c r="O59" s="29"/>
      <c r="P59" s="28"/>
      <c r="Q59" s="28"/>
    </row>
    <row r="60" spans="2:17">
      <c r="J60" s="28"/>
      <c r="K60" s="29"/>
      <c r="L60" s="29"/>
      <c r="M60" s="29"/>
      <c r="N60" s="29"/>
      <c r="O60" s="29"/>
      <c r="P60" s="28"/>
      <c r="Q60" s="28"/>
    </row>
    <row r="61" spans="2:17">
      <c r="J61" s="28"/>
      <c r="K61" s="29"/>
      <c r="L61" s="29"/>
      <c r="M61" s="29"/>
      <c r="N61" s="29"/>
      <c r="O61" s="29"/>
      <c r="P61" s="28"/>
      <c r="Q61" s="28"/>
    </row>
    <row r="62" spans="2:17">
      <c r="J62" s="28"/>
      <c r="K62" s="29"/>
      <c r="L62" s="29"/>
      <c r="M62" s="29"/>
      <c r="N62" s="29"/>
      <c r="O62" s="29"/>
      <c r="P62" s="28"/>
      <c r="Q62" s="28"/>
    </row>
    <row r="63" spans="2:17">
      <c r="J63" s="28"/>
      <c r="K63" s="28"/>
      <c r="L63" s="29"/>
      <c r="M63" s="29"/>
      <c r="N63" s="29"/>
      <c r="O63" s="29"/>
      <c r="P63" s="28"/>
      <c r="Q63" s="28"/>
    </row>
  </sheetData>
  <mergeCells count="1">
    <mergeCell ref="G7:M12"/>
  </mergeCells>
  <hyperlinks>
    <hyperlink ref="H5" r:id="rId1" location="tab=Tables" display="U.S. Bureau of Labor Statistics Quarterly Census of Employment and Wages" xr:uid="{1B95D654-30AD-EF41-A505-74F01DE8882C}"/>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E9AF-D488-4D48-BB4D-E31B2759E51B}">
  <dimension ref="A1:Z53"/>
  <sheetViews>
    <sheetView topLeftCell="B1" workbookViewId="0">
      <selection activeCell="H39" sqref="H39"/>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178</v>
      </c>
    </row>
    <row r="4" spans="1:26" ht="17">
      <c r="B4" s="4" t="s">
        <v>2</v>
      </c>
      <c r="C4" s="5" t="s">
        <v>3</v>
      </c>
      <c r="D4" s="6" t="s">
        <v>104</v>
      </c>
      <c r="E4" s="7" t="s">
        <v>5</v>
      </c>
      <c r="G4" s="15" t="s">
        <v>106</v>
      </c>
      <c r="H4" t="s">
        <v>179</v>
      </c>
    </row>
    <row r="5" spans="1:26" ht="17">
      <c r="B5" s="8" t="s">
        <v>6</v>
      </c>
      <c r="C5" s="9" t="s">
        <v>7</v>
      </c>
      <c r="D5">
        <v>54100</v>
      </c>
      <c r="E5" s="10">
        <f>D5/D$53</f>
        <v>2.1123735894732733E-2</v>
      </c>
      <c r="G5" s="15" t="s">
        <v>105</v>
      </c>
      <c r="H5" s="17" t="s">
        <v>180</v>
      </c>
    </row>
    <row r="6" spans="1:26" ht="17" customHeight="1">
      <c r="B6" s="8" t="s">
        <v>8</v>
      </c>
      <c r="C6" s="9" t="s">
        <v>9</v>
      </c>
      <c r="D6">
        <v>53200</v>
      </c>
      <c r="E6" s="10">
        <f t="shared" ref="E6:E53" si="0">D6/D$53</f>
        <v>2.077232439186287E-2</v>
      </c>
      <c r="G6" s="15"/>
    </row>
    <row r="7" spans="1:26" ht="17" customHeight="1">
      <c r="B7" s="8" t="s">
        <v>10</v>
      </c>
      <c r="C7" s="9" t="s">
        <v>11</v>
      </c>
      <c r="D7">
        <v>40700</v>
      </c>
      <c r="E7" s="10">
        <f t="shared" si="0"/>
        <v>1.5891609074225918E-2</v>
      </c>
      <c r="G7" s="38" t="s">
        <v>181</v>
      </c>
      <c r="H7" s="38"/>
      <c r="I7" s="38"/>
      <c r="J7" s="38"/>
      <c r="K7" s="38"/>
      <c r="L7" s="38"/>
      <c r="M7" s="38"/>
    </row>
    <row r="8" spans="1:26" ht="17" customHeight="1">
      <c r="B8" s="8" t="s">
        <v>12</v>
      </c>
      <c r="C8" s="9" t="s">
        <v>13</v>
      </c>
      <c r="D8">
        <v>151000</v>
      </c>
      <c r="E8" s="10">
        <f t="shared" si="0"/>
        <v>5.8959041037054391E-2</v>
      </c>
      <c r="G8" s="38"/>
      <c r="H8" s="38"/>
      <c r="I8" s="38"/>
      <c r="J8" s="38"/>
      <c r="K8" s="38"/>
      <c r="L8" s="38"/>
      <c r="M8" s="38"/>
    </row>
    <row r="9" spans="1:26" ht="17" customHeight="1">
      <c r="B9" s="8" t="s">
        <v>14</v>
      </c>
      <c r="C9" s="9" t="s">
        <v>15</v>
      </c>
      <c r="D9">
        <v>52200</v>
      </c>
      <c r="E9" s="10">
        <f t="shared" si="0"/>
        <v>2.0381867166451916E-2</v>
      </c>
      <c r="G9" s="38"/>
      <c r="H9" s="38"/>
      <c r="I9" s="38"/>
      <c r="J9" s="38"/>
      <c r="K9" s="38"/>
      <c r="L9" s="38"/>
      <c r="M9" s="38"/>
    </row>
    <row r="10" spans="1:26" ht="17" customHeight="1">
      <c r="B10" s="8" t="s">
        <v>16</v>
      </c>
      <c r="C10" s="9" t="s">
        <v>17</v>
      </c>
      <c r="D10">
        <v>14500</v>
      </c>
      <c r="E10" s="10">
        <f t="shared" si="0"/>
        <v>5.6616297684588656E-3</v>
      </c>
      <c r="G10" s="38"/>
      <c r="H10" s="38"/>
      <c r="I10" s="38"/>
      <c r="J10" s="38"/>
      <c r="K10" s="38"/>
      <c r="L10" s="38"/>
      <c r="M10" s="38"/>
    </row>
    <row r="11" spans="1:26" ht="17" customHeight="1">
      <c r="B11" s="8" t="s">
        <v>18</v>
      </c>
      <c r="C11" s="9" t="s">
        <v>19</v>
      </c>
      <c r="D11">
        <v>2290</v>
      </c>
      <c r="E11" s="10">
        <f t="shared" si="0"/>
        <v>8.9414704619108977E-4</v>
      </c>
      <c r="G11" s="38"/>
      <c r="H11" s="38"/>
      <c r="I11" s="38"/>
      <c r="J11" s="38"/>
      <c r="K11" s="38"/>
      <c r="L11" s="38"/>
      <c r="M11" s="38"/>
    </row>
    <row r="12" spans="1:26" ht="17" customHeight="1">
      <c r="B12" s="8" t="s">
        <v>20</v>
      </c>
      <c r="C12" s="9" t="s">
        <v>21</v>
      </c>
      <c r="D12">
        <v>187000</v>
      </c>
      <c r="E12" s="10">
        <f t="shared" si="0"/>
        <v>7.3015501151848822E-2</v>
      </c>
      <c r="G12" s="38"/>
      <c r="H12" s="38"/>
      <c r="I12" s="38"/>
      <c r="J12" s="38"/>
      <c r="K12" s="38"/>
      <c r="L12" s="38"/>
      <c r="M12" s="38"/>
    </row>
    <row r="13" spans="1:26" ht="17" customHeight="1">
      <c r="B13" s="8" t="s">
        <v>22</v>
      </c>
      <c r="C13" s="9" t="s">
        <v>23</v>
      </c>
      <c r="D13">
        <v>66700</v>
      </c>
      <c r="E13" s="10">
        <f t="shared" si="0"/>
        <v>2.604349693491078E-2</v>
      </c>
      <c r="H13" s="16"/>
      <c r="I13" s="16"/>
      <c r="J13" s="16"/>
      <c r="K13" s="16"/>
      <c r="L13" s="16"/>
    </row>
    <row r="14" spans="1:26" ht="17">
      <c r="B14" s="8" t="s">
        <v>24</v>
      </c>
      <c r="C14" s="9" t="s">
        <v>25</v>
      </c>
      <c r="D14">
        <v>26100</v>
      </c>
      <c r="E14" s="10">
        <f t="shared" si="0"/>
        <v>1.0190933583225958E-2</v>
      </c>
      <c r="H14" s="16"/>
      <c r="I14" s="16"/>
      <c r="J14" s="16"/>
      <c r="K14" s="16"/>
      <c r="L14" s="16"/>
    </row>
    <row r="15" spans="1:26" ht="17">
      <c r="B15" s="8" t="s">
        <v>26</v>
      </c>
      <c r="C15" s="9" t="s">
        <v>27</v>
      </c>
      <c r="D15">
        <v>81600</v>
      </c>
      <c r="E15" s="10">
        <f t="shared" si="0"/>
        <v>3.1861309593534032E-2</v>
      </c>
      <c r="H15" s="16"/>
      <c r="I15" s="16"/>
      <c r="J15" s="16"/>
      <c r="K15" s="16"/>
      <c r="L15" s="16"/>
    </row>
    <row r="16" spans="1:26" ht="17">
      <c r="B16" s="8" t="s">
        <v>28</v>
      </c>
      <c r="C16" s="9" t="s">
        <v>29</v>
      </c>
      <c r="D16">
        <v>65900</v>
      </c>
      <c r="E16" s="10">
        <f t="shared" si="0"/>
        <v>2.5731131154582015E-2</v>
      </c>
      <c r="H16" s="16"/>
      <c r="I16" s="16"/>
      <c r="J16" s="16"/>
      <c r="K16" s="16"/>
      <c r="L16" s="16"/>
    </row>
    <row r="17" spans="2:5" ht="17">
      <c r="B17" s="8" t="s">
        <v>30</v>
      </c>
      <c r="C17" s="9" t="s">
        <v>31</v>
      </c>
      <c r="D17">
        <v>54700</v>
      </c>
      <c r="E17" s="10">
        <f t="shared" si="0"/>
        <v>2.1358010229979307E-2</v>
      </c>
    </row>
    <row r="18" spans="2:5" ht="17">
      <c r="B18" s="8" t="s">
        <v>32</v>
      </c>
      <c r="C18" s="9" t="s">
        <v>33</v>
      </c>
      <c r="D18">
        <v>29200</v>
      </c>
      <c r="E18" s="10">
        <f t="shared" si="0"/>
        <v>1.1401350981999922E-2</v>
      </c>
    </row>
    <row r="19" spans="2:5" ht="17">
      <c r="B19" s="8" t="s">
        <v>34</v>
      </c>
      <c r="C19" s="9" t="s">
        <v>35</v>
      </c>
      <c r="D19">
        <v>58900</v>
      </c>
      <c r="E19" s="10">
        <f t="shared" si="0"/>
        <v>2.2997930576705322E-2</v>
      </c>
    </row>
    <row r="20" spans="2:5" ht="17">
      <c r="B20" s="8" t="s">
        <v>36</v>
      </c>
      <c r="C20" s="9" t="s">
        <v>37</v>
      </c>
      <c r="D20">
        <v>32800</v>
      </c>
      <c r="E20" s="10">
        <f t="shared" si="0"/>
        <v>1.2806996993479364E-2</v>
      </c>
    </row>
    <row r="21" spans="2:5" ht="17">
      <c r="B21" s="8" t="s">
        <v>38</v>
      </c>
      <c r="C21" s="9" t="s">
        <v>39</v>
      </c>
      <c r="D21">
        <v>12500</v>
      </c>
      <c r="E21" s="10">
        <f t="shared" si="0"/>
        <v>4.8807153176369531E-3</v>
      </c>
    </row>
    <row r="22" spans="2:5" ht="17">
      <c r="B22" s="8" t="s">
        <v>40</v>
      </c>
      <c r="C22" s="9" t="s">
        <v>41</v>
      </c>
      <c r="D22">
        <v>31900</v>
      </c>
      <c r="E22" s="10">
        <f t="shared" si="0"/>
        <v>1.2455585490609504E-2</v>
      </c>
    </row>
    <row r="23" spans="2:5" ht="17">
      <c r="B23" s="8" t="s">
        <v>42</v>
      </c>
      <c r="C23" s="9" t="s">
        <v>43</v>
      </c>
      <c r="D23">
        <v>22300</v>
      </c>
      <c r="E23" s="10">
        <f t="shared" si="0"/>
        <v>8.7071961266643235E-3</v>
      </c>
    </row>
    <row r="24" spans="2:5" ht="17">
      <c r="B24" s="8" t="s">
        <v>44</v>
      </c>
      <c r="C24" s="9" t="s">
        <v>45</v>
      </c>
      <c r="D24">
        <v>89200</v>
      </c>
      <c r="E24" s="10">
        <f t="shared" si="0"/>
        <v>3.4828784506657294E-2</v>
      </c>
    </row>
    <row r="25" spans="2:5" ht="17">
      <c r="B25" s="8" t="s">
        <v>46</v>
      </c>
      <c r="C25" s="9" t="s">
        <v>47</v>
      </c>
      <c r="D25">
        <v>54800</v>
      </c>
      <c r="E25" s="10">
        <f t="shared" si="0"/>
        <v>2.1397055952520401E-2</v>
      </c>
    </row>
    <row r="26" spans="2:5" ht="17">
      <c r="B26" s="8" t="s">
        <v>48</v>
      </c>
      <c r="C26" s="9" t="s">
        <v>49</v>
      </c>
      <c r="D26">
        <v>17100</v>
      </c>
      <c r="E26" s="10">
        <f t="shared" si="0"/>
        <v>6.6768185545273513E-3</v>
      </c>
    </row>
    <row r="27" spans="2:5" ht="17">
      <c r="B27" s="8" t="s">
        <v>50</v>
      </c>
      <c r="C27" s="9" t="s">
        <v>51</v>
      </c>
      <c r="D27">
        <v>98500</v>
      </c>
      <c r="E27" s="10">
        <f t="shared" si="0"/>
        <v>3.8460036702979192E-2</v>
      </c>
    </row>
    <row r="28" spans="2:5" ht="17">
      <c r="B28" s="8" t="s">
        <v>52</v>
      </c>
      <c r="C28" s="9" t="s">
        <v>53</v>
      </c>
      <c r="D28">
        <v>13600</v>
      </c>
      <c r="E28" s="10">
        <f t="shared" si="0"/>
        <v>5.310218265589005E-3</v>
      </c>
    </row>
    <row r="29" spans="2:5" ht="17">
      <c r="B29" s="8" t="s">
        <v>54</v>
      </c>
      <c r="C29" s="9" t="s">
        <v>55</v>
      </c>
      <c r="D29">
        <v>15200</v>
      </c>
      <c r="E29" s="10">
        <f t="shared" si="0"/>
        <v>5.9349498262465349E-3</v>
      </c>
    </row>
    <row r="30" spans="2:5" ht="17">
      <c r="B30" s="8" t="s">
        <v>56</v>
      </c>
      <c r="C30" s="9" t="s">
        <v>57</v>
      </c>
      <c r="D30">
        <v>37300</v>
      </c>
      <c r="E30" s="10">
        <f t="shared" si="0"/>
        <v>1.4564054507828668E-2</v>
      </c>
    </row>
    <row r="31" spans="2:5" ht="17">
      <c r="B31" s="8" t="s">
        <v>58</v>
      </c>
      <c r="C31" s="9" t="s">
        <v>59</v>
      </c>
      <c r="D31">
        <v>12500</v>
      </c>
      <c r="E31" s="10">
        <f t="shared" si="0"/>
        <v>4.8807153176369531E-3</v>
      </c>
    </row>
    <row r="32" spans="2:5" ht="17">
      <c r="B32" s="8" t="s">
        <v>60</v>
      </c>
      <c r="C32" s="9" t="s">
        <v>61</v>
      </c>
      <c r="D32">
        <v>31400</v>
      </c>
      <c r="E32" s="10">
        <f t="shared" si="0"/>
        <v>1.2260356877904026E-2</v>
      </c>
    </row>
    <row r="33" spans="2:5" ht="17">
      <c r="B33" s="8" t="s">
        <v>62</v>
      </c>
      <c r="C33" s="9" t="s">
        <v>63</v>
      </c>
      <c r="D33">
        <v>14500</v>
      </c>
      <c r="E33" s="10">
        <f t="shared" si="0"/>
        <v>5.6616297684588656E-3</v>
      </c>
    </row>
    <row r="34" spans="2:5" ht="17">
      <c r="B34" s="8" t="s">
        <v>64</v>
      </c>
      <c r="C34" s="9" t="s">
        <v>65</v>
      </c>
      <c r="D34">
        <v>75400</v>
      </c>
      <c r="E34" s="10">
        <f t="shared" si="0"/>
        <v>2.9440474795986101E-2</v>
      </c>
    </row>
    <row r="35" spans="2:5" ht="17">
      <c r="B35" s="8" t="s">
        <v>66</v>
      </c>
      <c r="C35" s="9" t="s">
        <v>67</v>
      </c>
      <c r="D35">
        <v>87300</v>
      </c>
      <c r="E35" s="10">
        <f t="shared" si="0"/>
        <v>3.4086915778376477E-2</v>
      </c>
    </row>
    <row r="36" spans="2:5" ht="17">
      <c r="B36" s="8" t="s">
        <v>68</v>
      </c>
      <c r="C36" s="9" t="s">
        <v>69</v>
      </c>
      <c r="D36">
        <v>12700</v>
      </c>
      <c r="E36" s="10">
        <f t="shared" si="0"/>
        <v>4.9588067627191444E-3</v>
      </c>
    </row>
    <row r="37" spans="2:5" ht="17">
      <c r="B37" s="8" t="s">
        <v>70</v>
      </c>
      <c r="C37" s="9" t="s">
        <v>71</v>
      </c>
      <c r="D37">
        <v>98500</v>
      </c>
      <c r="E37" s="10">
        <f t="shared" si="0"/>
        <v>3.8460036702979192E-2</v>
      </c>
    </row>
    <row r="38" spans="2:5" ht="17">
      <c r="B38" s="8" t="s">
        <v>72</v>
      </c>
      <c r="C38" s="9" t="s">
        <v>73</v>
      </c>
      <c r="D38">
        <v>48600</v>
      </c>
      <c r="E38" s="10">
        <f t="shared" si="0"/>
        <v>1.8976221154972474E-2</v>
      </c>
    </row>
    <row r="39" spans="2:5" ht="17">
      <c r="B39" s="8" t="s">
        <v>74</v>
      </c>
      <c r="C39" s="9" t="s">
        <v>75</v>
      </c>
      <c r="D39">
        <v>34600</v>
      </c>
      <c r="E39" s="10">
        <f t="shared" si="0"/>
        <v>1.3509819999219085E-2</v>
      </c>
    </row>
    <row r="40" spans="2:5" ht="17">
      <c r="B40" s="8" t="s">
        <v>76</v>
      </c>
      <c r="C40" s="9" t="s">
        <v>77</v>
      </c>
      <c r="D40">
        <v>96600</v>
      </c>
      <c r="E40" s="10">
        <f t="shared" si="0"/>
        <v>3.7718167974698374E-2</v>
      </c>
    </row>
    <row r="41" spans="2:5" ht="17">
      <c r="B41" s="8" t="s">
        <v>78</v>
      </c>
      <c r="C41" s="9" t="s">
        <v>79</v>
      </c>
      <c r="D41">
        <v>4720</v>
      </c>
      <c r="E41" s="10">
        <f t="shared" si="0"/>
        <v>1.8429581039397134E-3</v>
      </c>
    </row>
    <row r="42" spans="2:5" ht="17">
      <c r="B42" s="8" t="s">
        <v>80</v>
      </c>
      <c r="C42" s="9" t="s">
        <v>81</v>
      </c>
      <c r="D42">
        <v>39200</v>
      </c>
      <c r="E42" s="10">
        <f t="shared" si="0"/>
        <v>1.5305923236109483E-2</v>
      </c>
    </row>
    <row r="43" spans="2:5" ht="17">
      <c r="B43" s="8" t="s">
        <v>82</v>
      </c>
      <c r="C43" s="9" t="s">
        <v>83</v>
      </c>
      <c r="D43">
        <v>17700</v>
      </c>
      <c r="E43" s="10">
        <f t="shared" si="0"/>
        <v>6.9110928897739253E-3</v>
      </c>
    </row>
    <row r="44" spans="2:5" ht="17">
      <c r="B44" s="8" t="s">
        <v>84</v>
      </c>
      <c r="C44" s="9" t="s">
        <v>85</v>
      </c>
      <c r="D44">
        <v>58800</v>
      </c>
      <c r="E44" s="10">
        <f t="shared" si="0"/>
        <v>2.2958884854164228E-2</v>
      </c>
    </row>
    <row r="45" spans="2:5" ht="17">
      <c r="B45" s="8" t="s">
        <v>86</v>
      </c>
      <c r="C45" s="9" t="s">
        <v>87</v>
      </c>
      <c r="D45">
        <v>265000</v>
      </c>
      <c r="E45" s="10">
        <f t="shared" si="0"/>
        <v>0.1034711647339034</v>
      </c>
    </row>
    <row r="46" spans="2:5" ht="17">
      <c r="B46" s="8" t="s">
        <v>88</v>
      </c>
      <c r="C46" s="9" t="s">
        <v>89</v>
      </c>
      <c r="D46">
        <v>48600</v>
      </c>
      <c r="E46" s="10">
        <f t="shared" si="0"/>
        <v>1.8976221154972474E-2</v>
      </c>
    </row>
    <row r="47" spans="2:5" ht="17">
      <c r="B47" s="8" t="s">
        <v>90</v>
      </c>
      <c r="C47" s="9" t="s">
        <v>91</v>
      </c>
      <c r="D47">
        <v>10200</v>
      </c>
      <c r="E47" s="10">
        <f t="shared" si="0"/>
        <v>3.982663699191754E-3</v>
      </c>
    </row>
    <row r="48" spans="2:5" ht="17">
      <c r="B48" s="8" t="s">
        <v>92</v>
      </c>
      <c r="C48" s="9" t="s">
        <v>93</v>
      </c>
      <c r="D48">
        <v>62300</v>
      </c>
      <c r="E48" s="10">
        <f t="shared" si="0"/>
        <v>2.4325485143102572E-2</v>
      </c>
    </row>
    <row r="49" spans="2:5" ht="17">
      <c r="B49" s="8" t="s">
        <v>94</v>
      </c>
      <c r="C49" s="9" t="s">
        <v>95</v>
      </c>
      <c r="D49">
        <v>48700</v>
      </c>
      <c r="E49" s="10">
        <f t="shared" si="0"/>
        <v>1.9015266877513568E-2</v>
      </c>
    </row>
    <row r="50" spans="2:5" ht="17">
      <c r="B50" s="8" t="s">
        <v>96</v>
      </c>
      <c r="C50" s="9" t="s">
        <v>97</v>
      </c>
      <c r="D50">
        <v>16500</v>
      </c>
      <c r="E50" s="10">
        <f t="shared" si="0"/>
        <v>6.4425442192807781E-3</v>
      </c>
    </row>
    <row r="51" spans="2:5" ht="17">
      <c r="B51" s="8" t="s">
        <v>98</v>
      </c>
      <c r="C51" s="9" t="s">
        <v>99</v>
      </c>
      <c r="D51">
        <v>70000</v>
      </c>
      <c r="E51" s="10">
        <f t="shared" si="0"/>
        <v>2.7332005778766936E-2</v>
      </c>
    </row>
    <row r="52" spans="2:5" ht="17">
      <c r="B52" s="8" t="s">
        <v>100</v>
      </c>
      <c r="C52" s="9" t="s">
        <v>101</v>
      </c>
      <c r="D52">
        <v>32800</v>
      </c>
      <c r="E52" s="10">
        <f t="shared" si="0"/>
        <v>1.2806996993479364E-2</v>
      </c>
    </row>
    <row r="53" spans="2:5" ht="17">
      <c r="B53" s="11" t="s">
        <v>102</v>
      </c>
      <c r="C53" s="12" t="s">
        <v>103</v>
      </c>
      <c r="D53" s="13">
        <v>2561100</v>
      </c>
      <c r="E53" s="14">
        <f t="shared" si="0"/>
        <v>1</v>
      </c>
    </row>
  </sheetData>
  <mergeCells count="1">
    <mergeCell ref="G7:M12"/>
  </mergeCells>
  <hyperlinks>
    <hyperlink ref="H5" r:id="rId1" xr:uid="{2B942D51-CB00-DE47-8976-0F828EEB490E}"/>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D8A2-18FD-1A4E-859B-C6514DA1D837}">
  <dimension ref="A1:Z53"/>
  <sheetViews>
    <sheetView workbookViewId="0">
      <selection activeCell="G4" sqref="G4: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214</v>
      </c>
    </row>
    <row r="4" spans="1:26" ht="17">
      <c r="B4" s="4" t="s">
        <v>2</v>
      </c>
      <c r="C4" s="5" t="s">
        <v>3</v>
      </c>
      <c r="D4" s="6" t="s">
        <v>104</v>
      </c>
      <c r="E4" s="7" t="s">
        <v>5</v>
      </c>
      <c r="G4" s="15" t="s">
        <v>106</v>
      </c>
      <c r="H4" t="s">
        <v>155</v>
      </c>
    </row>
    <row r="5" spans="1:26" ht="17">
      <c r="B5" s="8" t="s">
        <v>6</v>
      </c>
      <c r="C5" s="9" t="s">
        <v>7</v>
      </c>
      <c r="D5">
        <v>1</v>
      </c>
      <c r="E5" s="10">
        <f>D5/D$53</f>
        <v>7.6923076923076927E-2</v>
      </c>
      <c r="G5" s="15" t="s">
        <v>105</v>
      </c>
      <c r="H5" s="17" t="s">
        <v>156</v>
      </c>
    </row>
    <row r="6" spans="1:26" ht="17" customHeight="1">
      <c r="B6" s="8" t="s">
        <v>8</v>
      </c>
      <c r="C6" s="9" t="s">
        <v>9</v>
      </c>
      <c r="D6">
        <v>0</v>
      </c>
      <c r="E6" s="10">
        <f t="shared" ref="E6:E53" si="0">D6/D$53</f>
        <v>0</v>
      </c>
      <c r="G6" s="15"/>
    </row>
    <row r="7" spans="1:26" ht="17" customHeight="1">
      <c r="B7" s="8" t="s">
        <v>10</v>
      </c>
      <c r="C7" s="9" t="s">
        <v>11</v>
      </c>
      <c r="D7">
        <v>0</v>
      </c>
      <c r="E7" s="10">
        <f t="shared" si="0"/>
        <v>0</v>
      </c>
      <c r="G7" s="38" t="s">
        <v>215</v>
      </c>
      <c r="H7" s="38"/>
      <c r="I7" s="38"/>
      <c r="J7" s="38"/>
      <c r="K7" s="38"/>
      <c r="L7" s="38"/>
      <c r="M7" s="38"/>
    </row>
    <row r="8" spans="1:26" ht="17" customHeight="1">
      <c r="B8" s="8" t="s">
        <v>12</v>
      </c>
      <c r="C8" s="9" t="s">
        <v>13</v>
      </c>
      <c r="D8">
        <v>0</v>
      </c>
      <c r="E8" s="10">
        <f t="shared" si="0"/>
        <v>0</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7</v>
      </c>
      <c r="E12" s="10">
        <f t="shared" si="0"/>
        <v>0.53846153846153844</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2</v>
      </c>
      <c r="E14" s="10">
        <f t="shared" si="0"/>
        <v>0.15384615384615385</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16"/>
      <c r="I16" s="16"/>
      <c r="J16" s="16"/>
      <c r="K16" s="16"/>
      <c r="L16" s="16"/>
    </row>
    <row r="17" spans="2:12" ht="17">
      <c r="B17" s="8" t="s">
        <v>30</v>
      </c>
      <c r="C17" s="9" t="s">
        <v>31</v>
      </c>
      <c r="D17">
        <v>0</v>
      </c>
      <c r="E17" s="10">
        <f t="shared" si="0"/>
        <v>0</v>
      </c>
    </row>
    <row r="18" spans="2:12" ht="17">
      <c r="B18" s="8" t="s">
        <v>32</v>
      </c>
      <c r="C18" s="9" t="s">
        <v>33</v>
      </c>
      <c r="D18">
        <v>0</v>
      </c>
      <c r="E18" s="10">
        <f t="shared" si="0"/>
        <v>0</v>
      </c>
    </row>
    <row r="19" spans="2:12" ht="17">
      <c r="B19" s="8" t="s">
        <v>34</v>
      </c>
      <c r="C19" s="9" t="s">
        <v>35</v>
      </c>
      <c r="D19">
        <v>0</v>
      </c>
      <c r="E19" s="10">
        <f t="shared" si="0"/>
        <v>0</v>
      </c>
    </row>
    <row r="20" spans="2:12" ht="17">
      <c r="B20" s="8" t="s">
        <v>36</v>
      </c>
      <c r="C20" s="9" t="s">
        <v>37</v>
      </c>
      <c r="D20">
        <v>1</v>
      </c>
      <c r="E20" s="10">
        <f t="shared" si="0"/>
        <v>7.6923076923076927E-2</v>
      </c>
    </row>
    <row r="21" spans="2:12" ht="17">
      <c r="B21" s="8" t="s">
        <v>38</v>
      </c>
      <c r="C21" s="9" t="s">
        <v>39</v>
      </c>
      <c r="D21">
        <v>0</v>
      </c>
      <c r="E21" s="10">
        <f t="shared" si="0"/>
        <v>0</v>
      </c>
    </row>
    <row r="22" spans="2:12" ht="17">
      <c r="B22" s="8" t="s">
        <v>40</v>
      </c>
      <c r="C22" s="9" t="s">
        <v>41</v>
      </c>
      <c r="D22">
        <v>0</v>
      </c>
      <c r="E22" s="10">
        <f t="shared" si="0"/>
        <v>0</v>
      </c>
    </row>
    <row r="23" spans="2:12" ht="17">
      <c r="B23" s="8" t="s">
        <v>42</v>
      </c>
      <c r="C23" s="9" t="s">
        <v>43</v>
      </c>
      <c r="D23">
        <v>0</v>
      </c>
      <c r="E23" s="10">
        <f t="shared" si="0"/>
        <v>0</v>
      </c>
    </row>
    <row r="24" spans="2:12" ht="17">
      <c r="B24" s="8" t="s">
        <v>44</v>
      </c>
      <c r="C24" s="9" t="s">
        <v>45</v>
      </c>
      <c r="D24">
        <v>0</v>
      </c>
      <c r="E24" s="10">
        <f t="shared" si="0"/>
        <v>0</v>
      </c>
      <c r="I24" s="18"/>
      <c r="J24" s="19"/>
      <c r="K24" s="19"/>
      <c r="L24" s="19"/>
    </row>
    <row r="25" spans="2:12" ht="17">
      <c r="B25" s="8" t="s">
        <v>46</v>
      </c>
      <c r="C25" s="9" t="s">
        <v>47</v>
      </c>
      <c r="D25">
        <v>0</v>
      </c>
      <c r="E25" s="10">
        <f t="shared" si="0"/>
        <v>0</v>
      </c>
      <c r="J25" s="18"/>
      <c r="K25" s="18"/>
      <c r="L25" s="18"/>
    </row>
    <row r="26" spans="2:12" ht="17">
      <c r="B26" s="8" t="s">
        <v>48</v>
      </c>
      <c r="C26" s="9" t="s">
        <v>49</v>
      </c>
      <c r="D26">
        <v>0</v>
      </c>
      <c r="E26" s="10">
        <f t="shared" si="0"/>
        <v>0</v>
      </c>
      <c r="J26" s="18"/>
      <c r="K26" s="18"/>
      <c r="L26" s="18"/>
    </row>
    <row r="27" spans="2:12" ht="17">
      <c r="B27" s="8" t="s">
        <v>50</v>
      </c>
      <c r="C27" s="9" t="s">
        <v>51</v>
      </c>
      <c r="D27">
        <v>0</v>
      </c>
      <c r="E27" s="10">
        <f t="shared" si="0"/>
        <v>0</v>
      </c>
      <c r="I27" s="18"/>
      <c r="J27" s="18"/>
      <c r="K27" s="18"/>
      <c r="L27" s="18"/>
    </row>
    <row r="28" spans="2:12" ht="17">
      <c r="B28" s="8" t="s">
        <v>52</v>
      </c>
      <c r="C28" s="9" t="s">
        <v>53</v>
      </c>
      <c r="D28">
        <v>0</v>
      </c>
      <c r="E28" s="10">
        <f t="shared" si="0"/>
        <v>0</v>
      </c>
      <c r="I28" s="18"/>
      <c r="J28" s="18"/>
      <c r="K28" s="18"/>
      <c r="L28" s="18"/>
    </row>
    <row r="29" spans="2:12" ht="17">
      <c r="B29" s="8" t="s">
        <v>54</v>
      </c>
      <c r="C29" s="9" t="s">
        <v>55</v>
      </c>
      <c r="D29">
        <v>0</v>
      </c>
      <c r="E29" s="10">
        <f t="shared" si="0"/>
        <v>0</v>
      </c>
      <c r="J29" s="18"/>
      <c r="K29" s="18"/>
      <c r="L29" s="18"/>
    </row>
    <row r="30" spans="2:12" ht="17">
      <c r="B30" s="8" t="s">
        <v>56</v>
      </c>
      <c r="C30" s="9" t="s">
        <v>57</v>
      </c>
      <c r="D30">
        <v>0</v>
      </c>
      <c r="E30" s="10">
        <f t="shared" si="0"/>
        <v>0</v>
      </c>
      <c r="J30" s="18"/>
      <c r="K30" s="18"/>
      <c r="L30" s="18"/>
    </row>
    <row r="31" spans="2:12" ht="17">
      <c r="B31" s="8" t="s">
        <v>58</v>
      </c>
      <c r="C31" s="9" t="s">
        <v>59</v>
      </c>
      <c r="D31">
        <v>0</v>
      </c>
      <c r="E31" s="10">
        <f t="shared" si="0"/>
        <v>0</v>
      </c>
      <c r="J31" s="18"/>
      <c r="K31" s="18"/>
      <c r="L31" s="18"/>
    </row>
    <row r="32" spans="2:12" ht="17">
      <c r="B32" s="8" t="s">
        <v>60</v>
      </c>
      <c r="C32" s="9" t="s">
        <v>61</v>
      </c>
      <c r="D32">
        <v>0</v>
      </c>
      <c r="E32" s="10">
        <f t="shared" si="0"/>
        <v>0</v>
      </c>
      <c r="J32" s="18"/>
      <c r="K32" s="18"/>
      <c r="L32" s="18"/>
    </row>
    <row r="33" spans="2:12" ht="17">
      <c r="B33" s="8" t="s">
        <v>62</v>
      </c>
      <c r="C33" s="9" t="s">
        <v>63</v>
      </c>
      <c r="D33">
        <v>0</v>
      </c>
      <c r="E33" s="10">
        <f t="shared" si="0"/>
        <v>0</v>
      </c>
      <c r="I33" s="18"/>
      <c r="J33" s="18"/>
      <c r="K33" s="18"/>
      <c r="L33" s="18"/>
    </row>
    <row r="34" spans="2:12" ht="17">
      <c r="B34" s="8" t="s">
        <v>64</v>
      </c>
      <c r="C34" s="9" t="s">
        <v>65</v>
      </c>
      <c r="D34">
        <v>0</v>
      </c>
      <c r="E34" s="10">
        <f t="shared" si="0"/>
        <v>0</v>
      </c>
      <c r="J34" s="18"/>
      <c r="K34" s="18"/>
      <c r="L34" s="18"/>
    </row>
    <row r="35" spans="2:12" ht="17">
      <c r="B35" s="8" t="s">
        <v>66</v>
      </c>
      <c r="C35" s="9" t="s">
        <v>67</v>
      </c>
      <c r="D35">
        <v>1</v>
      </c>
      <c r="E35" s="10">
        <f t="shared" si="0"/>
        <v>7.6923076923076927E-2</v>
      </c>
      <c r="J35" s="18"/>
      <c r="K35" s="18"/>
      <c r="L35" s="18"/>
    </row>
    <row r="36" spans="2:12" ht="17">
      <c r="B36" s="8" t="s">
        <v>68</v>
      </c>
      <c r="C36" s="9" t="s">
        <v>69</v>
      </c>
      <c r="D36">
        <v>0</v>
      </c>
      <c r="E36" s="10">
        <f t="shared" si="0"/>
        <v>0</v>
      </c>
      <c r="J36" s="18"/>
      <c r="K36" s="18"/>
      <c r="L36" s="18"/>
    </row>
    <row r="37" spans="2:12" ht="17">
      <c r="B37" s="8" t="s">
        <v>70</v>
      </c>
      <c r="C37" s="9" t="s">
        <v>71</v>
      </c>
      <c r="D37">
        <v>0</v>
      </c>
      <c r="E37" s="10">
        <f t="shared" si="0"/>
        <v>0</v>
      </c>
      <c r="J37" s="18"/>
      <c r="K37" s="18"/>
      <c r="L37" s="18"/>
    </row>
    <row r="38" spans="2:12" ht="17">
      <c r="B38" s="8" t="s">
        <v>72</v>
      </c>
      <c r="C38" s="9" t="s">
        <v>73</v>
      </c>
      <c r="D38">
        <v>0</v>
      </c>
      <c r="E38" s="10">
        <f t="shared" si="0"/>
        <v>0</v>
      </c>
      <c r="J38" s="18"/>
      <c r="K38" s="18"/>
      <c r="L38" s="18"/>
    </row>
    <row r="39" spans="2:12" ht="17">
      <c r="B39" s="8" t="s">
        <v>74</v>
      </c>
      <c r="C39" s="9" t="s">
        <v>75</v>
      </c>
      <c r="D39">
        <v>0</v>
      </c>
      <c r="E39" s="10">
        <f t="shared" si="0"/>
        <v>0</v>
      </c>
      <c r="J39" s="18"/>
      <c r="K39" s="18"/>
      <c r="L39" s="18"/>
    </row>
    <row r="40" spans="2:12" ht="17">
      <c r="B40" s="8" t="s">
        <v>76</v>
      </c>
      <c r="C40" s="9" t="s">
        <v>77</v>
      </c>
      <c r="D40">
        <v>0</v>
      </c>
      <c r="E40" s="10">
        <f t="shared" si="0"/>
        <v>0</v>
      </c>
      <c r="J40" s="18"/>
      <c r="K40" s="18"/>
      <c r="L40" s="18"/>
    </row>
    <row r="41" spans="2:12" ht="17">
      <c r="B41" s="8" t="s">
        <v>78</v>
      </c>
      <c r="C41" s="9" t="s">
        <v>79</v>
      </c>
      <c r="D41">
        <v>0</v>
      </c>
      <c r="E41" s="10">
        <f t="shared" si="0"/>
        <v>0</v>
      </c>
      <c r="I41" s="18"/>
      <c r="J41" s="18"/>
      <c r="K41" s="18"/>
      <c r="L41" s="18"/>
    </row>
    <row r="42" spans="2:12" ht="17">
      <c r="B42" s="8" t="s">
        <v>80</v>
      </c>
      <c r="C42" s="9" t="s">
        <v>81</v>
      </c>
      <c r="D42">
        <v>0</v>
      </c>
      <c r="E42" s="10">
        <f t="shared" si="0"/>
        <v>0</v>
      </c>
      <c r="I42" s="18"/>
      <c r="J42" s="18"/>
      <c r="K42" s="18"/>
      <c r="L42" s="18"/>
    </row>
    <row r="43" spans="2:12" ht="17">
      <c r="B43" s="8" t="s">
        <v>82</v>
      </c>
      <c r="C43" s="9" t="s">
        <v>83</v>
      </c>
      <c r="D43">
        <v>0</v>
      </c>
      <c r="E43" s="10">
        <f t="shared" si="0"/>
        <v>0</v>
      </c>
      <c r="I43" s="18"/>
      <c r="J43" s="18"/>
      <c r="K43" s="18"/>
      <c r="L43" s="18"/>
    </row>
    <row r="44" spans="2:12" ht="17">
      <c r="B44" s="8" t="s">
        <v>84</v>
      </c>
      <c r="C44" s="9" t="s">
        <v>85</v>
      </c>
      <c r="D44">
        <v>0</v>
      </c>
      <c r="E44" s="10">
        <f t="shared" si="0"/>
        <v>0</v>
      </c>
      <c r="J44" s="18"/>
      <c r="K44" s="18"/>
      <c r="L44" s="18"/>
    </row>
    <row r="45" spans="2:12" ht="17">
      <c r="B45" s="8" t="s">
        <v>86</v>
      </c>
      <c r="C45" s="9" t="s">
        <v>87</v>
      </c>
      <c r="D45">
        <v>0</v>
      </c>
      <c r="E45" s="10">
        <f t="shared" si="0"/>
        <v>0</v>
      </c>
      <c r="J45" s="18"/>
      <c r="K45" s="18"/>
      <c r="L45" s="18"/>
    </row>
    <row r="46" spans="2:12" ht="17">
      <c r="B46" s="8" t="s">
        <v>88</v>
      </c>
      <c r="C46" s="9" t="s">
        <v>89</v>
      </c>
      <c r="D46">
        <v>0</v>
      </c>
      <c r="E46" s="10">
        <f t="shared" si="0"/>
        <v>0</v>
      </c>
      <c r="J46" s="18"/>
      <c r="K46" s="18"/>
      <c r="L46" s="18"/>
    </row>
    <row r="47" spans="2:12" ht="17">
      <c r="B47" s="8" t="s">
        <v>90</v>
      </c>
      <c r="C47" s="9" t="s">
        <v>91</v>
      </c>
      <c r="D47">
        <v>0</v>
      </c>
      <c r="E47" s="10">
        <f t="shared" si="0"/>
        <v>0</v>
      </c>
      <c r="J47" s="18"/>
      <c r="K47" s="18"/>
      <c r="L47" s="18"/>
    </row>
    <row r="48" spans="2:12" ht="17">
      <c r="B48" s="8" t="s">
        <v>92</v>
      </c>
      <c r="C48" s="9" t="s">
        <v>93</v>
      </c>
      <c r="D48">
        <v>0</v>
      </c>
      <c r="E48" s="10">
        <f t="shared" si="0"/>
        <v>0</v>
      </c>
      <c r="I48" s="18"/>
      <c r="J48" s="18"/>
      <c r="K48" s="18"/>
      <c r="L48" s="18"/>
    </row>
    <row r="49" spans="2:12" ht="17">
      <c r="B49" s="8" t="s">
        <v>94</v>
      </c>
      <c r="C49" s="9" t="s">
        <v>95</v>
      </c>
      <c r="D49">
        <v>0</v>
      </c>
      <c r="E49" s="10">
        <f t="shared" si="0"/>
        <v>0</v>
      </c>
      <c r="J49" s="18"/>
      <c r="K49" s="18"/>
      <c r="L49" s="18"/>
    </row>
    <row r="50" spans="2:12" ht="17">
      <c r="B50" s="8" t="s">
        <v>96</v>
      </c>
      <c r="C50" s="9" t="s">
        <v>97</v>
      </c>
      <c r="D50">
        <v>0</v>
      </c>
      <c r="E50" s="10">
        <f t="shared" si="0"/>
        <v>0</v>
      </c>
      <c r="J50" s="18"/>
      <c r="L50" s="18"/>
    </row>
    <row r="51" spans="2:12" ht="17">
      <c r="B51" s="8" t="s">
        <v>98</v>
      </c>
      <c r="C51" s="9" t="s">
        <v>99</v>
      </c>
      <c r="D51">
        <v>0</v>
      </c>
      <c r="E51" s="10">
        <f t="shared" si="0"/>
        <v>0</v>
      </c>
      <c r="J51" s="18"/>
      <c r="K51" s="18"/>
      <c r="L51" s="18"/>
    </row>
    <row r="52" spans="2:12" ht="17">
      <c r="B52" s="8" t="s">
        <v>100</v>
      </c>
      <c r="C52" s="9" t="s">
        <v>101</v>
      </c>
      <c r="D52">
        <v>1</v>
      </c>
      <c r="E52" s="10">
        <f t="shared" si="0"/>
        <v>7.6923076923076927E-2</v>
      </c>
      <c r="J52" s="18"/>
      <c r="K52" s="18"/>
      <c r="L52" s="18"/>
    </row>
    <row r="53" spans="2:12" ht="17">
      <c r="B53" s="11" t="s">
        <v>102</v>
      </c>
      <c r="C53" s="12" t="s">
        <v>103</v>
      </c>
      <c r="D53" s="13">
        <f>SUM(D5:D52)</f>
        <v>13</v>
      </c>
      <c r="E53" s="14">
        <f t="shared" si="0"/>
        <v>1</v>
      </c>
    </row>
  </sheetData>
  <mergeCells count="1">
    <mergeCell ref="G7:M12"/>
  </mergeCells>
  <hyperlinks>
    <hyperlink ref="H5" r:id="rId1" xr:uid="{F600C0F8-39B8-7E49-A9E8-AA7CC226E006}"/>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DE7A-E9BF-7141-A7DB-84D49D37FAFE}">
  <dimension ref="A1:Z70"/>
  <sheetViews>
    <sheetView workbookViewId="0">
      <selection activeCell="G4" sqref="G4:M12"/>
    </sheetView>
  </sheetViews>
  <sheetFormatPr baseColWidth="10" defaultRowHeight="16"/>
  <cols>
    <col min="1" max="1" width="3.1640625" customWidth="1"/>
    <col min="2" max="2" width="23.5" customWidth="1"/>
    <col min="4" max="4" width="14" customWidth="1"/>
    <col min="5" max="5" width="16.83203125" customWidth="1"/>
    <col min="10" max="10" width="14.3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128</v>
      </c>
    </row>
    <row r="4" spans="1:26" ht="17">
      <c r="B4" s="4" t="s">
        <v>2</v>
      </c>
      <c r="C4" s="5" t="s">
        <v>3</v>
      </c>
      <c r="D4" s="6" t="s">
        <v>104</v>
      </c>
      <c r="E4" s="7" t="s">
        <v>5</v>
      </c>
      <c r="G4" s="15" t="s">
        <v>106</v>
      </c>
      <c r="H4" t="s">
        <v>4</v>
      </c>
    </row>
    <row r="5" spans="1:26" ht="17">
      <c r="B5" s="8" t="s">
        <v>6</v>
      </c>
      <c r="C5" s="9" t="s">
        <v>7</v>
      </c>
      <c r="D5">
        <v>290</v>
      </c>
      <c r="E5" s="10">
        <f>D5/D$53</f>
        <v>2.1150900736634819E-2</v>
      </c>
      <c r="G5" s="15" t="s">
        <v>105</v>
      </c>
      <c r="H5" s="17" t="s">
        <v>111</v>
      </c>
    </row>
    <row r="6" spans="1:26" ht="17" customHeight="1">
      <c r="B6" s="8" t="s">
        <v>8</v>
      </c>
      <c r="C6" s="9" t="s">
        <v>9</v>
      </c>
      <c r="D6">
        <v>13</v>
      </c>
      <c r="E6" s="10">
        <f t="shared" ref="E6:E53" si="0">D6/D$53</f>
        <v>9.4814382612500915E-4</v>
      </c>
      <c r="G6" s="15"/>
    </row>
    <row r="7" spans="1:26" ht="17" customHeight="1">
      <c r="B7" s="8" t="s">
        <v>10</v>
      </c>
      <c r="C7" s="9" t="s">
        <v>11</v>
      </c>
      <c r="D7">
        <v>119</v>
      </c>
      <c r="E7" s="10">
        <f t="shared" si="0"/>
        <v>8.6791627160673918E-3</v>
      </c>
      <c r="G7" s="38" t="s">
        <v>129</v>
      </c>
      <c r="H7" s="38"/>
      <c r="I7" s="38"/>
      <c r="J7" s="38"/>
      <c r="K7" s="38"/>
      <c r="L7" s="38"/>
      <c r="M7" s="38"/>
    </row>
    <row r="8" spans="1:26" ht="17" customHeight="1">
      <c r="B8" s="8" t="s">
        <v>12</v>
      </c>
      <c r="C8" s="9" t="s">
        <v>13</v>
      </c>
      <c r="D8">
        <v>664</v>
      </c>
      <c r="E8" s="10">
        <f t="shared" si="0"/>
        <v>4.8428269272846616E-2</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202</v>
      </c>
      <c r="E12" s="10">
        <f t="shared" si="0"/>
        <v>1.4732696375173219E-2</v>
      </c>
      <c r="G12" s="38"/>
      <c r="H12" s="38"/>
      <c r="I12" s="38"/>
      <c r="J12" s="38"/>
      <c r="K12" s="38"/>
      <c r="L12" s="38"/>
      <c r="M12" s="38"/>
    </row>
    <row r="13" spans="1:26" ht="17" customHeight="1">
      <c r="B13" s="8" t="s">
        <v>22</v>
      </c>
      <c r="C13" s="9" t="s">
        <v>23</v>
      </c>
      <c r="D13">
        <v>649</v>
      </c>
      <c r="E13" s="10">
        <f t="shared" si="0"/>
        <v>4.7334257165779305E-2</v>
      </c>
      <c r="H13" s="16"/>
      <c r="I13" s="16"/>
      <c r="J13" s="16"/>
      <c r="K13" s="16"/>
      <c r="L13" s="16"/>
    </row>
    <row r="14" spans="1:26" ht="17">
      <c r="B14" s="8" t="s">
        <v>24</v>
      </c>
      <c r="C14" s="9" t="s">
        <v>25</v>
      </c>
      <c r="D14">
        <v>35</v>
      </c>
      <c r="E14" s="10">
        <f t="shared" si="0"/>
        <v>2.5526949164904091E-3</v>
      </c>
      <c r="H14" s="16"/>
      <c r="I14" s="16"/>
      <c r="J14" s="16"/>
      <c r="K14" s="16"/>
      <c r="L14" s="16"/>
    </row>
    <row r="15" spans="1:26" ht="17">
      <c r="B15" s="8" t="s">
        <v>26</v>
      </c>
      <c r="C15" s="9" t="s">
        <v>27</v>
      </c>
      <c r="D15">
        <v>939</v>
      </c>
      <c r="E15" s="10">
        <f t="shared" si="0"/>
        <v>6.848515790241412E-2</v>
      </c>
      <c r="G15" s="20"/>
      <c r="H15" s="24"/>
      <c r="I15" s="24"/>
      <c r="J15" s="25"/>
      <c r="K15" s="25"/>
      <c r="L15" s="25"/>
    </row>
    <row r="16" spans="1:26" ht="17">
      <c r="B16" s="8" t="s">
        <v>28</v>
      </c>
      <c r="C16" s="9" t="s">
        <v>29</v>
      </c>
      <c r="D16">
        <v>0</v>
      </c>
      <c r="E16" s="10">
        <f t="shared" si="0"/>
        <v>0</v>
      </c>
      <c r="H16" s="24"/>
      <c r="I16" s="24"/>
      <c r="J16" s="24"/>
      <c r="K16" s="24"/>
      <c r="L16" s="24"/>
    </row>
    <row r="17" spans="2:12" ht="17">
      <c r="B17" s="8" t="s">
        <v>30</v>
      </c>
      <c r="C17" s="9" t="s">
        <v>31</v>
      </c>
      <c r="D17">
        <v>1322</v>
      </c>
      <c r="E17" s="10">
        <f t="shared" si="0"/>
        <v>9.6418933702866305E-2</v>
      </c>
      <c r="I17" s="18"/>
      <c r="J17" s="18"/>
      <c r="K17" s="18"/>
      <c r="L17" s="18"/>
    </row>
    <row r="18" spans="2:12" ht="17">
      <c r="B18" s="8" t="s">
        <v>32</v>
      </c>
      <c r="C18" s="9" t="s">
        <v>33</v>
      </c>
      <c r="D18">
        <v>112</v>
      </c>
      <c r="E18" s="10">
        <f t="shared" si="0"/>
        <v>8.1686237327693086E-3</v>
      </c>
      <c r="G18" s="20"/>
      <c r="H18" s="18"/>
      <c r="I18" s="18"/>
      <c r="J18" s="19"/>
      <c r="K18" s="19"/>
      <c r="L18" s="27"/>
    </row>
    <row r="19" spans="2:12" ht="17">
      <c r="B19" s="8" t="s">
        <v>34</v>
      </c>
      <c r="C19" s="9" t="s">
        <v>35</v>
      </c>
      <c r="D19">
        <v>29</v>
      </c>
      <c r="E19" s="10">
        <f t="shared" si="0"/>
        <v>2.115090073663482E-3</v>
      </c>
      <c r="H19" s="18"/>
      <c r="I19" s="18"/>
      <c r="J19" s="18"/>
      <c r="K19" s="18"/>
      <c r="L19" s="18"/>
    </row>
    <row r="20" spans="2:12" ht="17">
      <c r="B20" s="8" t="s">
        <v>36</v>
      </c>
      <c r="C20" s="9" t="s">
        <v>37</v>
      </c>
      <c r="D20">
        <v>0</v>
      </c>
      <c r="E20" s="10">
        <f t="shared" si="0"/>
        <v>0</v>
      </c>
      <c r="I20" s="18"/>
      <c r="J20" s="18"/>
      <c r="K20" s="18"/>
      <c r="L20" s="18"/>
    </row>
    <row r="21" spans="2:12" ht="17">
      <c r="B21" s="8" t="s">
        <v>38</v>
      </c>
      <c r="C21" s="9" t="s">
        <v>39</v>
      </c>
      <c r="D21">
        <v>0</v>
      </c>
      <c r="E21" s="10">
        <f t="shared" si="0"/>
        <v>0</v>
      </c>
      <c r="H21" s="18"/>
      <c r="I21" s="18"/>
      <c r="J21" s="18"/>
      <c r="K21" s="18"/>
      <c r="L21" s="18"/>
    </row>
    <row r="22" spans="2:12" ht="17">
      <c r="B22" s="8" t="s">
        <v>40</v>
      </c>
      <c r="C22" s="9" t="s">
        <v>41</v>
      </c>
      <c r="D22">
        <v>63</v>
      </c>
      <c r="E22" s="10">
        <f t="shared" si="0"/>
        <v>4.5948508496827366E-3</v>
      </c>
      <c r="H22" s="18"/>
      <c r="I22" s="18"/>
      <c r="J22" s="18"/>
      <c r="K22" s="18"/>
      <c r="L22" s="18"/>
    </row>
    <row r="23" spans="2:12" ht="17">
      <c r="B23" s="8" t="s">
        <v>42</v>
      </c>
      <c r="C23" s="9" t="s">
        <v>43</v>
      </c>
      <c r="D23">
        <v>0</v>
      </c>
      <c r="E23" s="10">
        <f t="shared" si="0"/>
        <v>0</v>
      </c>
      <c r="H23" s="18"/>
      <c r="I23" s="18"/>
      <c r="J23" s="18"/>
      <c r="K23" s="18"/>
      <c r="L23" s="18"/>
    </row>
    <row r="24" spans="2:12" ht="17">
      <c r="B24" s="8" t="s">
        <v>44</v>
      </c>
      <c r="C24" s="9" t="s">
        <v>45</v>
      </c>
      <c r="D24">
        <v>257</v>
      </c>
      <c r="E24" s="10">
        <f t="shared" si="0"/>
        <v>1.8744074101086718E-2</v>
      </c>
      <c r="H24" s="18"/>
      <c r="I24" s="18"/>
      <c r="J24" s="18"/>
      <c r="K24" s="18"/>
      <c r="L24" s="18"/>
    </row>
    <row r="25" spans="2:12" ht="17">
      <c r="B25" s="8" t="s">
        <v>46</v>
      </c>
      <c r="C25" s="9" t="s">
        <v>47</v>
      </c>
      <c r="D25">
        <v>0</v>
      </c>
      <c r="E25" s="10">
        <f t="shared" si="0"/>
        <v>0</v>
      </c>
      <c r="H25" s="18"/>
      <c r="I25" s="18"/>
      <c r="J25" s="18"/>
      <c r="K25" s="18"/>
      <c r="L25" s="18"/>
    </row>
    <row r="26" spans="2:12" ht="17">
      <c r="B26" s="8" t="s">
        <v>48</v>
      </c>
      <c r="C26" s="9" t="s">
        <v>49</v>
      </c>
      <c r="D26">
        <v>0</v>
      </c>
      <c r="E26" s="10">
        <f t="shared" si="0"/>
        <v>0</v>
      </c>
      <c r="H26" s="18"/>
      <c r="I26" s="18"/>
      <c r="J26" s="18"/>
      <c r="K26" s="18"/>
      <c r="L26" s="18"/>
    </row>
    <row r="27" spans="2:12" ht="17">
      <c r="B27" s="8" t="s">
        <v>50</v>
      </c>
      <c r="C27" s="9" t="s">
        <v>51</v>
      </c>
      <c r="D27">
        <v>1832</v>
      </c>
      <c r="E27" s="10">
        <f t="shared" si="0"/>
        <v>0.13361534534315514</v>
      </c>
      <c r="I27" s="18"/>
      <c r="J27" s="18"/>
      <c r="K27" s="18"/>
      <c r="L27" s="18"/>
    </row>
    <row r="28" spans="2:12" ht="17">
      <c r="B28" s="8" t="s">
        <v>52</v>
      </c>
      <c r="C28" s="9" t="s">
        <v>53</v>
      </c>
      <c r="D28">
        <v>0</v>
      </c>
      <c r="E28" s="10">
        <f t="shared" si="0"/>
        <v>0</v>
      </c>
      <c r="H28" s="18"/>
      <c r="I28" s="18"/>
      <c r="J28" s="18"/>
      <c r="K28" s="18"/>
      <c r="L28" s="18"/>
    </row>
    <row r="29" spans="2:12" ht="17">
      <c r="B29" s="8" t="s">
        <v>54</v>
      </c>
      <c r="C29" s="9" t="s">
        <v>55</v>
      </c>
      <c r="D29">
        <v>0</v>
      </c>
      <c r="E29" s="10">
        <f t="shared" si="0"/>
        <v>0</v>
      </c>
      <c r="H29" s="18"/>
      <c r="I29" s="18"/>
      <c r="J29" s="18"/>
      <c r="K29" s="18"/>
      <c r="L29" s="18"/>
    </row>
    <row r="30" spans="2:12" ht="17">
      <c r="B30" s="8" t="s">
        <v>56</v>
      </c>
      <c r="C30" s="9" t="s">
        <v>57</v>
      </c>
      <c r="D30">
        <v>0</v>
      </c>
      <c r="E30" s="10">
        <f t="shared" si="0"/>
        <v>0</v>
      </c>
      <c r="I30" s="18"/>
      <c r="J30" s="18"/>
      <c r="K30" s="18"/>
      <c r="L30" s="18"/>
    </row>
    <row r="31" spans="2:12" ht="17">
      <c r="B31" s="8" t="s">
        <v>58</v>
      </c>
      <c r="C31" s="9" t="s">
        <v>59</v>
      </c>
      <c r="D31">
        <v>0</v>
      </c>
      <c r="E31" s="10">
        <f t="shared" si="0"/>
        <v>0</v>
      </c>
      <c r="H31" s="18"/>
      <c r="I31" s="18"/>
      <c r="J31" s="18"/>
      <c r="K31" s="18"/>
      <c r="L31" s="18"/>
    </row>
    <row r="32" spans="2:12" ht="17">
      <c r="B32" s="8" t="s">
        <v>60</v>
      </c>
      <c r="C32" s="9" t="s">
        <v>61</v>
      </c>
      <c r="D32">
        <v>283</v>
      </c>
      <c r="E32" s="10">
        <f t="shared" si="0"/>
        <v>2.0640361753336736E-2</v>
      </c>
      <c r="H32" s="18"/>
      <c r="I32" s="18"/>
      <c r="J32" s="18"/>
      <c r="K32" s="18"/>
      <c r="L32" s="18"/>
    </row>
    <row r="33" spans="2:12" ht="17">
      <c r="B33" s="8" t="s">
        <v>62</v>
      </c>
      <c r="C33" s="9" t="s">
        <v>63</v>
      </c>
      <c r="D33">
        <v>0</v>
      </c>
      <c r="E33" s="10">
        <f t="shared" si="0"/>
        <v>0</v>
      </c>
      <c r="H33" s="18"/>
      <c r="I33" s="18"/>
      <c r="J33" s="18"/>
      <c r="K33" s="18"/>
      <c r="L33" s="18"/>
    </row>
    <row r="34" spans="2:12" ht="17">
      <c r="B34" s="8" t="s">
        <v>64</v>
      </c>
      <c r="C34" s="9" t="s">
        <v>65</v>
      </c>
      <c r="D34">
        <v>352</v>
      </c>
      <c r="E34" s="10">
        <f t="shared" si="0"/>
        <v>2.5672817445846402E-2</v>
      </c>
      <c r="H34" s="18"/>
      <c r="I34" s="18"/>
      <c r="J34" s="18"/>
      <c r="K34" s="18"/>
      <c r="L34" s="18"/>
    </row>
    <row r="35" spans="2:12" ht="17">
      <c r="B35" s="8" t="s">
        <v>66</v>
      </c>
      <c r="C35" s="9" t="s">
        <v>67</v>
      </c>
      <c r="D35">
        <v>1241</v>
      </c>
      <c r="E35" s="10">
        <f t="shared" si="0"/>
        <v>9.0511268324702798E-2</v>
      </c>
      <c r="H35" s="18"/>
      <c r="I35" s="18"/>
      <c r="J35" s="18"/>
      <c r="K35" s="18"/>
      <c r="L35" s="18"/>
    </row>
    <row r="36" spans="2:12" ht="17">
      <c r="B36" s="8" t="s">
        <v>68</v>
      </c>
      <c r="C36" s="9" t="s">
        <v>69</v>
      </c>
      <c r="D36">
        <v>0</v>
      </c>
      <c r="E36" s="10">
        <f t="shared" si="0"/>
        <v>0</v>
      </c>
      <c r="H36" s="18"/>
      <c r="I36" s="18"/>
      <c r="J36" s="18"/>
      <c r="K36" s="18"/>
      <c r="L36" s="18"/>
    </row>
    <row r="37" spans="2:12" ht="17">
      <c r="B37" s="8" t="s">
        <v>70</v>
      </c>
      <c r="C37" s="9" t="s">
        <v>71</v>
      </c>
      <c r="D37">
        <v>29</v>
      </c>
      <c r="E37" s="10">
        <f t="shared" si="0"/>
        <v>2.115090073663482E-3</v>
      </c>
      <c r="H37" s="18"/>
      <c r="I37" s="18"/>
      <c r="J37" s="18"/>
      <c r="K37" s="18"/>
      <c r="L37" s="18"/>
    </row>
    <row r="38" spans="2:12" ht="17">
      <c r="B38" s="8" t="s">
        <v>72</v>
      </c>
      <c r="C38" s="9" t="s">
        <v>73</v>
      </c>
      <c r="D38">
        <v>0</v>
      </c>
      <c r="E38" s="10">
        <f t="shared" si="0"/>
        <v>0</v>
      </c>
      <c r="H38" s="18"/>
      <c r="I38" s="18"/>
      <c r="J38" s="18"/>
      <c r="K38" s="18"/>
      <c r="L38" s="18"/>
    </row>
    <row r="39" spans="2:12" ht="17">
      <c r="B39" s="8" t="s">
        <v>74</v>
      </c>
      <c r="C39" s="9" t="s">
        <v>75</v>
      </c>
      <c r="D39">
        <v>133</v>
      </c>
      <c r="E39" s="10">
        <f t="shared" si="0"/>
        <v>9.7002406826635548E-3</v>
      </c>
      <c r="H39" s="18"/>
      <c r="I39" s="18"/>
      <c r="J39" s="18"/>
      <c r="K39" s="18"/>
      <c r="L39" s="18"/>
    </row>
    <row r="40" spans="2:12" ht="17">
      <c r="B40" s="8" t="s">
        <v>76</v>
      </c>
      <c r="C40" s="9" t="s">
        <v>77</v>
      </c>
      <c r="D40">
        <v>0</v>
      </c>
      <c r="E40" s="10">
        <f t="shared" si="0"/>
        <v>0</v>
      </c>
      <c r="H40" s="18"/>
      <c r="I40" s="18"/>
      <c r="J40" s="18"/>
      <c r="K40" s="18"/>
      <c r="L40" s="18"/>
    </row>
    <row r="41" spans="2:12" ht="17">
      <c r="B41" s="8" t="s">
        <v>78</v>
      </c>
      <c r="C41" s="9" t="s">
        <v>79</v>
      </c>
      <c r="D41">
        <v>0</v>
      </c>
      <c r="E41" s="10">
        <f t="shared" si="0"/>
        <v>0</v>
      </c>
      <c r="H41" s="18"/>
      <c r="J41" s="18"/>
      <c r="K41" s="18"/>
      <c r="L41" s="18"/>
    </row>
    <row r="42" spans="2:12" ht="17">
      <c r="B42" s="8" t="s">
        <v>80</v>
      </c>
      <c r="C42" s="9" t="s">
        <v>81</v>
      </c>
      <c r="D42">
        <v>74</v>
      </c>
      <c r="E42" s="10">
        <f t="shared" si="0"/>
        <v>5.3971263948654367E-3</v>
      </c>
      <c r="H42" s="18"/>
      <c r="I42" s="18"/>
      <c r="J42" s="18"/>
      <c r="K42" s="18"/>
      <c r="L42" s="18"/>
    </row>
    <row r="43" spans="2:12" ht="17">
      <c r="B43" s="8" t="s">
        <v>82</v>
      </c>
      <c r="C43" s="9" t="s">
        <v>83</v>
      </c>
      <c r="D43">
        <v>0</v>
      </c>
      <c r="E43" s="10">
        <f t="shared" si="0"/>
        <v>0</v>
      </c>
      <c r="H43" s="18"/>
      <c r="I43" s="18"/>
      <c r="J43" s="18"/>
      <c r="K43" s="18"/>
      <c r="L43" s="18"/>
    </row>
    <row r="44" spans="2:12" ht="17">
      <c r="B44" s="8" t="s">
        <v>84</v>
      </c>
      <c r="C44" s="9" t="s">
        <v>85</v>
      </c>
      <c r="D44">
        <v>350</v>
      </c>
      <c r="E44" s="10">
        <f t="shared" si="0"/>
        <v>2.5526949164904091E-2</v>
      </c>
      <c r="H44" s="18"/>
      <c r="I44" s="18"/>
      <c r="J44" s="18"/>
      <c r="K44" s="18"/>
      <c r="L44" s="18"/>
    </row>
    <row r="45" spans="2:12" ht="17">
      <c r="B45" s="8" t="s">
        <v>86</v>
      </c>
      <c r="C45" s="9" t="s">
        <v>87</v>
      </c>
      <c r="D45">
        <v>1200</v>
      </c>
      <c r="E45" s="10">
        <f t="shared" si="0"/>
        <v>8.7520968565385451E-2</v>
      </c>
      <c r="H45" s="18"/>
      <c r="I45" s="18"/>
      <c r="J45" s="18"/>
      <c r="K45" s="18"/>
      <c r="L45" s="18"/>
    </row>
    <row r="46" spans="2:12" ht="17">
      <c r="B46" s="8" t="s">
        <v>88</v>
      </c>
      <c r="C46" s="9" t="s">
        <v>89</v>
      </c>
      <c r="D46">
        <v>7</v>
      </c>
      <c r="E46" s="10">
        <f t="shared" si="0"/>
        <v>5.1053898329808179E-4</v>
      </c>
      <c r="H46" s="18"/>
      <c r="I46" s="18"/>
      <c r="J46" s="18"/>
      <c r="K46" s="18"/>
      <c r="L46" s="18"/>
    </row>
    <row r="47" spans="2:12" ht="17">
      <c r="B47" s="8" t="s">
        <v>90</v>
      </c>
      <c r="C47" s="9" t="s">
        <v>91</v>
      </c>
      <c r="D47">
        <v>0</v>
      </c>
      <c r="E47" s="10">
        <f t="shared" si="0"/>
        <v>0</v>
      </c>
      <c r="H47" s="18"/>
      <c r="I47" s="18"/>
      <c r="J47" s="18"/>
      <c r="K47" s="18"/>
      <c r="L47" s="18"/>
    </row>
    <row r="48" spans="2:12" ht="17">
      <c r="B48" s="8" t="s">
        <v>92</v>
      </c>
      <c r="C48" s="9" t="s">
        <v>93</v>
      </c>
      <c r="D48">
        <v>187</v>
      </c>
      <c r="E48" s="10">
        <f t="shared" si="0"/>
        <v>1.36386842681059E-2</v>
      </c>
      <c r="H48" s="18"/>
      <c r="I48" s="18"/>
      <c r="J48" s="18"/>
      <c r="K48" s="18"/>
      <c r="L48" s="18"/>
    </row>
    <row r="49" spans="2:12" ht="17">
      <c r="B49" s="8" t="s">
        <v>94</v>
      </c>
      <c r="C49" s="9" t="s">
        <v>95</v>
      </c>
      <c r="D49">
        <v>0</v>
      </c>
      <c r="E49" s="10">
        <f t="shared" si="0"/>
        <v>0</v>
      </c>
      <c r="H49" s="18"/>
      <c r="I49" s="18"/>
      <c r="J49" s="18"/>
      <c r="K49" s="18"/>
      <c r="L49" s="18"/>
    </row>
    <row r="50" spans="2:12" ht="17">
      <c r="B50" s="8" t="s">
        <v>96</v>
      </c>
      <c r="C50" s="9" t="s">
        <v>97</v>
      </c>
      <c r="D50">
        <v>0</v>
      </c>
      <c r="E50" s="10">
        <f t="shared" si="0"/>
        <v>0</v>
      </c>
      <c r="H50" s="18"/>
      <c r="J50" s="18"/>
      <c r="K50" s="18"/>
      <c r="L50" s="18"/>
    </row>
    <row r="51" spans="2:12" ht="17">
      <c r="B51" s="8" t="s">
        <v>98</v>
      </c>
      <c r="C51" s="9" t="s">
        <v>99</v>
      </c>
      <c r="D51">
        <v>675</v>
      </c>
      <c r="E51" s="10">
        <f t="shared" si="0"/>
        <v>4.9230544818029319E-2</v>
      </c>
      <c r="H51" s="18"/>
      <c r="I51" s="18"/>
      <c r="J51" s="18"/>
      <c r="K51" s="18"/>
      <c r="L51" s="18"/>
    </row>
    <row r="52" spans="2:12" ht="17">
      <c r="B52" s="8" t="s">
        <v>100</v>
      </c>
      <c r="C52" s="9" t="s">
        <v>101</v>
      </c>
      <c r="D52">
        <v>0</v>
      </c>
      <c r="E52" s="10">
        <f t="shared" si="0"/>
        <v>0</v>
      </c>
      <c r="H52" s="18"/>
      <c r="I52" s="18"/>
      <c r="J52" s="18"/>
      <c r="K52" s="18"/>
      <c r="L52" s="18"/>
    </row>
    <row r="53" spans="2:12" ht="17">
      <c r="B53" s="11" t="s">
        <v>102</v>
      </c>
      <c r="C53" s="12" t="s">
        <v>103</v>
      </c>
      <c r="D53" s="13">
        <v>13711</v>
      </c>
      <c r="E53" s="14">
        <f t="shared" si="0"/>
        <v>1</v>
      </c>
      <c r="H53" s="18"/>
      <c r="I53" s="18"/>
      <c r="J53" s="18"/>
      <c r="K53" s="18"/>
      <c r="L53" s="18"/>
    </row>
    <row r="54" spans="2:12">
      <c r="H54" s="18"/>
      <c r="I54" s="18"/>
      <c r="J54" s="18"/>
      <c r="K54" s="18"/>
      <c r="L54" s="18"/>
    </row>
    <row r="55" spans="2:12">
      <c r="H55" s="18"/>
      <c r="I55" s="18"/>
      <c r="J55" s="18"/>
      <c r="K55" s="18"/>
      <c r="L55" s="18"/>
    </row>
    <row r="56" spans="2:12">
      <c r="H56" s="18"/>
      <c r="I56" s="18"/>
      <c r="J56" s="18"/>
      <c r="K56" s="18"/>
      <c r="L56" s="18"/>
    </row>
    <row r="57" spans="2:12">
      <c r="H57" s="18"/>
      <c r="I57" s="18"/>
      <c r="J57" s="18"/>
      <c r="K57" s="18"/>
      <c r="L57" s="18"/>
    </row>
    <row r="58" spans="2:12">
      <c r="H58" s="18"/>
      <c r="J58" s="18"/>
      <c r="K58" s="18"/>
      <c r="L58" s="18"/>
    </row>
    <row r="59" spans="2:12">
      <c r="H59" s="18"/>
      <c r="I59" s="18"/>
      <c r="J59" s="18"/>
      <c r="K59" s="18"/>
      <c r="L59" s="18"/>
    </row>
    <row r="60" spans="2:12">
      <c r="H60" s="18"/>
      <c r="I60" s="18"/>
      <c r="J60" s="18"/>
      <c r="K60" s="18"/>
      <c r="L60" s="18"/>
    </row>
    <row r="61" spans="2:12">
      <c r="H61" s="18"/>
      <c r="J61" s="18"/>
      <c r="K61" s="18"/>
      <c r="L61" s="18"/>
    </row>
    <row r="62" spans="2:12">
      <c r="H62" s="18"/>
      <c r="I62" s="18"/>
      <c r="J62" s="18"/>
      <c r="K62" s="18"/>
      <c r="L62" s="18"/>
    </row>
    <row r="63" spans="2:12">
      <c r="H63" s="18"/>
      <c r="J63" s="18"/>
      <c r="K63" s="18"/>
      <c r="L63" s="18"/>
    </row>
    <row r="64" spans="2:12">
      <c r="H64" s="18"/>
      <c r="I64" s="18"/>
      <c r="J64" s="18"/>
      <c r="K64" s="18"/>
      <c r="L64" s="18"/>
    </row>
    <row r="65" spans="8:12">
      <c r="H65" s="18"/>
      <c r="J65" s="18"/>
      <c r="K65" s="18"/>
      <c r="L65" s="18"/>
    </row>
    <row r="66" spans="8:12">
      <c r="H66" s="18"/>
      <c r="J66" s="18"/>
      <c r="K66" s="18"/>
      <c r="L66" s="18"/>
    </row>
    <row r="67" spans="8:12">
      <c r="H67" s="18"/>
      <c r="J67" s="18"/>
      <c r="K67" s="18"/>
      <c r="L67" s="18"/>
    </row>
    <row r="68" spans="8:12">
      <c r="H68" s="18"/>
      <c r="J68" s="18"/>
      <c r="K68" s="18"/>
      <c r="L68" s="18"/>
    </row>
    <row r="69" spans="8:12">
      <c r="H69" s="18"/>
      <c r="J69" s="18"/>
      <c r="K69" s="18"/>
      <c r="L69" s="18"/>
    </row>
    <row r="70" spans="8:12">
      <c r="H70" s="18"/>
      <c r="J70" s="18"/>
      <c r="K70" s="18"/>
      <c r="L70" s="18"/>
    </row>
  </sheetData>
  <mergeCells count="1">
    <mergeCell ref="G7:M12"/>
  </mergeCells>
  <hyperlinks>
    <hyperlink ref="H5" r:id="rId1" location="tab=Tables" display="U.S. Bureau of Labor Statistics Quarterly Census of Employment and Wages" xr:uid="{800575A0-0B74-9344-8B61-42F0F637FC47}"/>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7AD0-3778-F64F-B91E-52FD64DDF0D9}">
  <dimension ref="A1:Z64"/>
  <sheetViews>
    <sheetView workbookViewId="0">
      <selection activeCell="G7" sqref="G7:M12"/>
    </sheetView>
  </sheetViews>
  <sheetFormatPr baseColWidth="10" defaultRowHeight="16"/>
  <cols>
    <col min="1" max="1" width="3.1640625" customWidth="1"/>
    <col min="2" max="2" width="23.5" customWidth="1"/>
    <col min="4" max="4" width="14" customWidth="1"/>
    <col min="5" max="5" width="16.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194</v>
      </c>
    </row>
    <row r="4" spans="1:26" ht="17">
      <c r="B4" s="4" t="s">
        <v>2</v>
      </c>
      <c r="C4" s="5" t="s">
        <v>3</v>
      </c>
      <c r="D4" s="6" t="s">
        <v>104</v>
      </c>
      <c r="E4" s="7" t="s">
        <v>5</v>
      </c>
      <c r="G4" s="15" t="s">
        <v>106</v>
      </c>
      <c r="H4" t="s">
        <v>196</v>
      </c>
    </row>
    <row r="5" spans="1:26" ht="17">
      <c r="B5" s="8" t="s">
        <v>6</v>
      </c>
      <c r="C5" s="9" t="s">
        <v>7</v>
      </c>
      <c r="D5">
        <v>34511900</v>
      </c>
      <c r="E5" s="10">
        <f>D5/D$53</f>
        <v>7.9226004339887383E-4</v>
      </c>
      <c r="G5" s="15" t="s">
        <v>105</v>
      </c>
      <c r="H5" s="17" t="s">
        <v>195</v>
      </c>
    </row>
    <row r="6" spans="1:26" ht="17" customHeight="1">
      <c r="B6" s="8" t="s">
        <v>8</v>
      </c>
      <c r="C6" s="9" t="s">
        <v>9</v>
      </c>
      <c r="D6">
        <v>36583310</v>
      </c>
      <c r="E6" s="10">
        <f t="shared" ref="E6:E53" si="0">D6/D$53</f>
        <v>8.3981162347695885E-4</v>
      </c>
      <c r="G6" s="15"/>
    </row>
    <row r="7" spans="1:26" ht="17" customHeight="1">
      <c r="B7" s="8" t="s">
        <v>10</v>
      </c>
      <c r="C7" s="9" t="s">
        <v>11</v>
      </c>
      <c r="D7">
        <v>55775060</v>
      </c>
      <c r="E7" s="10">
        <f t="shared" si="0"/>
        <v>1.2803801429702448E-3</v>
      </c>
      <c r="G7" s="38" t="s">
        <v>197</v>
      </c>
      <c r="H7" s="38"/>
      <c r="I7" s="38"/>
      <c r="J7" s="38"/>
      <c r="K7" s="38"/>
      <c r="L7" s="38"/>
      <c r="M7" s="38"/>
    </row>
    <row r="8" spans="1:26" ht="17" customHeight="1">
      <c r="B8" s="8" t="s">
        <v>12</v>
      </c>
      <c r="C8" s="9" t="s">
        <v>13</v>
      </c>
      <c r="D8">
        <v>305229700</v>
      </c>
      <c r="E8" s="10">
        <f t="shared" si="0"/>
        <v>7.0068960378485467E-3</v>
      </c>
      <c r="G8" s="38"/>
      <c r="H8" s="38"/>
      <c r="I8" s="38"/>
      <c r="J8" s="38"/>
      <c r="K8" s="38"/>
      <c r="L8" s="38"/>
      <c r="M8" s="38"/>
    </row>
    <row r="9" spans="1:26" ht="17" customHeight="1">
      <c r="B9" s="8" t="s">
        <v>14</v>
      </c>
      <c r="C9" s="9" t="s">
        <v>15</v>
      </c>
      <c r="D9">
        <v>84998080</v>
      </c>
      <c r="E9" s="10">
        <f t="shared" si="0"/>
        <v>1.9512279112312261E-3</v>
      </c>
      <c r="G9" s="38"/>
      <c r="H9" s="38"/>
      <c r="I9" s="38"/>
      <c r="J9" s="38"/>
      <c r="K9" s="38"/>
      <c r="L9" s="38"/>
      <c r="M9" s="38"/>
    </row>
    <row r="10" spans="1:26" ht="17" customHeight="1">
      <c r="B10" s="8" t="s">
        <v>16</v>
      </c>
      <c r="C10" s="9" t="s">
        <v>17</v>
      </c>
      <c r="D10">
        <v>947380100</v>
      </c>
      <c r="E10" s="10">
        <f t="shared" si="0"/>
        <v>2.174819117873051E-2</v>
      </c>
      <c r="G10" s="38"/>
      <c r="H10" s="38"/>
      <c r="I10" s="38"/>
      <c r="J10" s="38"/>
      <c r="K10" s="38"/>
      <c r="L10" s="38"/>
      <c r="M10" s="38"/>
    </row>
    <row r="11" spans="1:26" ht="17" customHeight="1">
      <c r="B11" s="8" t="s">
        <v>18</v>
      </c>
      <c r="C11" s="9" t="s">
        <v>19</v>
      </c>
      <c r="D11">
        <v>116157200</v>
      </c>
      <c r="E11" s="10">
        <f t="shared" si="0"/>
        <v>2.6665210641283635E-3</v>
      </c>
      <c r="G11" s="38"/>
      <c r="H11" s="38"/>
      <c r="I11" s="38"/>
      <c r="J11" s="38"/>
      <c r="K11" s="38"/>
      <c r="L11" s="38"/>
      <c r="M11" s="38"/>
    </row>
    <row r="12" spans="1:26" ht="17" customHeight="1">
      <c r="B12" s="8" t="s">
        <v>20</v>
      </c>
      <c r="C12" s="9" t="s">
        <v>21</v>
      </c>
      <c r="D12">
        <v>96663780</v>
      </c>
      <c r="E12" s="10">
        <f t="shared" si="0"/>
        <v>2.2190273655724314E-3</v>
      </c>
      <c r="G12" s="38"/>
      <c r="H12" s="38"/>
      <c r="I12" s="38"/>
      <c r="J12" s="38"/>
      <c r="K12" s="38"/>
      <c r="L12" s="38"/>
      <c r="M12" s="38"/>
    </row>
    <row r="13" spans="1:26" ht="17" customHeight="1">
      <c r="B13" s="8" t="s">
        <v>22</v>
      </c>
      <c r="C13" s="9" t="s">
        <v>23</v>
      </c>
      <c r="D13">
        <v>68204500</v>
      </c>
      <c r="E13" s="10">
        <f t="shared" si="0"/>
        <v>1.5657121204569581E-3</v>
      </c>
      <c r="H13" s="16"/>
      <c r="I13" s="16"/>
    </row>
    <row r="14" spans="1:26" ht="17">
      <c r="B14" s="8" t="s">
        <v>24</v>
      </c>
      <c r="C14" s="9" t="s">
        <v>25</v>
      </c>
      <c r="D14">
        <v>101487800</v>
      </c>
      <c r="E14" s="10">
        <f t="shared" si="0"/>
        <v>2.3297682489940058E-3</v>
      </c>
      <c r="H14" s="16"/>
      <c r="I14" s="16"/>
    </row>
    <row r="15" spans="1:26" ht="17">
      <c r="B15" s="8" t="s">
        <v>26</v>
      </c>
      <c r="C15" s="9" t="s">
        <v>27</v>
      </c>
      <c r="D15">
        <v>3492461000</v>
      </c>
      <c r="E15" s="10">
        <f t="shared" si="0"/>
        <v>8.0173427236080147E-2</v>
      </c>
      <c r="H15" s="16"/>
      <c r="I15" s="16"/>
    </row>
    <row r="16" spans="1:26" ht="17">
      <c r="B16" s="8" t="s">
        <v>28</v>
      </c>
      <c r="C16" s="9" t="s">
        <v>29</v>
      </c>
      <c r="D16">
        <v>1132589000</v>
      </c>
      <c r="E16" s="10">
        <f t="shared" si="0"/>
        <v>2.5999872805991184E-2</v>
      </c>
      <c r="H16" s="16"/>
      <c r="I16" s="16"/>
    </row>
    <row r="17" spans="2:13" ht="17">
      <c r="B17" s="8" t="s">
        <v>30</v>
      </c>
      <c r="C17" s="9" t="s">
        <v>31</v>
      </c>
      <c r="D17">
        <v>763229000</v>
      </c>
      <c r="E17" s="10">
        <f t="shared" si="0"/>
        <v>1.7520792557444795E-2</v>
      </c>
    </row>
    <row r="18" spans="2:13" ht="17">
      <c r="B18" s="8" t="s">
        <v>32</v>
      </c>
      <c r="C18" s="9" t="s">
        <v>33</v>
      </c>
      <c r="D18">
        <v>739748400</v>
      </c>
      <c r="E18" s="10">
        <f t="shared" si="0"/>
        <v>1.6981768592521637E-2</v>
      </c>
    </row>
    <row r="19" spans="2:13" ht="17">
      <c r="B19" s="8" t="s">
        <v>34</v>
      </c>
      <c r="C19" s="9" t="s">
        <v>35</v>
      </c>
      <c r="D19">
        <v>1422581000</v>
      </c>
      <c r="E19" s="10">
        <f t="shared" si="0"/>
        <v>3.2656970053761551E-2</v>
      </c>
    </row>
    <row r="20" spans="2:13" ht="17">
      <c r="B20" s="8" t="s">
        <v>36</v>
      </c>
      <c r="C20" s="9" t="s">
        <v>37</v>
      </c>
      <c r="D20">
        <v>34884170</v>
      </c>
      <c r="E20" s="10">
        <f t="shared" si="0"/>
        <v>8.0080592601779947E-4</v>
      </c>
      <c r="H20" s="29"/>
      <c r="I20" s="30"/>
      <c r="J20" s="30"/>
      <c r="K20" s="30"/>
      <c r="L20" s="28"/>
      <c r="M20" s="28"/>
    </row>
    <row r="21" spans="2:13" ht="17">
      <c r="B21" s="8" t="s">
        <v>38</v>
      </c>
      <c r="C21" s="9" t="s">
        <v>39</v>
      </c>
      <c r="D21">
        <v>273099000</v>
      </c>
      <c r="E21" s="10">
        <f t="shared" si="0"/>
        <v>6.2692991574555164E-3</v>
      </c>
      <c r="H21" s="28"/>
      <c r="I21" s="29"/>
      <c r="J21" s="29"/>
      <c r="K21" s="29"/>
      <c r="L21" s="28"/>
      <c r="M21" s="28"/>
    </row>
    <row r="22" spans="2:13" ht="17">
      <c r="B22" s="8" t="s">
        <v>40</v>
      </c>
      <c r="C22" s="9" t="s">
        <v>41</v>
      </c>
      <c r="D22">
        <v>1287494000</v>
      </c>
      <c r="E22" s="10">
        <f t="shared" si="0"/>
        <v>2.9555893831281085E-2</v>
      </c>
      <c r="H22" s="29"/>
      <c r="I22" s="29"/>
      <c r="J22" s="29"/>
      <c r="K22" s="29"/>
      <c r="L22" s="28"/>
      <c r="M22" s="28"/>
    </row>
    <row r="23" spans="2:13" ht="17">
      <c r="B23" s="8" t="s">
        <v>42</v>
      </c>
      <c r="C23" s="9" t="s">
        <v>43</v>
      </c>
      <c r="D23">
        <v>1114505000</v>
      </c>
      <c r="E23" s="10">
        <f t="shared" si="0"/>
        <v>2.5584733951716999E-2</v>
      </c>
      <c r="H23" s="28"/>
      <c r="I23" s="29"/>
      <c r="J23" s="29"/>
      <c r="K23" s="29"/>
      <c r="L23" s="28"/>
      <c r="M23" s="28"/>
    </row>
    <row r="24" spans="2:13" ht="17">
      <c r="B24" s="8" t="s">
        <v>44</v>
      </c>
      <c r="C24" s="9" t="s">
        <v>45</v>
      </c>
      <c r="D24">
        <v>3669256000</v>
      </c>
      <c r="E24" s="10">
        <f t="shared" si="0"/>
        <v>8.4231958188380765E-2</v>
      </c>
      <c r="H24" s="28"/>
      <c r="I24" s="29"/>
      <c r="J24" s="29"/>
      <c r="K24" s="29"/>
      <c r="L24" s="28"/>
      <c r="M24" s="28"/>
    </row>
    <row r="25" spans="2:13" ht="17">
      <c r="B25" s="8" t="s">
        <v>46</v>
      </c>
      <c r="C25" s="9" t="s">
        <v>47</v>
      </c>
      <c r="D25">
        <v>1375542000</v>
      </c>
      <c r="E25" s="10">
        <f t="shared" si="0"/>
        <v>3.1577136136143581E-2</v>
      </c>
      <c r="H25" s="29"/>
      <c r="I25" s="29"/>
      <c r="J25" s="29"/>
      <c r="K25" s="29"/>
      <c r="L25" s="28"/>
      <c r="M25" s="28"/>
    </row>
    <row r="26" spans="2:13" ht="17">
      <c r="B26" s="8" t="s">
        <v>48</v>
      </c>
      <c r="C26" s="9" t="s">
        <v>49</v>
      </c>
      <c r="D26">
        <v>25475650</v>
      </c>
      <c r="E26" s="10">
        <f t="shared" si="0"/>
        <v>5.8482261407266829E-4</v>
      </c>
      <c r="H26" s="28"/>
      <c r="I26" s="18"/>
      <c r="J26" s="29"/>
      <c r="K26" s="29"/>
      <c r="L26" s="28"/>
      <c r="M26" s="28"/>
    </row>
    <row r="27" spans="2:13" ht="17">
      <c r="B27" s="8" t="s">
        <v>50</v>
      </c>
      <c r="C27" s="9" t="s">
        <v>51</v>
      </c>
      <c r="D27">
        <v>854463900</v>
      </c>
      <c r="E27" s="10">
        <f t="shared" si="0"/>
        <v>1.9615193788136004E-2</v>
      </c>
      <c r="H27" s="28"/>
      <c r="I27" s="29"/>
      <c r="J27" s="29"/>
      <c r="K27" s="29"/>
      <c r="L27" s="28"/>
      <c r="M27" s="28"/>
    </row>
    <row r="28" spans="2:13" ht="17">
      <c r="B28" s="8" t="s">
        <v>52</v>
      </c>
      <c r="C28" s="9" t="s">
        <v>53</v>
      </c>
      <c r="D28">
        <v>13976700</v>
      </c>
      <c r="E28" s="10">
        <f t="shared" si="0"/>
        <v>3.208510962471797E-4</v>
      </c>
      <c r="H28" s="28"/>
      <c r="I28" s="29"/>
      <c r="J28" s="29"/>
      <c r="K28" s="29"/>
      <c r="L28" s="28"/>
      <c r="M28" s="28"/>
    </row>
    <row r="29" spans="2:13" ht="17">
      <c r="B29" s="8" t="s">
        <v>54</v>
      </c>
      <c r="C29" s="9" t="s">
        <v>55</v>
      </c>
      <c r="D29">
        <v>182563300</v>
      </c>
      <c r="E29" s="10">
        <f t="shared" si="0"/>
        <v>4.1909488605681409E-3</v>
      </c>
      <c r="H29" s="29"/>
      <c r="I29" s="29"/>
      <c r="J29" s="29"/>
      <c r="K29" s="29"/>
      <c r="L29" s="28"/>
      <c r="M29" s="28"/>
    </row>
    <row r="30" spans="2:13" ht="17">
      <c r="B30" s="8" t="s">
        <v>56</v>
      </c>
      <c r="C30" s="9" t="s">
        <v>57</v>
      </c>
      <c r="D30">
        <v>39242260</v>
      </c>
      <c r="E30" s="10">
        <f t="shared" si="0"/>
        <v>9.0085085465216026E-4</v>
      </c>
      <c r="H30" s="29"/>
      <c r="I30" s="29"/>
      <c r="J30" s="29"/>
      <c r="K30" s="29"/>
      <c r="L30" s="28"/>
      <c r="M30" s="28"/>
    </row>
    <row r="31" spans="2:13" ht="17">
      <c r="B31" s="8" t="s">
        <v>58</v>
      </c>
      <c r="C31" s="9" t="s">
        <v>59</v>
      </c>
      <c r="D31">
        <v>324586800</v>
      </c>
      <c r="E31" s="10">
        <f t="shared" si="0"/>
        <v>7.4512603552601159E-3</v>
      </c>
      <c r="H31" s="29"/>
      <c r="I31" s="29"/>
      <c r="J31" s="29"/>
      <c r="K31" s="29"/>
      <c r="L31" s="28"/>
      <c r="M31" s="28"/>
    </row>
    <row r="32" spans="2:13" ht="17">
      <c r="B32" s="8" t="s">
        <v>60</v>
      </c>
      <c r="C32" s="9" t="s">
        <v>61</v>
      </c>
      <c r="D32">
        <v>1757139000</v>
      </c>
      <c r="E32" s="10">
        <f t="shared" si="0"/>
        <v>4.0337130682398067E-2</v>
      </c>
      <c r="H32" s="28"/>
      <c r="I32" s="29"/>
      <c r="J32" s="29"/>
      <c r="K32" s="29"/>
      <c r="L32" s="28"/>
      <c r="M32" s="28"/>
    </row>
    <row r="33" spans="2:13" ht="17">
      <c r="B33" s="8" t="s">
        <v>62</v>
      </c>
      <c r="C33" s="9" t="s">
        <v>63</v>
      </c>
      <c r="D33">
        <v>66008920</v>
      </c>
      <c r="E33" s="10">
        <f t="shared" si="0"/>
        <v>1.5153100763479494E-3</v>
      </c>
      <c r="H33" s="29"/>
      <c r="I33" s="29"/>
      <c r="J33" s="29"/>
      <c r="K33" s="29"/>
      <c r="L33" s="28"/>
      <c r="M33" s="28"/>
    </row>
    <row r="34" spans="2:13" ht="17">
      <c r="B34" s="8" t="s">
        <v>64</v>
      </c>
      <c r="C34" s="9" t="s">
        <v>65</v>
      </c>
      <c r="D34">
        <v>6979903000</v>
      </c>
      <c r="E34" s="10">
        <f t="shared" si="0"/>
        <v>0.16023163760036191</v>
      </c>
      <c r="H34" s="28"/>
      <c r="I34" s="29"/>
      <c r="J34" s="28"/>
      <c r="K34" s="29"/>
      <c r="L34" s="28"/>
      <c r="M34" s="28"/>
    </row>
    <row r="35" spans="2:13" ht="17">
      <c r="B35" s="8" t="s">
        <v>66</v>
      </c>
      <c r="C35" s="9" t="s">
        <v>67</v>
      </c>
      <c r="D35">
        <v>176208300</v>
      </c>
      <c r="E35" s="10">
        <f t="shared" si="0"/>
        <v>4.0450625843619671E-3</v>
      </c>
      <c r="H35" s="29"/>
      <c r="I35" s="29"/>
      <c r="J35" s="29"/>
      <c r="K35" s="29"/>
      <c r="L35" s="28"/>
      <c r="M35" s="28"/>
    </row>
    <row r="36" spans="2:13" ht="17">
      <c r="B36" s="8" t="s">
        <v>68</v>
      </c>
      <c r="C36" s="9" t="s">
        <v>69</v>
      </c>
      <c r="D36">
        <v>10381350</v>
      </c>
      <c r="E36" s="10">
        <f t="shared" si="0"/>
        <v>2.3831573461730298E-4</v>
      </c>
      <c r="H36" s="28"/>
      <c r="I36" s="29"/>
      <c r="J36" s="29"/>
      <c r="K36" s="29"/>
      <c r="L36" s="28"/>
      <c r="M36" s="28"/>
    </row>
    <row r="37" spans="2:13" ht="17">
      <c r="B37" s="8" t="s">
        <v>70</v>
      </c>
      <c r="C37" s="9" t="s">
        <v>71</v>
      </c>
      <c r="D37">
        <v>4976425000</v>
      </c>
      <c r="E37" s="10">
        <f t="shared" si="0"/>
        <v>0.11423951409430488</v>
      </c>
      <c r="H37" s="28"/>
      <c r="I37" s="29"/>
      <c r="J37" s="29"/>
      <c r="K37" s="29"/>
      <c r="L37" s="28"/>
      <c r="M37" s="28"/>
    </row>
    <row r="38" spans="2:13" ht="17">
      <c r="B38" s="8" t="s">
        <v>72</v>
      </c>
      <c r="C38" s="9" t="s">
        <v>73</v>
      </c>
      <c r="D38">
        <v>70601590</v>
      </c>
      <c r="E38" s="10">
        <f t="shared" si="0"/>
        <v>1.6207400565436704E-3</v>
      </c>
      <c r="H38" s="29"/>
      <c r="I38" s="29"/>
      <c r="J38" s="29"/>
      <c r="K38" s="29"/>
      <c r="L38" s="28"/>
      <c r="M38" s="28"/>
    </row>
    <row r="39" spans="2:13" ht="17">
      <c r="B39" s="8" t="s">
        <v>74</v>
      </c>
      <c r="C39" s="9" t="s">
        <v>75</v>
      </c>
      <c r="D39">
        <v>32822710</v>
      </c>
      <c r="E39" s="10">
        <f t="shared" si="0"/>
        <v>7.5348275954290121E-4</v>
      </c>
      <c r="H39" s="29"/>
      <c r="I39" s="29"/>
      <c r="J39" s="29"/>
      <c r="K39" s="29"/>
      <c r="L39" s="28"/>
      <c r="M39" s="28"/>
    </row>
    <row r="40" spans="2:13" ht="17">
      <c r="B40" s="8" t="s">
        <v>76</v>
      </c>
      <c r="C40" s="9" t="s">
        <v>77</v>
      </c>
      <c r="D40">
        <v>4488040000</v>
      </c>
      <c r="E40" s="10">
        <f t="shared" si="0"/>
        <v>0.10302807916040212</v>
      </c>
      <c r="H40" s="29"/>
      <c r="I40" s="29"/>
      <c r="J40" s="29"/>
      <c r="K40" s="29"/>
      <c r="L40" s="28"/>
      <c r="M40" s="28"/>
    </row>
    <row r="41" spans="2:13" ht="17">
      <c r="B41" s="8" t="s">
        <v>78</v>
      </c>
      <c r="C41" s="9" t="s">
        <v>79</v>
      </c>
      <c r="D41">
        <v>328232200</v>
      </c>
      <c r="E41" s="10">
        <f t="shared" si="0"/>
        <v>7.5349446717482326E-3</v>
      </c>
      <c r="H41" s="29"/>
      <c r="I41" s="29"/>
      <c r="J41" s="29"/>
      <c r="K41" s="29"/>
      <c r="L41" s="28"/>
      <c r="M41" s="28"/>
    </row>
    <row r="42" spans="2:13" ht="17">
      <c r="B42" s="8" t="s">
        <v>80</v>
      </c>
      <c r="C42" s="9" t="s">
        <v>81</v>
      </c>
      <c r="D42">
        <v>17848750</v>
      </c>
      <c r="E42" s="10">
        <f t="shared" si="0"/>
        <v>4.0973842209833853E-4</v>
      </c>
      <c r="H42" s="28"/>
      <c r="I42" s="29"/>
      <c r="J42" s="29"/>
      <c r="K42" s="29"/>
      <c r="L42" s="28"/>
      <c r="M42" s="28"/>
    </row>
    <row r="43" spans="2:13" ht="17">
      <c r="B43" s="8" t="s">
        <v>82</v>
      </c>
      <c r="C43" s="9" t="s">
        <v>83</v>
      </c>
      <c r="D43">
        <v>132842600</v>
      </c>
      <c r="E43" s="10">
        <f t="shared" si="0"/>
        <v>3.0495534595666781E-3</v>
      </c>
      <c r="H43" s="28"/>
      <c r="I43" s="29"/>
      <c r="J43" s="29"/>
      <c r="K43" s="29"/>
      <c r="L43" s="28"/>
      <c r="M43" s="28"/>
    </row>
    <row r="44" spans="2:13" ht="17">
      <c r="B44" s="8" t="s">
        <v>84</v>
      </c>
      <c r="C44" s="9" t="s">
        <v>85</v>
      </c>
      <c r="D44">
        <v>381993600</v>
      </c>
      <c r="E44" s="10">
        <f t="shared" si="0"/>
        <v>8.769098951784517E-3</v>
      </c>
    </row>
    <row r="45" spans="2:13" ht="17">
      <c r="B45" s="8" t="s">
        <v>86</v>
      </c>
      <c r="C45" s="9" t="s">
        <v>87</v>
      </c>
      <c r="D45">
        <v>120771700</v>
      </c>
      <c r="E45" s="10">
        <f t="shared" si="0"/>
        <v>2.7724521768826339E-3</v>
      </c>
    </row>
    <row r="46" spans="2:13" ht="17">
      <c r="B46" s="8" t="s">
        <v>88</v>
      </c>
      <c r="C46" s="9" t="s">
        <v>89</v>
      </c>
      <c r="D46">
        <v>190016100</v>
      </c>
      <c r="E46" s="10">
        <f t="shared" si="0"/>
        <v>4.3620363883902294E-3</v>
      </c>
    </row>
    <row r="47" spans="2:13" ht="17">
      <c r="B47" s="8" t="s">
        <v>90</v>
      </c>
      <c r="C47" s="9" t="s">
        <v>91</v>
      </c>
      <c r="D47">
        <v>755216800</v>
      </c>
      <c r="E47" s="10">
        <f t="shared" si="0"/>
        <v>1.7336863364334001E-2</v>
      </c>
    </row>
    <row r="48" spans="2:13" ht="17">
      <c r="B48" s="8" t="s">
        <v>92</v>
      </c>
      <c r="C48" s="9" t="s">
        <v>93</v>
      </c>
      <c r="D48">
        <v>1001564000</v>
      </c>
      <c r="E48" s="10">
        <f t="shared" si="0"/>
        <v>2.2992044428349342E-2</v>
      </c>
    </row>
    <row r="49" spans="2:9" ht="17">
      <c r="B49" s="8" t="s">
        <v>94</v>
      </c>
      <c r="C49" s="9" t="s">
        <v>95</v>
      </c>
      <c r="D49">
        <v>108931600</v>
      </c>
      <c r="E49" s="10">
        <f t="shared" si="0"/>
        <v>2.5006491715468802E-3</v>
      </c>
    </row>
    <row r="50" spans="2:9" ht="17">
      <c r="B50" s="8" t="s">
        <v>96</v>
      </c>
      <c r="C50" s="9" t="s">
        <v>97</v>
      </c>
      <c r="D50">
        <v>521244200</v>
      </c>
      <c r="E50" s="10">
        <f t="shared" si="0"/>
        <v>1.1965755363031629E-2</v>
      </c>
    </row>
    <row r="51" spans="2:9" ht="17">
      <c r="B51" s="8" t="s">
        <v>98</v>
      </c>
      <c r="C51" s="9" t="s">
        <v>99</v>
      </c>
      <c r="D51">
        <v>2818577000</v>
      </c>
      <c r="E51" s="10">
        <f t="shared" si="0"/>
        <v>6.4703651098405701E-2</v>
      </c>
    </row>
    <row r="52" spans="2:9" ht="17">
      <c r="B52" s="8" t="s">
        <v>100</v>
      </c>
      <c r="C52" s="9" t="s">
        <v>101</v>
      </c>
      <c r="D52">
        <v>33871460</v>
      </c>
      <c r="E52" s="10">
        <f t="shared" si="0"/>
        <v>7.7755801244159899E-4</v>
      </c>
    </row>
    <row r="53" spans="2:9" ht="17">
      <c r="B53" s="11" t="s">
        <v>102</v>
      </c>
      <c r="C53" s="12" t="s">
        <v>103</v>
      </c>
      <c r="D53" s="13">
        <v>43561328490</v>
      </c>
      <c r="E53" s="14">
        <f t="shared" si="0"/>
        <v>1</v>
      </c>
    </row>
    <row r="55" spans="2:9">
      <c r="F55" s="32"/>
    </row>
    <row r="63" spans="2:9">
      <c r="I63" s="34"/>
    </row>
    <row r="64" spans="2:9">
      <c r="I64" s="34"/>
    </row>
  </sheetData>
  <mergeCells count="1">
    <mergeCell ref="G7:M12"/>
  </mergeCells>
  <hyperlinks>
    <hyperlink ref="H5" r:id="rId1" xr:uid="{1172D578-5088-7A43-B52D-C5CFF50E21D9}"/>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89DA-84ED-7645-98E5-B67279278B6D}">
  <dimension ref="A1:Z55"/>
  <sheetViews>
    <sheetView workbookViewId="0">
      <selection activeCell="L19" sqref="L19"/>
    </sheetView>
  </sheetViews>
  <sheetFormatPr baseColWidth="10" defaultRowHeight="16"/>
  <cols>
    <col min="1" max="1" width="3.1640625" customWidth="1"/>
    <col min="2" max="2" width="23.5" customWidth="1"/>
    <col min="4" max="4" width="14" customWidth="1"/>
    <col min="5" max="5" width="16.83203125" customWidth="1"/>
    <col min="10" max="10" width="11.6640625" bestFit="1"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0</v>
      </c>
      <c r="D2" s="3" t="s">
        <v>206</v>
      </c>
    </row>
    <row r="4" spans="1:26" ht="17">
      <c r="B4" s="4" t="s">
        <v>2</v>
      </c>
      <c r="C4" s="5" t="s">
        <v>3</v>
      </c>
      <c r="D4" s="6" t="s">
        <v>104</v>
      </c>
      <c r="E4" s="7" t="s">
        <v>5</v>
      </c>
      <c r="G4" s="15" t="s">
        <v>106</v>
      </c>
      <c r="H4" t="s">
        <v>207</v>
      </c>
    </row>
    <row r="5" spans="1:26" ht="17">
      <c r="B5" s="8" t="s">
        <v>6</v>
      </c>
      <c r="C5" s="9" t="s">
        <v>7</v>
      </c>
      <c r="D5">
        <v>0</v>
      </c>
      <c r="E5" s="10">
        <f>D5/D$53</f>
        <v>0</v>
      </c>
      <c r="G5" s="15" t="s">
        <v>105</v>
      </c>
      <c r="H5" s="17" t="s">
        <v>208</v>
      </c>
    </row>
    <row r="6" spans="1:26" ht="17" customHeight="1">
      <c r="B6" s="8" t="s">
        <v>8</v>
      </c>
      <c r="C6" s="9" t="s">
        <v>9</v>
      </c>
      <c r="D6">
        <v>0</v>
      </c>
      <c r="E6" s="10">
        <f t="shared" ref="E6:E53" si="0">D6/D$53</f>
        <v>0</v>
      </c>
      <c r="G6" s="15"/>
    </row>
    <row r="7" spans="1:26" ht="17" customHeight="1">
      <c r="B7" s="8" t="s">
        <v>10</v>
      </c>
      <c r="C7" s="9" t="s">
        <v>11</v>
      </c>
      <c r="D7">
        <v>0</v>
      </c>
      <c r="E7" s="10">
        <f t="shared" si="0"/>
        <v>0</v>
      </c>
      <c r="G7" s="38" t="s">
        <v>209</v>
      </c>
      <c r="H7" s="38"/>
      <c r="I7" s="38"/>
      <c r="J7" s="38"/>
      <c r="K7" s="38"/>
      <c r="L7" s="38"/>
      <c r="M7" s="38"/>
    </row>
    <row r="8" spans="1:26" ht="17" customHeight="1">
      <c r="B8" s="8" t="s">
        <v>12</v>
      </c>
      <c r="C8" s="9" t="s">
        <v>13</v>
      </c>
      <c r="D8">
        <v>0</v>
      </c>
      <c r="E8" s="10">
        <f t="shared" si="0"/>
        <v>0</v>
      </c>
      <c r="G8" s="38"/>
      <c r="H8" s="38"/>
      <c r="I8" s="38"/>
      <c r="J8" s="38"/>
      <c r="K8" s="38"/>
      <c r="L8" s="38"/>
      <c r="M8" s="38"/>
    </row>
    <row r="9" spans="1:26" ht="17" customHeight="1">
      <c r="B9" s="8" t="s">
        <v>14</v>
      </c>
      <c r="C9" s="9" t="s">
        <v>15</v>
      </c>
      <c r="D9">
        <v>0</v>
      </c>
      <c r="E9" s="10">
        <f t="shared" si="0"/>
        <v>0</v>
      </c>
      <c r="G9" s="38"/>
      <c r="H9" s="38"/>
      <c r="I9" s="38"/>
      <c r="J9" s="38"/>
      <c r="K9" s="38"/>
      <c r="L9" s="38"/>
      <c r="M9" s="38"/>
    </row>
    <row r="10" spans="1:26" ht="17" customHeight="1">
      <c r="B10" s="8" t="s">
        <v>16</v>
      </c>
      <c r="C10" s="9" t="s">
        <v>17</v>
      </c>
      <c r="D10">
        <v>0</v>
      </c>
      <c r="E10" s="10">
        <f t="shared" si="0"/>
        <v>0</v>
      </c>
      <c r="G10" s="38"/>
      <c r="H10" s="38"/>
      <c r="I10" s="38"/>
      <c r="J10" s="38"/>
      <c r="K10" s="38"/>
      <c r="L10" s="38"/>
      <c r="M10" s="38"/>
    </row>
    <row r="11" spans="1:26" ht="17" customHeight="1">
      <c r="B11" s="8" t="s">
        <v>18</v>
      </c>
      <c r="C11" s="9" t="s">
        <v>19</v>
      </c>
      <c r="D11">
        <v>0</v>
      </c>
      <c r="E11" s="10">
        <f t="shared" si="0"/>
        <v>0</v>
      </c>
      <c r="G11" s="38"/>
      <c r="H11" s="38"/>
      <c r="I11" s="38"/>
      <c r="J11" s="38"/>
      <c r="K11" s="38"/>
      <c r="L11" s="38"/>
      <c r="M11" s="38"/>
    </row>
    <row r="12" spans="1:26" ht="17" customHeight="1">
      <c r="B12" s="8" t="s">
        <v>20</v>
      </c>
      <c r="C12" s="9" t="s">
        <v>21</v>
      </c>
      <c r="D12">
        <v>0</v>
      </c>
      <c r="E12" s="10">
        <f t="shared" si="0"/>
        <v>0</v>
      </c>
      <c r="G12" s="38"/>
      <c r="H12" s="38"/>
      <c r="I12" s="38"/>
      <c r="J12" s="38"/>
      <c r="K12" s="38"/>
      <c r="L12" s="38"/>
      <c r="M12" s="38"/>
    </row>
    <row r="13" spans="1:26" ht="17" customHeight="1">
      <c r="B13" s="8" t="s">
        <v>22</v>
      </c>
      <c r="C13" s="9" t="s">
        <v>23</v>
      </c>
      <c r="D13">
        <v>0</v>
      </c>
      <c r="E13" s="10">
        <f t="shared" si="0"/>
        <v>0</v>
      </c>
      <c r="H13" s="16"/>
      <c r="I13" s="16"/>
      <c r="J13" s="16"/>
      <c r="K13" s="16"/>
      <c r="L13" s="16"/>
    </row>
    <row r="14" spans="1:26" ht="17">
      <c r="B14" s="8" t="s">
        <v>24</v>
      </c>
      <c r="C14" s="9" t="s">
        <v>25</v>
      </c>
      <c r="D14">
        <v>0</v>
      </c>
      <c r="E14" s="10">
        <f t="shared" si="0"/>
        <v>0</v>
      </c>
      <c r="H14" s="16"/>
      <c r="I14" s="16"/>
      <c r="J14" s="16"/>
      <c r="K14" s="16"/>
      <c r="L14" s="16"/>
    </row>
    <row r="15" spans="1:26" ht="17">
      <c r="B15" s="8" t="s">
        <v>26</v>
      </c>
      <c r="C15" s="9" t="s">
        <v>27</v>
      </c>
      <c r="D15">
        <v>0</v>
      </c>
      <c r="E15" s="10">
        <f t="shared" si="0"/>
        <v>0</v>
      </c>
      <c r="H15" s="16"/>
      <c r="I15" s="16"/>
      <c r="J15" s="16"/>
      <c r="K15" s="16"/>
      <c r="L15" s="16"/>
    </row>
    <row r="16" spans="1:26" ht="17">
      <c r="B16" s="8" t="s">
        <v>28</v>
      </c>
      <c r="C16" s="9" t="s">
        <v>29</v>
      </c>
      <c r="D16">
        <v>0</v>
      </c>
      <c r="E16" s="10">
        <f t="shared" si="0"/>
        <v>0</v>
      </c>
      <c r="H16" s="35"/>
      <c r="I16" s="16"/>
      <c r="J16" s="16"/>
      <c r="K16" s="16"/>
      <c r="L16" s="16"/>
    </row>
    <row r="17" spans="2:16" ht="17">
      <c r="B17" s="8" t="s">
        <v>30</v>
      </c>
      <c r="C17" s="9" t="s">
        <v>31</v>
      </c>
      <c r="D17">
        <v>0</v>
      </c>
      <c r="E17" s="10">
        <f t="shared" si="0"/>
        <v>0</v>
      </c>
      <c r="H17" s="36"/>
    </row>
    <row r="18" spans="2:16" ht="17">
      <c r="B18" s="8" t="s">
        <v>32</v>
      </c>
      <c r="C18" s="9" t="s">
        <v>33</v>
      </c>
      <c r="D18">
        <v>0</v>
      </c>
      <c r="E18" s="10">
        <f t="shared" si="0"/>
        <v>0</v>
      </c>
      <c r="H18" s="35"/>
    </row>
    <row r="19" spans="2:16" ht="17">
      <c r="B19" s="8" t="s">
        <v>34</v>
      </c>
      <c r="C19" s="9" t="s">
        <v>35</v>
      </c>
      <c r="D19">
        <v>0</v>
      </c>
      <c r="E19" s="10">
        <f t="shared" si="0"/>
        <v>0</v>
      </c>
      <c r="H19" s="35"/>
    </row>
    <row r="20" spans="2:16" ht="17">
      <c r="B20" s="8" t="s">
        <v>36</v>
      </c>
      <c r="C20" s="9" t="s">
        <v>37</v>
      </c>
      <c r="D20">
        <v>1700</v>
      </c>
      <c r="E20" s="10">
        <f t="shared" si="0"/>
        <v>1</v>
      </c>
      <c r="I20" s="28"/>
      <c r="J20" s="28"/>
      <c r="K20" s="29"/>
      <c r="L20" s="30"/>
      <c r="M20" s="30"/>
      <c r="N20" s="30"/>
      <c r="O20" s="28"/>
      <c r="P20" s="28"/>
    </row>
    <row r="21" spans="2:16" ht="17">
      <c r="B21" s="8" t="s">
        <v>38</v>
      </c>
      <c r="C21" s="9" t="s">
        <v>39</v>
      </c>
      <c r="D21">
        <v>0</v>
      </c>
      <c r="E21" s="10">
        <f t="shared" si="0"/>
        <v>0</v>
      </c>
      <c r="I21" s="28"/>
      <c r="J21" s="28"/>
      <c r="K21" s="28"/>
      <c r="L21" s="29"/>
      <c r="M21" s="29"/>
      <c r="N21" s="29"/>
      <c r="O21" s="28"/>
      <c r="P21" s="28"/>
    </row>
    <row r="22" spans="2:16" ht="17">
      <c r="B22" s="8" t="s">
        <v>40</v>
      </c>
      <c r="C22" s="9" t="s">
        <v>41</v>
      </c>
      <c r="D22">
        <v>0</v>
      </c>
      <c r="E22" s="10">
        <f t="shared" si="0"/>
        <v>0</v>
      </c>
      <c r="I22" s="28"/>
      <c r="J22" s="28"/>
      <c r="K22" s="29"/>
      <c r="L22" s="29"/>
      <c r="M22" s="29"/>
      <c r="N22" s="29"/>
      <c r="O22" s="28"/>
      <c r="P22" s="28"/>
    </row>
    <row r="23" spans="2:16" ht="17">
      <c r="B23" s="8" t="s">
        <v>42</v>
      </c>
      <c r="C23" s="9" t="s">
        <v>43</v>
      </c>
      <c r="D23">
        <v>0</v>
      </c>
      <c r="E23" s="10">
        <f t="shared" si="0"/>
        <v>0</v>
      </c>
      <c r="I23" s="28"/>
      <c r="J23" s="28"/>
      <c r="K23" s="28"/>
      <c r="L23" s="29"/>
      <c r="M23" s="29"/>
      <c r="N23" s="29"/>
      <c r="O23" s="28"/>
      <c r="P23" s="28"/>
    </row>
    <row r="24" spans="2:16" ht="17">
      <c r="B24" s="8" t="s">
        <v>44</v>
      </c>
      <c r="C24" s="9" t="s">
        <v>45</v>
      </c>
      <c r="D24">
        <v>0</v>
      </c>
      <c r="E24" s="10">
        <f t="shared" si="0"/>
        <v>0</v>
      </c>
      <c r="I24" s="28"/>
      <c r="J24" s="28"/>
      <c r="K24" s="28"/>
      <c r="L24" s="29"/>
      <c r="M24" s="29"/>
      <c r="N24" s="29"/>
      <c r="O24" s="28"/>
      <c r="P24" s="28"/>
    </row>
    <row r="25" spans="2:16" ht="17">
      <c r="B25" s="8" t="s">
        <v>46</v>
      </c>
      <c r="C25" s="9" t="s">
        <v>47</v>
      </c>
      <c r="D25">
        <v>0</v>
      </c>
      <c r="E25" s="10">
        <f t="shared" si="0"/>
        <v>0</v>
      </c>
      <c r="I25" s="28"/>
      <c r="J25" s="28"/>
      <c r="K25" s="29"/>
      <c r="L25" s="29"/>
      <c r="M25" s="29"/>
      <c r="N25" s="29"/>
      <c r="O25" s="28"/>
      <c r="P25" s="28"/>
    </row>
    <row r="26" spans="2:16" ht="17">
      <c r="B26" s="8" t="s">
        <v>48</v>
      </c>
      <c r="C26" s="9" t="s">
        <v>49</v>
      </c>
      <c r="D26">
        <v>0</v>
      </c>
      <c r="E26" s="10">
        <f t="shared" si="0"/>
        <v>0</v>
      </c>
      <c r="I26" s="28"/>
      <c r="J26" s="28"/>
      <c r="K26" s="28"/>
      <c r="L26" s="29"/>
      <c r="M26" s="29"/>
      <c r="N26" s="29"/>
      <c r="O26" s="28"/>
      <c r="P26" s="28"/>
    </row>
    <row r="27" spans="2:16" ht="17">
      <c r="B27" s="8" t="s">
        <v>50</v>
      </c>
      <c r="C27" s="9" t="s">
        <v>51</v>
      </c>
      <c r="D27">
        <v>0</v>
      </c>
      <c r="E27" s="10">
        <f t="shared" si="0"/>
        <v>0</v>
      </c>
      <c r="I27" s="28"/>
      <c r="J27" s="28"/>
      <c r="K27" s="28"/>
      <c r="L27" s="29"/>
      <c r="M27" s="29"/>
      <c r="N27" s="29"/>
      <c r="O27" s="28"/>
      <c r="P27" s="28"/>
    </row>
    <row r="28" spans="2:16" ht="17">
      <c r="B28" s="8" t="s">
        <v>52</v>
      </c>
      <c r="C28" s="9" t="s">
        <v>53</v>
      </c>
      <c r="D28">
        <v>0</v>
      </c>
      <c r="E28" s="10">
        <f t="shared" si="0"/>
        <v>0</v>
      </c>
      <c r="I28" s="28"/>
      <c r="J28" s="28"/>
      <c r="K28" s="28"/>
      <c r="L28" s="29"/>
      <c r="M28" s="29"/>
      <c r="N28" s="29"/>
      <c r="O28" s="28"/>
      <c r="P28" s="28"/>
    </row>
    <row r="29" spans="2:16" ht="17">
      <c r="B29" s="8" t="s">
        <v>54</v>
      </c>
      <c r="C29" s="9" t="s">
        <v>55</v>
      </c>
      <c r="D29">
        <v>0</v>
      </c>
      <c r="E29" s="10">
        <f t="shared" si="0"/>
        <v>0</v>
      </c>
      <c r="I29" s="28"/>
      <c r="J29" s="28"/>
      <c r="K29" s="29"/>
      <c r="L29" s="29"/>
      <c r="M29" s="29"/>
      <c r="N29" s="29"/>
      <c r="O29" s="28"/>
      <c r="P29" s="28"/>
    </row>
    <row r="30" spans="2:16" ht="17">
      <c r="B30" s="8" t="s">
        <v>56</v>
      </c>
      <c r="C30" s="9" t="s">
        <v>57</v>
      </c>
      <c r="D30">
        <v>0</v>
      </c>
      <c r="E30" s="10">
        <f t="shared" si="0"/>
        <v>0</v>
      </c>
      <c r="I30" s="28"/>
      <c r="J30" s="28"/>
      <c r="K30" s="29"/>
      <c r="L30" s="29"/>
      <c r="M30" s="29"/>
      <c r="N30" s="29"/>
      <c r="O30" s="28"/>
      <c r="P30" s="28"/>
    </row>
    <row r="31" spans="2:16" ht="17">
      <c r="B31" s="8" t="s">
        <v>58</v>
      </c>
      <c r="C31" s="9" t="s">
        <v>59</v>
      </c>
      <c r="D31">
        <v>0</v>
      </c>
      <c r="E31" s="10">
        <f t="shared" si="0"/>
        <v>0</v>
      </c>
      <c r="I31" s="28"/>
      <c r="J31" s="28"/>
      <c r="K31" s="29"/>
      <c r="L31" s="29"/>
      <c r="M31" s="29"/>
      <c r="N31" s="29"/>
      <c r="O31" s="28"/>
      <c r="P31" s="28"/>
    </row>
    <row r="32" spans="2:16" ht="17">
      <c r="B32" s="8" t="s">
        <v>60</v>
      </c>
      <c r="C32" s="9" t="s">
        <v>61</v>
      </c>
      <c r="D32">
        <v>0</v>
      </c>
      <c r="E32" s="10">
        <f t="shared" si="0"/>
        <v>0</v>
      </c>
      <c r="I32" s="28"/>
      <c r="J32" s="28"/>
      <c r="K32" s="28"/>
      <c r="L32" s="29"/>
      <c r="M32" s="29"/>
      <c r="N32" s="29"/>
      <c r="O32" s="28"/>
      <c r="P32" s="28"/>
    </row>
    <row r="33" spans="2:16" ht="17">
      <c r="B33" s="8" t="s">
        <v>62</v>
      </c>
      <c r="C33" s="9" t="s">
        <v>63</v>
      </c>
      <c r="D33">
        <v>0</v>
      </c>
      <c r="E33" s="10">
        <f t="shared" si="0"/>
        <v>0</v>
      </c>
      <c r="I33" s="28"/>
      <c r="J33" s="28"/>
      <c r="K33" s="29"/>
      <c r="L33" s="29"/>
      <c r="M33" s="29"/>
      <c r="N33" s="29"/>
      <c r="O33" s="28"/>
      <c r="P33" s="28"/>
    </row>
    <row r="34" spans="2:16" ht="17">
      <c r="B34" s="8" t="s">
        <v>64</v>
      </c>
      <c r="C34" s="9" t="s">
        <v>65</v>
      </c>
      <c r="D34">
        <v>0</v>
      </c>
      <c r="E34" s="10">
        <f t="shared" si="0"/>
        <v>0</v>
      </c>
      <c r="I34" s="28"/>
      <c r="J34" s="28"/>
      <c r="K34" s="28"/>
      <c r="L34" s="29"/>
      <c r="M34" s="28"/>
      <c r="N34" s="29"/>
      <c r="O34" s="28"/>
      <c r="P34" s="28"/>
    </row>
    <row r="35" spans="2:16" ht="17">
      <c r="B35" s="8" t="s">
        <v>66</v>
      </c>
      <c r="C35" s="9" t="s">
        <v>67</v>
      </c>
      <c r="D35">
        <v>0</v>
      </c>
      <c r="E35" s="10">
        <f t="shared" si="0"/>
        <v>0</v>
      </c>
      <c r="I35" s="28"/>
      <c r="J35" s="28"/>
      <c r="K35" s="29"/>
      <c r="L35" s="29"/>
      <c r="M35" s="29"/>
      <c r="N35" s="29"/>
      <c r="O35" s="28"/>
      <c r="P35" s="28"/>
    </row>
    <row r="36" spans="2:16" ht="17">
      <c r="B36" s="8" t="s">
        <v>68</v>
      </c>
      <c r="C36" s="9" t="s">
        <v>69</v>
      </c>
      <c r="D36">
        <v>0</v>
      </c>
      <c r="E36" s="10">
        <f t="shared" si="0"/>
        <v>0</v>
      </c>
      <c r="I36" s="28"/>
      <c r="J36" s="28"/>
      <c r="K36" s="28"/>
      <c r="L36" s="29"/>
      <c r="M36" s="29"/>
      <c r="N36" s="29"/>
      <c r="O36" s="28"/>
      <c r="P36" s="28"/>
    </row>
    <row r="37" spans="2:16" ht="17">
      <c r="B37" s="8" t="s">
        <v>70</v>
      </c>
      <c r="C37" s="9" t="s">
        <v>71</v>
      </c>
      <c r="D37">
        <v>0</v>
      </c>
      <c r="E37" s="10">
        <f t="shared" si="0"/>
        <v>0</v>
      </c>
      <c r="I37" s="28"/>
      <c r="J37" s="28"/>
      <c r="K37" s="28"/>
      <c r="L37" s="29"/>
      <c r="M37" s="29"/>
      <c r="N37" s="29"/>
      <c r="O37" s="28"/>
      <c r="P37" s="28"/>
    </row>
    <row r="38" spans="2:16" ht="17">
      <c r="B38" s="8" t="s">
        <v>72</v>
      </c>
      <c r="C38" s="9" t="s">
        <v>73</v>
      </c>
      <c r="D38">
        <v>0</v>
      </c>
      <c r="E38" s="10">
        <f t="shared" si="0"/>
        <v>0</v>
      </c>
      <c r="I38" s="28"/>
      <c r="J38" s="28"/>
      <c r="K38" s="29"/>
      <c r="L38" s="29"/>
      <c r="M38" s="29"/>
      <c r="N38" s="29"/>
      <c r="O38" s="28"/>
      <c r="P38" s="28"/>
    </row>
    <row r="39" spans="2:16" ht="17">
      <c r="B39" s="8" t="s">
        <v>74</v>
      </c>
      <c r="C39" s="9" t="s">
        <v>75</v>
      </c>
      <c r="D39">
        <v>0</v>
      </c>
      <c r="E39" s="10">
        <f t="shared" si="0"/>
        <v>0</v>
      </c>
      <c r="I39" s="28"/>
      <c r="J39" s="28"/>
      <c r="K39" s="29"/>
      <c r="L39" s="29"/>
      <c r="M39" s="29"/>
      <c r="N39" s="29"/>
      <c r="O39" s="28"/>
      <c r="P39" s="28"/>
    </row>
    <row r="40" spans="2:16" ht="17">
      <c r="B40" s="8" t="s">
        <v>76</v>
      </c>
      <c r="C40" s="9" t="s">
        <v>77</v>
      </c>
      <c r="D40">
        <v>0</v>
      </c>
      <c r="E40" s="10">
        <f t="shared" si="0"/>
        <v>0</v>
      </c>
      <c r="I40" s="28"/>
      <c r="J40" s="28"/>
      <c r="K40" s="29"/>
      <c r="L40" s="29"/>
      <c r="M40" s="29"/>
      <c r="N40" s="29"/>
      <c r="O40" s="28"/>
      <c r="P40" s="28"/>
    </row>
    <row r="41" spans="2:16" ht="17">
      <c r="B41" s="8" t="s">
        <v>78</v>
      </c>
      <c r="C41" s="9" t="s">
        <v>79</v>
      </c>
      <c r="D41">
        <v>0</v>
      </c>
      <c r="E41" s="10">
        <f t="shared" si="0"/>
        <v>0</v>
      </c>
      <c r="I41" s="28"/>
      <c r="J41" s="28"/>
      <c r="K41" s="29"/>
      <c r="L41" s="29"/>
      <c r="M41" s="29"/>
      <c r="N41" s="29"/>
      <c r="O41" s="28"/>
      <c r="P41" s="28"/>
    </row>
    <row r="42" spans="2:16" ht="17">
      <c r="B42" s="8" t="s">
        <v>80</v>
      </c>
      <c r="C42" s="9" t="s">
        <v>81</v>
      </c>
      <c r="D42">
        <v>0</v>
      </c>
      <c r="E42" s="10">
        <f t="shared" si="0"/>
        <v>0</v>
      </c>
      <c r="I42" s="28"/>
      <c r="J42" s="28"/>
      <c r="K42" s="28"/>
      <c r="L42" s="29"/>
      <c r="M42" s="29"/>
      <c r="N42" s="29"/>
      <c r="O42" s="28"/>
      <c r="P42" s="28"/>
    </row>
    <row r="43" spans="2:16" ht="17">
      <c r="B43" s="8" t="s">
        <v>82</v>
      </c>
      <c r="C43" s="9" t="s">
        <v>83</v>
      </c>
      <c r="D43">
        <v>0</v>
      </c>
      <c r="E43" s="10">
        <f t="shared" si="0"/>
        <v>0</v>
      </c>
      <c r="I43" s="28"/>
      <c r="J43" s="28"/>
      <c r="K43" s="28"/>
      <c r="L43" s="29"/>
      <c r="M43" s="29"/>
      <c r="N43" s="29"/>
      <c r="O43" s="28"/>
      <c r="P43" s="28"/>
    </row>
    <row r="44" spans="2:16" ht="17">
      <c r="B44" s="8" t="s">
        <v>84</v>
      </c>
      <c r="C44" s="9" t="s">
        <v>85</v>
      </c>
      <c r="D44">
        <v>0</v>
      </c>
      <c r="E44" s="10">
        <f t="shared" si="0"/>
        <v>0</v>
      </c>
    </row>
    <row r="45" spans="2:16" ht="17">
      <c r="B45" s="8" t="s">
        <v>86</v>
      </c>
      <c r="C45" s="9" t="s">
        <v>87</v>
      </c>
      <c r="D45">
        <v>0</v>
      </c>
      <c r="E45" s="10">
        <f t="shared" si="0"/>
        <v>0</v>
      </c>
    </row>
    <row r="46" spans="2:16" ht="17">
      <c r="B46" s="8" t="s">
        <v>88</v>
      </c>
      <c r="C46" s="9" t="s">
        <v>89</v>
      </c>
      <c r="D46">
        <v>0</v>
      </c>
      <c r="E46" s="10">
        <f t="shared" si="0"/>
        <v>0</v>
      </c>
    </row>
    <row r="47" spans="2:16" ht="17">
      <c r="B47" s="8" t="s">
        <v>90</v>
      </c>
      <c r="C47" s="9" t="s">
        <v>91</v>
      </c>
      <c r="D47">
        <v>0</v>
      </c>
      <c r="E47" s="10">
        <f t="shared" si="0"/>
        <v>0</v>
      </c>
    </row>
    <row r="48" spans="2:16" ht="17">
      <c r="B48" s="8" t="s">
        <v>92</v>
      </c>
      <c r="C48" s="9" t="s">
        <v>93</v>
      </c>
      <c r="D48">
        <v>0</v>
      </c>
      <c r="E48" s="10">
        <f t="shared" si="0"/>
        <v>0</v>
      </c>
    </row>
    <row r="49" spans="2:6" ht="17">
      <c r="B49" s="8" t="s">
        <v>94</v>
      </c>
      <c r="C49" s="9" t="s">
        <v>95</v>
      </c>
      <c r="D49">
        <v>0</v>
      </c>
      <c r="E49" s="10">
        <f t="shared" si="0"/>
        <v>0</v>
      </c>
    </row>
    <row r="50" spans="2:6" ht="17">
      <c r="B50" s="8" t="s">
        <v>96</v>
      </c>
      <c r="C50" s="9" t="s">
        <v>97</v>
      </c>
      <c r="D50">
        <v>0</v>
      </c>
      <c r="E50" s="10">
        <f t="shared" si="0"/>
        <v>0</v>
      </c>
    </row>
    <row r="51" spans="2:6" ht="17">
      <c r="B51" s="8" t="s">
        <v>98</v>
      </c>
      <c r="C51" s="9" t="s">
        <v>99</v>
      </c>
      <c r="D51">
        <v>0</v>
      </c>
      <c r="E51" s="10">
        <f t="shared" si="0"/>
        <v>0</v>
      </c>
    </row>
    <row r="52" spans="2:6" ht="17">
      <c r="B52" s="8" t="s">
        <v>100</v>
      </c>
      <c r="C52" s="9" t="s">
        <v>101</v>
      </c>
      <c r="D52">
        <v>0</v>
      </c>
      <c r="E52" s="10">
        <f t="shared" si="0"/>
        <v>0</v>
      </c>
    </row>
    <row r="53" spans="2:6" ht="17">
      <c r="B53" s="11" t="s">
        <v>102</v>
      </c>
      <c r="C53" s="12" t="s">
        <v>103</v>
      </c>
      <c r="D53" s="13">
        <v>1700</v>
      </c>
      <c r="E53" s="14">
        <f t="shared" si="0"/>
        <v>1</v>
      </c>
    </row>
    <row r="55" spans="2:6">
      <c r="F55" s="32"/>
    </row>
  </sheetData>
  <mergeCells count="1">
    <mergeCell ref="G7:M12"/>
  </mergeCells>
  <hyperlinks>
    <hyperlink ref="H5" r:id="rId1" xr:uid="{E3869A5A-80FF-8D4E-A379-7EF4400529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36</vt:i4>
      </vt:variant>
    </vt:vector>
  </HeadingPairs>
  <TitlesOfParts>
    <vt:vector size="36" baseType="lpstr">
      <vt:lpstr>cement_production</vt:lpstr>
      <vt:lpstr>lime_manufacturing</vt:lpstr>
      <vt:lpstr>glass_emissions</vt:lpstr>
      <vt:lpstr>mineral_wool</vt:lpstr>
      <vt:lpstr>gypsum_facilities</vt:lpstr>
      <vt:lpstr>steel_pickling_facilities</vt:lpstr>
      <vt:lpstr>pulp_and_paper_facilities</vt:lpstr>
      <vt:lpstr>semiconductor_employment</vt:lpstr>
      <vt:lpstr>lithium_battery_production</vt:lpstr>
      <vt:lpstr>cosmetics_employment</vt:lpstr>
      <vt:lpstr>org_chemical_manufacturing</vt:lpstr>
      <vt:lpstr>pharma_manufacturing</vt:lpstr>
      <vt:lpstr>hf_production_capacity</vt:lpstr>
      <vt:lpstr>phosphoric_acid_facilities</vt:lpstr>
      <vt:lpstr>ammonia_production_capacity</vt:lpstr>
      <vt:lpstr>chemical_manufacturing</vt:lpstr>
      <vt:lpstr>manufacturing</vt:lpstr>
      <vt:lpstr>industrial_water_use</vt:lpstr>
      <vt:lpstr>public_supply_water_use</vt:lpstr>
      <vt:lpstr>wwtp_flow</vt:lpstr>
      <vt:lpstr>rock_salt_distribution</vt:lpstr>
      <vt:lpstr>construction_spending</vt:lpstr>
      <vt:lpstr>oil_and_gas_wells</vt:lpstr>
      <vt:lpstr>flue_gas_desulfurization</vt:lpstr>
      <vt:lpstr>potash_fertilizer_consumption</vt:lpstr>
      <vt:lpstr>nitrogen_fertilizer_consumption</vt:lpstr>
      <vt:lpstr>crop_acreage</vt:lpstr>
      <vt:lpstr>ARCHIVE</vt:lpstr>
      <vt:lpstr>industrial_energy_consumption</vt:lpstr>
      <vt:lpstr>iron_and_steel_employment</vt:lpstr>
      <vt:lpstr>metallurgy_employment</vt:lpstr>
      <vt:lpstr>ore_treated</vt:lpstr>
      <vt:lpstr>phosphate_fertilizer_facilities</vt:lpstr>
      <vt:lpstr>pesticide_employment</vt:lpstr>
      <vt:lpstr>road_salts_application</vt:lpstr>
      <vt:lpstr>alumina_refining_capacity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2026-08-21T20:17:45Z</dcterms:created>
  <dcterms:modified xsi:type="dcterms:W3CDTF">2026-08-31T19:34:09Z</dcterms:modified>
</cp:coreProperties>
</file>