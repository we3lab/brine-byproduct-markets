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adkins/Desktop/"/>
    </mc:Choice>
  </mc:AlternateContent>
  <xr:revisionPtr revIDLastSave="0" documentId="13_ncr:1_{8076DBA7-3766-554D-B14F-DB0D3B117276}" xr6:coauthVersionLast="47" xr6:coauthVersionMax="47" xr10:uidLastSave="{00000000-0000-0000-0000-000000000000}"/>
  <bookViews>
    <workbookView xWindow="0" yWindow="660" windowWidth="34560" windowHeight="21680" activeTab="23" xr2:uid="{7850CC34-1F16-5E48-9C0C-9DBA9F9B910B}"/>
  </bookViews>
  <sheets>
    <sheet name="Table of Contents" sheetId="41" r:id="rId1"/>
    <sheet name="BaSO4" sheetId="30" r:id="rId2"/>
    <sheet name="CaCl2" sheetId="5" r:id="rId3"/>
    <sheet name="CaCO3" sheetId="29" r:id="rId4"/>
    <sheet name="CaSO4" sheetId="8" r:id="rId5"/>
    <sheet name="KCl" sheetId="20" r:id="rId6"/>
    <sheet name="LiCl" sheetId="21" r:id="rId7"/>
    <sheet name="Li2CO3" sheetId="31" r:id="rId8"/>
    <sheet name="LiOH" sheetId="32" r:id="rId9"/>
    <sheet name="MgCl2" sheetId="24" r:id="rId10"/>
    <sheet name="MgSO4" sheetId="25" r:id="rId11"/>
    <sheet name="Mg(OH)2" sheetId="11" r:id="rId12"/>
    <sheet name="NaCl" sheetId="15" r:id="rId13"/>
    <sheet name="Na2CO3" sheetId="26" r:id="rId14"/>
    <sheet name="NaHCO3" sheetId="27" r:id="rId15"/>
    <sheet name="Na2SO4" sheetId="28" r:id="rId16"/>
    <sheet name="NaOH" sheetId="17" r:id="rId17"/>
    <sheet name="SrSO4" sheetId="14" r:id="rId18"/>
    <sheet name="H3BO3" sheetId="33" r:id="rId19"/>
    <sheet name="HCl" sheetId="18" r:id="rId20"/>
    <sheet name="Br2" sheetId="34" r:id="rId21"/>
    <sheet name="Cl2" sheetId="35" r:id="rId22"/>
    <sheet name="Summary" sheetId="40" r:id="rId23"/>
    <sheet name="Category Map" sheetId="36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1" l="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5" i="41"/>
  <c r="F5" i="36" l="1" a="1"/>
  <c r="F5" i="36" s="1"/>
  <c r="G8" i="35" a="1"/>
  <c r="G8" i="35" s="1"/>
  <c r="H8" i="35" s="1"/>
  <c r="E9" i="34"/>
  <c r="E10" i="34"/>
  <c r="E11" i="34"/>
  <c r="E12" i="34"/>
  <c r="E13" i="34"/>
  <c r="E8" i="34"/>
  <c r="H13" i="34"/>
  <c r="H11" i="34"/>
  <c r="H10" i="34"/>
  <c r="G8" i="34" a="1"/>
  <c r="H12" i="34" s="1"/>
  <c r="G8" i="33" a="1"/>
  <c r="G8" i="32" a="1"/>
  <c r="H11" i="32" s="1"/>
  <c r="G8" i="31" a="1"/>
  <c r="H11" i="31" s="1"/>
  <c r="G8" i="30" a="1"/>
  <c r="H9" i="30" s="1"/>
  <c r="G8" i="29" a="1"/>
  <c r="H9" i="29" s="1"/>
  <c r="G8" i="28" a="1"/>
  <c r="E8" i="27"/>
  <c r="G8" i="27" a="1"/>
  <c r="G8" i="26" a="1"/>
  <c r="G8" i="25" a="1"/>
  <c r="G8" i="24" a="1"/>
  <c r="G8" i="21" a="1"/>
  <c r="G8" i="20" a="1"/>
  <c r="G8" i="18" a="1"/>
  <c r="H10" i="18" s="1"/>
  <c r="H12" i="17"/>
  <c r="H11" i="17"/>
  <c r="G8" i="17" a="1"/>
  <c r="G8" i="17" s="1"/>
  <c r="H8" i="17" s="1"/>
  <c r="E9" i="15"/>
  <c r="E10" i="15"/>
  <c r="E11" i="15"/>
  <c r="E8" i="15"/>
  <c r="G8" i="15" a="1"/>
  <c r="H10" i="15" s="1"/>
  <c r="G8" i="14" a="1"/>
  <c r="G8" i="11" a="1"/>
  <c r="G8" i="8" a="1"/>
  <c r="G8" i="8" s="1"/>
  <c r="G8" i="5" a="1"/>
  <c r="G8" i="5" s="1"/>
  <c r="E12" i="8"/>
  <c r="H11" i="8" s="1"/>
  <c r="E9" i="8"/>
  <c r="H9" i="8" s="1"/>
  <c r="E11" i="8"/>
  <c r="H10" i="8" s="1"/>
  <c r="E8" i="8"/>
  <c r="H9" i="5"/>
  <c r="H10" i="5"/>
  <c r="H11" i="5"/>
  <c r="H12" i="5"/>
  <c r="H13" i="5"/>
  <c r="H14" i="5"/>
  <c r="H8" i="5"/>
  <c r="B5" i="36" l="1" a="1"/>
  <c r="H10" i="35"/>
  <c r="H9" i="35"/>
  <c r="G8" i="34"/>
  <c r="H8" i="34" s="1"/>
  <c r="H9" i="34"/>
  <c r="G8" i="33"/>
  <c r="H8" i="33" s="1"/>
  <c r="H9" i="33"/>
  <c r="H10" i="32"/>
  <c r="G8" i="32"/>
  <c r="H8" i="32" s="1"/>
  <c r="H9" i="32"/>
  <c r="G8" i="31"/>
  <c r="H8" i="31" s="1"/>
  <c r="H9" i="31"/>
  <c r="H10" i="31"/>
  <c r="G8" i="30"/>
  <c r="H8" i="30" s="1"/>
  <c r="H10" i="29"/>
  <c r="H11" i="29"/>
  <c r="H12" i="29"/>
  <c r="G8" i="29"/>
  <c r="H8" i="29" s="1"/>
  <c r="H8" i="8"/>
  <c r="H10" i="28"/>
  <c r="H11" i="28"/>
  <c r="G8" i="28"/>
  <c r="H8" i="28" s="1"/>
  <c r="H9" i="28"/>
  <c r="H14" i="27"/>
  <c r="H12" i="27"/>
  <c r="H13" i="27"/>
  <c r="H10" i="27"/>
  <c r="H11" i="27"/>
  <c r="G8" i="27"/>
  <c r="H8" i="27" s="1"/>
  <c r="H9" i="27"/>
  <c r="G8" i="26"/>
  <c r="H8" i="26" s="1"/>
  <c r="H13" i="26"/>
  <c r="H10" i="26"/>
  <c r="H11" i="26"/>
  <c r="H9" i="26"/>
  <c r="H12" i="26"/>
  <c r="H12" i="25"/>
  <c r="H10" i="25"/>
  <c r="H11" i="25"/>
  <c r="G8" i="25"/>
  <c r="H8" i="25" s="1"/>
  <c r="H9" i="25"/>
  <c r="G8" i="24"/>
  <c r="H8" i="24" s="1"/>
  <c r="H10" i="21"/>
  <c r="H11" i="21"/>
  <c r="G8" i="21"/>
  <c r="H8" i="21" s="1"/>
  <c r="H9" i="21"/>
  <c r="G8" i="20"/>
  <c r="H8" i="20" s="1"/>
  <c r="H9" i="20"/>
  <c r="H11" i="18"/>
  <c r="G8" i="18"/>
  <c r="H8" i="18" s="1"/>
  <c r="H9" i="18"/>
  <c r="H10" i="17"/>
  <c r="H9" i="17"/>
  <c r="H11" i="15"/>
  <c r="G8" i="15"/>
  <c r="H8" i="15" s="1"/>
  <c r="H9" i="15"/>
  <c r="G8" i="14"/>
  <c r="H8" i="14" s="1"/>
  <c r="H9" i="14"/>
  <c r="H10" i="14"/>
  <c r="H9" i="11"/>
  <c r="H10" i="11"/>
  <c r="G8" i="11"/>
  <c r="H8" i="11" s="1"/>
  <c r="B5" i="36" l="1"/>
  <c r="C6" i="36" a="1"/>
  <c r="C6" i="36" s="1"/>
  <c r="C14" i="36" a="1"/>
  <c r="C14" i="36" s="1"/>
  <c r="C23" i="36" a="1"/>
  <c r="C23" i="36" s="1"/>
  <c r="C25" i="36" a="1"/>
  <c r="C25" i="36" s="1"/>
  <c r="C7" i="36" a="1"/>
  <c r="C7" i="36" s="1"/>
  <c r="C15" i="36" a="1"/>
  <c r="C15" i="36" s="1"/>
  <c r="C24" i="36" a="1"/>
  <c r="C24" i="36" s="1"/>
  <c r="C16" i="36" a="1"/>
  <c r="C16" i="36" s="1"/>
  <c r="C8" i="36" a="1"/>
  <c r="C8" i="36" s="1"/>
  <c r="C17" i="36" a="1"/>
  <c r="C17" i="36" s="1"/>
  <c r="C9" i="36" a="1"/>
  <c r="C9" i="36" s="1"/>
  <c r="C10" i="36" a="1"/>
  <c r="C10" i="36" s="1"/>
  <c r="C11" i="36" a="1"/>
  <c r="C11" i="36" s="1"/>
  <c r="C19" i="36" a="1"/>
  <c r="C19" i="36" s="1"/>
  <c r="C18" i="36" a="1"/>
  <c r="C18" i="36" s="1"/>
  <c r="C12" i="36" a="1"/>
  <c r="C12" i="36" s="1"/>
  <c r="C20" i="36" a="1"/>
  <c r="C20" i="36" s="1"/>
  <c r="C21" i="36" a="1"/>
  <c r="C21" i="36" s="1"/>
  <c r="C13" i="36" a="1"/>
  <c r="C13" i="36" s="1"/>
  <c r="C22" i="36" a="1"/>
  <c r="C22" i="36" s="1"/>
  <c r="C5" i="36" l="1" a="1"/>
  <c r="C5" i="36" s="1"/>
  <c r="A440" i="40" a="1"/>
  <c r="A440" i="40" s="1"/>
  <c r="A436" i="40" a="1"/>
  <c r="A436" i="40" s="1"/>
  <c r="B422" i="40" a="1"/>
  <c r="B422" i="40" s="1"/>
  <c r="B427" i="40" a="1"/>
  <c r="B427" i="40" s="1"/>
  <c r="B432" i="40" a="1"/>
  <c r="B432" i="40" s="1"/>
  <c r="A57" i="40" a="1"/>
  <c r="A57" i="40" s="1"/>
  <c r="B61" i="40" a="1"/>
  <c r="B61" i="40" s="1"/>
  <c r="B66" i="40" a="1"/>
  <c r="B66" i="40" s="1"/>
  <c r="B71" i="40" a="1"/>
  <c r="B71" i="40" s="1"/>
  <c r="B76" i="40" a="1"/>
  <c r="B76" i="40" s="1"/>
  <c r="A81" i="40" a="1"/>
  <c r="A81" i="40" s="1"/>
  <c r="A86" i="40" a="1"/>
  <c r="A86" i="40" s="1"/>
  <c r="B94" i="40" a="1"/>
  <c r="B94" i="40" s="1"/>
  <c r="B440" i="40" a="1"/>
  <c r="B440" i="40" s="1"/>
  <c r="B436" i="40" a="1"/>
  <c r="B436" i="40" s="1"/>
  <c r="A423" i="40" a="1"/>
  <c r="A423" i="40" s="1"/>
  <c r="A428" i="40" a="1"/>
  <c r="A428" i="40" s="1"/>
  <c r="A433" i="40" a="1"/>
  <c r="A433" i="40" s="1"/>
  <c r="B57" i="40" a="1"/>
  <c r="B57" i="40" s="1"/>
  <c r="A62" i="40" a="1"/>
  <c r="A62" i="40" s="1"/>
  <c r="A67" i="40" a="1"/>
  <c r="A67" i="40" s="1"/>
  <c r="A72" i="40" a="1"/>
  <c r="A72" i="40" s="1"/>
  <c r="A77" i="40" a="1"/>
  <c r="A77" i="40" s="1"/>
  <c r="B81" i="40" a="1"/>
  <c r="B81" i="40" s="1"/>
  <c r="B86" i="40" a="1"/>
  <c r="B86" i="40" s="1"/>
  <c r="B90" i="40" a="1"/>
  <c r="B90" i="40" s="1"/>
  <c r="A99" i="40" a="1"/>
  <c r="A99" i="40" s="1"/>
  <c r="A104" i="40" a="1"/>
  <c r="A104" i="40" s="1"/>
  <c r="B108" i="40" a="1"/>
  <c r="B108" i="40" s="1"/>
  <c r="B113" i="40" a="1"/>
  <c r="B113" i="40" s="1"/>
  <c r="A118" i="40" a="1"/>
  <c r="A118" i="40" s="1"/>
  <c r="A122" i="40" a="1"/>
  <c r="A122" i="40" s="1"/>
  <c r="A127" i="40" a="1"/>
  <c r="A127" i="40" s="1"/>
  <c r="B131" i="40" a="1"/>
  <c r="B131" i="40" s="1"/>
  <c r="A141" i="40" a="1"/>
  <c r="A141" i="40" s="1"/>
  <c r="B145" i="40" a="1"/>
  <c r="B145" i="40" s="1"/>
  <c r="B150" i="40" a="1"/>
  <c r="B150" i="40" s="1"/>
  <c r="B155" i="40" a="1"/>
  <c r="B155" i="40" s="1"/>
  <c r="B160" i="40" a="1"/>
  <c r="B160" i="40" s="1"/>
  <c r="B165" i="40" a="1"/>
  <c r="B165" i="40" s="1"/>
  <c r="A170" i="40" a="1"/>
  <c r="A170" i="40" s="1"/>
  <c r="A175" i="40" a="1"/>
  <c r="A175" i="40" s="1"/>
  <c r="B179" i="40" a="1"/>
  <c r="B179" i="40" s="1"/>
  <c r="B184" i="40" a="1"/>
  <c r="B184" i="40" s="1"/>
  <c r="A189" i="40" a="1"/>
  <c r="A189" i="40" s="1"/>
  <c r="A193" i="40" a="1"/>
  <c r="A193" i="40" s="1"/>
  <c r="B197" i="40" a="1"/>
  <c r="B197" i="40" s="1"/>
  <c r="B202" i="40" a="1"/>
  <c r="B202" i="40" s="1"/>
  <c r="A207" i="40" a="1"/>
  <c r="A207" i="40" s="1"/>
  <c r="A212" i="40" a="1"/>
  <c r="A212" i="40" s="1"/>
  <c r="A217" i="40" a="1"/>
  <c r="A217" i="40" s="1"/>
  <c r="A222" i="40" a="1"/>
  <c r="A222" i="40" s="1"/>
  <c r="B226" i="40" a="1"/>
  <c r="B226" i="40" s="1"/>
  <c r="B230" i="40" a="1"/>
  <c r="B230" i="40" s="1"/>
  <c r="B235" i="40" a="1"/>
  <c r="B235" i="40" s="1"/>
  <c r="B240" i="40" a="1"/>
  <c r="B240" i="40" s="1"/>
  <c r="A245" i="40" a="1"/>
  <c r="A245" i="40" s="1"/>
  <c r="A250" i="40" a="1"/>
  <c r="A250" i="40" s="1"/>
  <c r="A255" i="40" a="1"/>
  <c r="A255" i="40" s="1"/>
  <c r="A260" i="40" a="1"/>
  <c r="A260" i="40" s="1"/>
  <c r="B264" i="40" a="1"/>
  <c r="B264" i="40" s="1"/>
  <c r="A269" i="40" a="1"/>
  <c r="A269" i="40" s="1"/>
  <c r="A274" i="40" a="1"/>
  <c r="A274" i="40" s="1"/>
  <c r="A279" i="40" a="1"/>
  <c r="A279" i="40" s="1"/>
  <c r="B283" i="40" a="1"/>
  <c r="B283" i="40" s="1"/>
  <c r="B288" i="40" a="1"/>
  <c r="B288" i="40" s="1"/>
  <c r="B293" i="40" a="1"/>
  <c r="B293" i="40" s="1"/>
  <c r="A297" i="40" a="1"/>
  <c r="A297" i="40" s="1"/>
  <c r="A302" i="40" a="1"/>
  <c r="A302" i="40" s="1"/>
  <c r="A307" i="40" a="1"/>
  <c r="A307" i="40" s="1"/>
  <c r="A312" i="40" a="1"/>
  <c r="A312" i="40" s="1"/>
  <c r="A317" i="40" a="1"/>
  <c r="A317" i="40" s="1"/>
  <c r="A321" i="40" a="1"/>
  <c r="A321" i="40" s="1"/>
  <c r="A325" i="40" a="1"/>
  <c r="A325" i="40" s="1"/>
  <c r="A330" i="40" a="1"/>
  <c r="A330" i="40" s="1"/>
  <c r="A335" i="40" a="1"/>
  <c r="A335" i="40" s="1"/>
  <c r="B343" i="40" a="1"/>
  <c r="B343" i="40" s="1"/>
  <c r="B348" i="40" a="1"/>
  <c r="B348" i="40" s="1"/>
  <c r="A353" i="40" a="1"/>
  <c r="A353" i="40" s="1"/>
  <c r="A358" i="40" a="1"/>
  <c r="A358" i="40" s="1"/>
  <c r="A363" i="40" a="1"/>
  <c r="A363" i="40" s="1"/>
  <c r="A368" i="40" a="1"/>
  <c r="A368" i="40" s="1"/>
  <c r="A373" i="40" a="1"/>
  <c r="A373" i="40" s="1"/>
  <c r="A378" i="40" a="1"/>
  <c r="A378" i="40" s="1"/>
  <c r="A383" i="40" a="1"/>
  <c r="A383" i="40" s="1"/>
  <c r="A441" i="40" a="1"/>
  <c r="A441" i="40" s="1"/>
  <c r="A437" i="40" a="1"/>
  <c r="A437" i="40" s="1"/>
  <c r="B423" i="40" a="1"/>
  <c r="B423" i="40" s="1"/>
  <c r="B428" i="40" a="1"/>
  <c r="B428" i="40" s="1"/>
  <c r="B433" i="40" a="1"/>
  <c r="B433" i="40" s="1"/>
  <c r="A58" i="40" a="1"/>
  <c r="A58" i="40" s="1"/>
  <c r="B62" i="40" a="1"/>
  <c r="B62" i="40" s="1"/>
  <c r="B67" i="40" a="1"/>
  <c r="B67" i="40" s="1"/>
  <c r="B72" i="40" a="1"/>
  <c r="B72" i="40" s="1"/>
  <c r="A82" i="40" a="1"/>
  <c r="A82" i="40" s="1"/>
  <c r="A87" i="40" a="1"/>
  <c r="A87" i="40" s="1"/>
  <c r="A95" i="40" a="1"/>
  <c r="A95" i="40" s="1"/>
  <c r="B99" i="40" a="1"/>
  <c r="B99" i="40" s="1"/>
  <c r="B441" i="40" a="1"/>
  <c r="B441" i="40" s="1"/>
  <c r="A442" i="40" a="1"/>
  <c r="A442" i="40" s="1"/>
  <c r="A438" i="40" a="1"/>
  <c r="A438" i="40" s="1"/>
  <c r="B424" i="40" a="1"/>
  <c r="B424" i="40" s="1"/>
  <c r="B429" i="40" a="1"/>
  <c r="B429" i="40" s="1"/>
  <c r="B54" i="40" a="1"/>
  <c r="B54" i="40" s="1"/>
  <c r="A59" i="40" a="1"/>
  <c r="A59" i="40" s="1"/>
  <c r="B63" i="40" a="1"/>
  <c r="B63" i="40" s="1"/>
  <c r="B68" i="40" a="1"/>
  <c r="B68" i="40" s="1"/>
  <c r="B73" i="40" a="1"/>
  <c r="B73" i="40" s="1"/>
  <c r="A78" i="40" a="1"/>
  <c r="A78" i="40" s="1"/>
  <c r="A83" i="40" a="1"/>
  <c r="A83" i="40" s="1"/>
  <c r="A88" i="40" a="1"/>
  <c r="A88" i="40" s="1"/>
  <c r="B91" i="40" a="1"/>
  <c r="B91" i="40" s="1"/>
  <c r="B95" i="40" a="1"/>
  <c r="B95" i="40" s="1"/>
  <c r="B442" i="40" a="1"/>
  <c r="B442" i="40" s="1"/>
  <c r="B438" i="40" a="1"/>
  <c r="B438" i="40" s="1"/>
  <c r="A425" i="40" a="1"/>
  <c r="A425" i="40" s="1"/>
  <c r="A430" i="40" a="1"/>
  <c r="A430" i="40" s="1"/>
  <c r="A55" i="40" a="1"/>
  <c r="A55" i="40" s="1"/>
  <c r="B59" i="40" a="1"/>
  <c r="B59" i="40" s="1"/>
  <c r="A64" i="40" a="1"/>
  <c r="A64" i="40" s="1"/>
  <c r="A69" i="40" a="1"/>
  <c r="A69" i="40" s="1"/>
  <c r="A74" i="40" a="1"/>
  <c r="A74" i="40" s="1"/>
  <c r="B78" i="40" a="1"/>
  <c r="B78" i="40" s="1"/>
  <c r="B83" i="40" a="1"/>
  <c r="B83" i="40" s="1"/>
  <c r="B88" i="40" a="1"/>
  <c r="B88" i="40" s="1"/>
  <c r="A92" i="40" a="1"/>
  <c r="A92" i="40" s="1"/>
  <c r="A96" i="40" a="1"/>
  <c r="A96" i="40" s="1"/>
  <c r="A101" i="40" a="1"/>
  <c r="A101" i="40" s="1"/>
  <c r="B105" i="40" a="1"/>
  <c r="B105" i="40" s="1"/>
  <c r="B110" i="40" a="1"/>
  <c r="B110" i="40" s="1"/>
  <c r="A124" i="40" a="1"/>
  <c r="A124" i="40" s="1"/>
  <c r="B128" i="40" a="1"/>
  <c r="B128" i="40" s="1"/>
  <c r="B133" i="40" a="1"/>
  <c r="B133" i="40" s="1"/>
  <c r="A138" i="40" a="1"/>
  <c r="A138" i="40" s="1"/>
  <c r="A143" i="40" a="1"/>
  <c r="A143" i="40" s="1"/>
  <c r="B147" i="40" a="1"/>
  <c r="B147" i="40" s="1"/>
  <c r="B152" i="40" a="1"/>
  <c r="B152" i="40" s="1"/>
  <c r="B157" i="40" a="1"/>
  <c r="B157" i="40" s="1"/>
  <c r="B162" i="40" a="1"/>
  <c r="B162" i="40" s="1"/>
  <c r="A167" i="40" a="1"/>
  <c r="A167" i="40" s="1"/>
  <c r="A172" i="40" a="1"/>
  <c r="A172" i="40" s="1"/>
  <c r="B176" i="40" a="1"/>
  <c r="B176" i="40" s="1"/>
  <c r="B181" i="40" a="1"/>
  <c r="B181" i="40" s="1"/>
  <c r="A186" i="40" a="1"/>
  <c r="A186" i="40" s="1"/>
  <c r="B190" i="40" a="1"/>
  <c r="B190" i="40" s="1"/>
  <c r="A195" i="40" a="1"/>
  <c r="A195" i="40" s="1"/>
  <c r="B199" i="40" a="1"/>
  <c r="B199" i="40" s="1"/>
  <c r="B204" i="40" a="1"/>
  <c r="B204" i="40" s="1"/>
  <c r="A209" i="40" a="1"/>
  <c r="A209" i="40" s="1"/>
  <c r="A214" i="40" a="1"/>
  <c r="A214" i="40" s="1"/>
  <c r="A219" i="40" a="1"/>
  <c r="A219" i="40" s="1"/>
  <c r="A224" i="40" a="1"/>
  <c r="A224" i="40" s="1"/>
  <c r="B232" i="40" a="1"/>
  <c r="B232" i="40" s="1"/>
  <c r="B237" i="40" a="1"/>
  <c r="B237" i="40" s="1"/>
  <c r="B242" i="40" a="1"/>
  <c r="B242" i="40" s="1"/>
  <c r="A247" i="40" a="1"/>
  <c r="A247" i="40" s="1"/>
  <c r="A252" i="40" a="1"/>
  <c r="A252" i="40" s="1"/>
  <c r="A257" i="40" a="1"/>
  <c r="A257" i="40" s="1"/>
  <c r="B261" i="40" a="1"/>
  <c r="B261" i="40" s="1"/>
  <c r="B266" i="40" a="1"/>
  <c r="B266" i="40" s="1"/>
  <c r="A271" i="40" a="1"/>
  <c r="A271" i="40" s="1"/>
  <c r="A276" i="40" a="1"/>
  <c r="A276" i="40" s="1"/>
  <c r="B280" i="40" a="1"/>
  <c r="B280" i="40" s="1"/>
  <c r="B285" i="40" a="1"/>
  <c r="B285" i="40" s="1"/>
  <c r="B290" i="40" a="1"/>
  <c r="B290" i="40" s="1"/>
  <c r="A299" i="40" a="1"/>
  <c r="A299" i="40" s="1"/>
  <c r="A304" i="40" a="1"/>
  <c r="A304" i="40" s="1"/>
  <c r="A309" i="40" a="1"/>
  <c r="A309" i="40" s="1"/>
  <c r="A314" i="40" a="1"/>
  <c r="A314" i="40" s="1"/>
  <c r="A319" i="40" a="1"/>
  <c r="A319" i="40" s="1"/>
  <c r="A327" i="40" a="1"/>
  <c r="A327" i="40" s="1"/>
  <c r="A332" i="40" a="1"/>
  <c r="A332" i="40" s="1"/>
  <c r="B336" i="40" a="1"/>
  <c r="B336" i="40" s="1"/>
  <c r="A341" i="40" a="1"/>
  <c r="A341" i="40" s="1"/>
  <c r="B345" i="40" a="1"/>
  <c r="B345" i="40" s="1"/>
  <c r="B350" i="40" a="1"/>
  <c r="B350" i="40" s="1"/>
  <c r="A355" i="40" a="1"/>
  <c r="A355" i="40" s="1"/>
  <c r="A360" i="40" a="1"/>
  <c r="A360" i="40" s="1"/>
  <c r="A365" i="40" a="1"/>
  <c r="A365" i="40" s="1"/>
  <c r="A370" i="40" a="1"/>
  <c r="A370" i="40" s="1"/>
  <c r="A375" i="40" a="1"/>
  <c r="A375" i="40" s="1"/>
  <c r="A380" i="40" a="1"/>
  <c r="A380" i="40" s="1"/>
  <c r="A385" i="40" a="1"/>
  <c r="A385" i="40" s="1"/>
  <c r="B398" i="40" a="1"/>
  <c r="B398" i="40" s="1"/>
  <c r="A403" i="40" a="1"/>
  <c r="A403" i="40" s="1"/>
  <c r="A410" i="40" a="1"/>
  <c r="A410" i="40" s="1"/>
  <c r="A414" i="40" a="1"/>
  <c r="A414" i="40" s="1"/>
  <c r="A6" i="40" a="1"/>
  <c r="A6" i="40" s="1"/>
  <c r="A434" i="40" a="1"/>
  <c r="A434" i="40" s="1"/>
  <c r="B434" i="40" a="1"/>
  <c r="B434" i="40" s="1"/>
  <c r="A439" i="40" a="1"/>
  <c r="A439" i="40" s="1"/>
  <c r="A435" i="40" a="1"/>
  <c r="A435" i="40" s="1"/>
  <c r="B439" i="40" a="1"/>
  <c r="B439" i="40" s="1"/>
  <c r="B426" i="40" a="1"/>
  <c r="B426" i="40" s="1"/>
  <c r="B431" i="40" a="1"/>
  <c r="B431" i="40" s="1"/>
  <c r="A61" i="40" a="1"/>
  <c r="A61" i="40" s="1"/>
  <c r="B65" i="40" a="1"/>
  <c r="B65" i="40" s="1"/>
  <c r="B70" i="40" a="1"/>
  <c r="B70" i="40" s="1"/>
  <c r="B75" i="40" a="1"/>
  <c r="B75" i="40" s="1"/>
  <c r="A80" i="40" a="1"/>
  <c r="A80" i="40" s="1"/>
  <c r="A85" i="40" a="1"/>
  <c r="A85" i="40" s="1"/>
  <c r="B435" i="40" a="1"/>
  <c r="B435" i="40" s="1"/>
  <c r="A422" i="40" a="1"/>
  <c r="A422" i="40" s="1"/>
  <c r="A427" i="40" a="1"/>
  <c r="A427" i="40" s="1"/>
  <c r="A432" i="40" a="1"/>
  <c r="A432" i="40" s="1"/>
  <c r="B56" i="40" a="1"/>
  <c r="B56" i="40" s="1"/>
  <c r="A66" i="40" a="1"/>
  <c r="A66" i="40" s="1"/>
  <c r="A71" i="40" a="1"/>
  <c r="A71" i="40" s="1"/>
  <c r="A76" i="40" a="1"/>
  <c r="A76" i="40" s="1"/>
  <c r="B80" i="40" a="1"/>
  <c r="B80" i="40" s="1"/>
  <c r="B85" i="40" a="1"/>
  <c r="B85" i="40" s="1"/>
  <c r="A90" i="40" a="1"/>
  <c r="A90" i="40" s="1"/>
  <c r="A94" i="40" a="1"/>
  <c r="A94" i="40" s="1"/>
  <c r="A98" i="40" a="1"/>
  <c r="A98" i="40" s="1"/>
  <c r="A103" i="40" a="1"/>
  <c r="A103" i="40" s="1"/>
  <c r="B107" i="40" a="1"/>
  <c r="B107" i="40" s="1"/>
  <c r="B112" i="40" a="1"/>
  <c r="B112" i="40" s="1"/>
  <c r="A117" i="40" a="1"/>
  <c r="A117" i="40" s="1"/>
  <c r="A126" i="40" a="1"/>
  <c r="A126" i="40" s="1"/>
  <c r="B130" i="40" a="1"/>
  <c r="B130" i="40" s="1"/>
  <c r="B135" i="40" a="1"/>
  <c r="B135" i="40" s="1"/>
  <c r="A140" i="40" a="1"/>
  <c r="A140" i="40" s="1"/>
  <c r="A145" i="40" a="1"/>
  <c r="A145" i="40" s="1"/>
  <c r="B149" i="40" a="1"/>
  <c r="B149" i="40" s="1"/>
  <c r="B154" i="40" a="1"/>
  <c r="B154" i="40" s="1"/>
  <c r="B159" i="40" a="1"/>
  <c r="B159" i="40" s="1"/>
  <c r="B164" i="40" a="1"/>
  <c r="B164" i="40" s="1"/>
  <c r="A169" i="40" a="1"/>
  <c r="A169" i="40" s="1"/>
  <c r="A174" i="40" a="1"/>
  <c r="A174" i="40" s="1"/>
  <c r="B178" i="40" a="1"/>
  <c r="B178" i="40" s="1"/>
  <c r="B183" i="40" a="1"/>
  <c r="B183" i="40" s="1"/>
  <c r="A188" i="40" a="1"/>
  <c r="A188" i="40" s="1"/>
  <c r="A192" i="40" a="1"/>
  <c r="A192" i="40" s="1"/>
  <c r="B196" i="40" a="1"/>
  <c r="B196" i="40" s="1"/>
  <c r="B201" i="40" a="1"/>
  <c r="B201" i="40" s="1"/>
  <c r="A206" i="40" a="1"/>
  <c r="A206" i="40" s="1"/>
  <c r="A211" i="40" a="1"/>
  <c r="A211" i="40" s="1"/>
  <c r="A216" i="40" a="1"/>
  <c r="A216" i="40" s="1"/>
  <c r="A221" i="40" a="1"/>
  <c r="A221" i="40" s="1"/>
  <c r="A226" i="40" a="1"/>
  <c r="A226" i="40" s="1"/>
  <c r="B234" i="40" a="1"/>
  <c r="B234" i="40" s="1"/>
  <c r="B239" i="40" a="1"/>
  <c r="B239" i="40" s="1"/>
  <c r="A244" i="40" a="1"/>
  <c r="A244" i="40" s="1"/>
  <c r="A249" i="40" a="1"/>
  <c r="A249" i="40" s="1"/>
  <c r="A254" i="40" a="1"/>
  <c r="A254" i="40" s="1"/>
  <c r="A259" i="40" a="1"/>
  <c r="A259" i="40" s="1"/>
  <c r="B263" i="40" a="1"/>
  <c r="B263" i="40" s="1"/>
  <c r="A268" i="40" a="1"/>
  <c r="A268" i="40" s="1"/>
  <c r="A273" i="40" a="1"/>
  <c r="A273" i="40" s="1"/>
  <c r="A278" i="40" a="1"/>
  <c r="A278" i="40" s="1"/>
  <c r="B282" i="40" a="1"/>
  <c r="B282" i="40" s="1"/>
  <c r="B287" i="40" a="1"/>
  <c r="B287" i="40" s="1"/>
  <c r="B292" i="40" a="1"/>
  <c r="B292" i="40" s="1"/>
  <c r="A296" i="40" a="1"/>
  <c r="A296" i="40" s="1"/>
  <c r="A301" i="40" a="1"/>
  <c r="A301" i="40" s="1"/>
  <c r="A306" i="40" a="1"/>
  <c r="A306" i="40" s="1"/>
  <c r="A311" i="40" a="1"/>
  <c r="A311" i="40" s="1"/>
  <c r="A316" i="40" a="1"/>
  <c r="A316" i="40" s="1"/>
  <c r="A329" i="40" a="1"/>
  <c r="A329" i="40" s="1"/>
  <c r="A334" i="40" a="1"/>
  <c r="A334" i="40" s="1"/>
  <c r="B338" i="40" a="1"/>
  <c r="B338" i="40" s="1"/>
  <c r="B437" i="40" a="1"/>
  <c r="B437" i="40" s="1"/>
  <c r="B58" i="40" a="1"/>
  <c r="B58" i="40" s="1"/>
  <c r="B74" i="40" a="1"/>
  <c r="B74" i="40" s="1"/>
  <c r="B89" i="40" a="1"/>
  <c r="B89" i="40" s="1"/>
  <c r="A100" i="40" a="1"/>
  <c r="A100" i="40" s="1"/>
  <c r="B106" i="40" a="1"/>
  <c r="B106" i="40" s="1"/>
  <c r="A114" i="40" a="1"/>
  <c r="A114" i="40" s="1"/>
  <c r="A120" i="40" a="1"/>
  <c r="A120" i="40" s="1"/>
  <c r="B126" i="40" a="1"/>
  <c r="B126" i="40" s="1"/>
  <c r="A133" i="40" a="1"/>
  <c r="A133" i="40" s="1"/>
  <c r="B139" i="40" a="1"/>
  <c r="B139" i="40" s="1"/>
  <c r="B146" i="40" a="1"/>
  <c r="B146" i="40" s="1"/>
  <c r="B153" i="40" a="1"/>
  <c r="B153" i="40" s="1"/>
  <c r="A161" i="40" a="1"/>
  <c r="A161" i="40" s="1"/>
  <c r="B167" i="40" a="1"/>
  <c r="B167" i="40" s="1"/>
  <c r="B174" i="40" a="1"/>
  <c r="B174" i="40" s="1"/>
  <c r="A181" i="40" a="1"/>
  <c r="A181" i="40" s="1"/>
  <c r="B187" i="40" a="1"/>
  <c r="B187" i="40" s="1"/>
  <c r="A194" i="40" a="1"/>
  <c r="A194" i="40" s="1"/>
  <c r="B200" i="40" a="1"/>
  <c r="B200" i="40" s="1"/>
  <c r="B207" i="40" a="1"/>
  <c r="B207" i="40" s="1"/>
  <c r="B214" i="40" a="1"/>
  <c r="B214" i="40" s="1"/>
  <c r="B221" i="40" a="1"/>
  <c r="B221" i="40" s="1"/>
  <c r="A228" i="40" a="1"/>
  <c r="A228" i="40" s="1"/>
  <c r="A234" i="40" a="1"/>
  <c r="A234" i="40" s="1"/>
  <c r="B241" i="40" a="1"/>
  <c r="B241" i="40" s="1"/>
  <c r="A248" i="40" a="1"/>
  <c r="A248" i="40" s="1"/>
  <c r="B255" i="40" a="1"/>
  <c r="B255" i="40" s="1"/>
  <c r="A262" i="40" a="1"/>
  <c r="A262" i="40" s="1"/>
  <c r="B268" i="40" a="1"/>
  <c r="B268" i="40" s="1"/>
  <c r="B275" i="40" a="1"/>
  <c r="B275" i="40" s="1"/>
  <c r="A282" i="40" a="1"/>
  <c r="A282" i="40" s="1"/>
  <c r="B289" i="40" a="1"/>
  <c r="B289" i="40" s="1"/>
  <c r="B295" i="40" a="1"/>
  <c r="B295" i="40" s="1"/>
  <c r="B302" i="40" a="1"/>
  <c r="B302" i="40" s="1"/>
  <c r="B309" i="40" a="1"/>
  <c r="B309" i="40" s="1"/>
  <c r="B316" i="40" a="1"/>
  <c r="B316" i="40" s="1"/>
  <c r="B322" i="40" a="1"/>
  <c r="B322" i="40" s="1"/>
  <c r="B328" i="40" a="1"/>
  <c r="B328" i="40" s="1"/>
  <c r="B335" i="40" a="1"/>
  <c r="B335" i="40" s="1"/>
  <c r="A342" i="40" a="1"/>
  <c r="A342" i="40" s="1"/>
  <c r="B347" i="40" a="1"/>
  <c r="B347" i="40" s="1"/>
  <c r="B353" i="40" a="1"/>
  <c r="B353" i="40" s="1"/>
  <c r="B359" i="40" a="1"/>
  <c r="B359" i="40" s="1"/>
  <c r="A366" i="40" a="1"/>
  <c r="A366" i="40" s="1"/>
  <c r="A372" i="40" a="1"/>
  <c r="A372" i="40" s="1"/>
  <c r="B378" i="40" a="1"/>
  <c r="B378" i="40" s="1"/>
  <c r="B384" i="40" a="1"/>
  <c r="B384" i="40" s="1"/>
  <c r="A390" i="40" a="1"/>
  <c r="A390" i="40" s="1"/>
  <c r="A395" i="40" a="1"/>
  <c r="A395" i="40" s="1"/>
  <c r="A400" i="40" a="1"/>
  <c r="A400" i="40" s="1"/>
  <c r="B404" i="40" a="1"/>
  <c r="B404" i="40" s="1"/>
  <c r="B408" i="40" a="1"/>
  <c r="B408" i="40" s="1"/>
  <c r="A412" i="40" a="1"/>
  <c r="A412" i="40" s="1"/>
  <c r="A416" i="40" a="1"/>
  <c r="A416" i="40" s="1"/>
  <c r="B5" i="40" a="1"/>
  <c r="B5" i="40" s="1"/>
  <c r="B10" i="40" a="1"/>
  <c r="B10" i="40" s="1"/>
  <c r="A15" i="40" a="1"/>
  <c r="A15" i="40" s="1"/>
  <c r="A20" i="40" a="1"/>
  <c r="A20" i="40" s="1"/>
  <c r="A25" i="40" a="1"/>
  <c r="A25" i="40" s="1"/>
  <c r="A30" i="40" a="1"/>
  <c r="A30" i="40" s="1"/>
  <c r="A35" i="40" a="1"/>
  <c r="A35" i="40" s="1"/>
  <c r="A40" i="40" a="1"/>
  <c r="A40" i="40" s="1"/>
  <c r="A45" i="40" a="1"/>
  <c r="A45" i="40" s="1"/>
  <c r="B49" i="40" a="1"/>
  <c r="B49" i="40" s="1"/>
  <c r="B2" i="40" a="1"/>
  <c r="B2" i="40" s="1"/>
  <c r="A413" i="40" a="1"/>
  <c r="A413" i="40" s="1"/>
  <c r="A7" i="40" a="1"/>
  <c r="A7" i="40" s="1"/>
  <c r="A16" i="40" a="1"/>
  <c r="A16" i="40" s="1"/>
  <c r="A31" i="40" a="1"/>
  <c r="A31" i="40" s="1"/>
  <c r="A41" i="40" a="1"/>
  <c r="A41" i="40" s="1"/>
  <c r="B50" i="40" a="1"/>
  <c r="B50" i="40" s="1"/>
  <c r="B16" i="40" a="1"/>
  <c r="B16" i="40" s="1"/>
  <c r="B31" i="40" a="1"/>
  <c r="B31" i="40" s="1"/>
  <c r="B41" i="40" a="1"/>
  <c r="B41" i="40" s="1"/>
  <c r="A27" i="40" a="1"/>
  <c r="A27" i="40" s="1"/>
  <c r="A37" i="40" a="1"/>
  <c r="A37" i="40" s="1"/>
  <c r="B32" i="40" a="1"/>
  <c r="B32" i="40" s="1"/>
  <c r="A47" i="40" a="1"/>
  <c r="A47" i="40" s="1"/>
  <c r="B231" i="40" a="1"/>
  <c r="B231" i="40" s="1"/>
  <c r="B286" i="40" a="1"/>
  <c r="B286" i="40" s="1"/>
  <c r="A424" i="40" a="1"/>
  <c r="A424" i="40" s="1"/>
  <c r="A60" i="40" a="1"/>
  <c r="A60" i="40" s="1"/>
  <c r="A75" i="40" a="1"/>
  <c r="A75" i="40" s="1"/>
  <c r="A91" i="40" a="1"/>
  <c r="A91" i="40" s="1"/>
  <c r="B100" i="40" a="1"/>
  <c r="B100" i="40" s="1"/>
  <c r="A107" i="40" a="1"/>
  <c r="A107" i="40" s="1"/>
  <c r="B114" i="40" a="1"/>
  <c r="B114" i="40" s="1"/>
  <c r="B120" i="40" a="1"/>
  <c r="B120" i="40" s="1"/>
  <c r="A134" i="40" a="1"/>
  <c r="A134" i="40" s="1"/>
  <c r="B140" i="40" a="1"/>
  <c r="B140" i="40" s="1"/>
  <c r="A147" i="40" a="1"/>
  <c r="A147" i="40" s="1"/>
  <c r="A154" i="40" a="1"/>
  <c r="A154" i="40" s="1"/>
  <c r="B161" i="40" a="1"/>
  <c r="B161" i="40" s="1"/>
  <c r="A168" i="40" a="1"/>
  <c r="A168" i="40" s="1"/>
  <c r="A182" i="40" a="1"/>
  <c r="A182" i="40" s="1"/>
  <c r="B188" i="40" a="1"/>
  <c r="B188" i="40" s="1"/>
  <c r="B194" i="40" a="1"/>
  <c r="B194" i="40" s="1"/>
  <c r="A201" i="40" a="1"/>
  <c r="A201" i="40" s="1"/>
  <c r="A208" i="40" a="1"/>
  <c r="A208" i="40" s="1"/>
  <c r="A215" i="40" a="1"/>
  <c r="A215" i="40" s="1"/>
  <c r="B222" i="40" a="1"/>
  <c r="B222" i="40" s="1"/>
  <c r="B228" i="40" a="1"/>
  <c r="B228" i="40" s="1"/>
  <c r="A235" i="40" a="1"/>
  <c r="A235" i="40" s="1"/>
  <c r="A242" i="40" a="1"/>
  <c r="A242" i="40" s="1"/>
  <c r="B248" i="40" a="1"/>
  <c r="B248" i="40" s="1"/>
  <c r="A256" i="40" a="1"/>
  <c r="A256" i="40" s="1"/>
  <c r="B262" i="40" a="1"/>
  <c r="B262" i="40" s="1"/>
  <c r="B269" i="40" a="1"/>
  <c r="B269" i="40" s="1"/>
  <c r="B276" i="40" a="1"/>
  <c r="B276" i="40" s="1"/>
  <c r="A283" i="40" a="1"/>
  <c r="A283" i="40" s="1"/>
  <c r="A290" i="40" a="1"/>
  <c r="A290" i="40" s="1"/>
  <c r="A303" i="40" a="1"/>
  <c r="A303" i="40" s="1"/>
  <c r="A310" i="40" a="1"/>
  <c r="A310" i="40" s="1"/>
  <c r="B317" i="40" a="1"/>
  <c r="B317" i="40" s="1"/>
  <c r="A323" i="40" a="1"/>
  <c r="A323" i="40" s="1"/>
  <c r="B329" i="40" a="1"/>
  <c r="B329" i="40" s="1"/>
  <c r="A336" i="40" a="1"/>
  <c r="A336" i="40" s="1"/>
  <c r="B342" i="40" a="1"/>
  <c r="B342" i="40" s="1"/>
  <c r="A348" i="40" a="1"/>
  <c r="A348" i="40" s="1"/>
  <c r="A354" i="40" a="1"/>
  <c r="A354" i="40" s="1"/>
  <c r="B360" i="40" a="1"/>
  <c r="B360" i="40" s="1"/>
  <c r="B366" i="40" a="1"/>
  <c r="B366" i="40" s="1"/>
  <c r="B372" i="40" a="1"/>
  <c r="B372" i="40" s="1"/>
  <c r="A379" i="40" a="1"/>
  <c r="A379" i="40" s="1"/>
  <c r="B385" i="40" a="1"/>
  <c r="B385" i="40" s="1"/>
  <c r="B390" i="40" a="1"/>
  <c r="B390" i="40" s="1"/>
  <c r="B400" i="40" a="1"/>
  <c r="B400" i="40" s="1"/>
  <c r="B412" i="40" a="1"/>
  <c r="B412" i="40" s="1"/>
  <c r="B416" i="40" a="1"/>
  <c r="B416" i="40" s="1"/>
  <c r="B420" i="40" a="1"/>
  <c r="B420" i="40" s="1"/>
  <c r="B6" i="40" a="1"/>
  <c r="B6" i="40" s="1"/>
  <c r="A11" i="40" a="1"/>
  <c r="A11" i="40" s="1"/>
  <c r="B15" i="40" a="1"/>
  <c r="B15" i="40" s="1"/>
  <c r="B20" i="40" a="1"/>
  <c r="B20" i="40" s="1"/>
  <c r="B25" i="40" a="1"/>
  <c r="B25" i="40" s="1"/>
  <c r="B30" i="40" a="1"/>
  <c r="B30" i="40" s="1"/>
  <c r="B35" i="40" a="1"/>
  <c r="B35" i="40" s="1"/>
  <c r="B40" i="40" a="1"/>
  <c r="B40" i="40" s="1"/>
  <c r="B45" i="40" a="1"/>
  <c r="B45" i="40" s="1"/>
  <c r="A50" i="40" a="1"/>
  <c r="A50" i="40" s="1"/>
  <c r="A2" i="40" a="1"/>
  <c r="A2" i="40" s="1"/>
  <c r="A391" i="40" a="1"/>
  <c r="A391" i="40" s="1"/>
  <c r="A409" i="40" a="1"/>
  <c r="A409" i="40" s="1"/>
  <c r="A421" i="40" a="1"/>
  <c r="A421" i="40" s="1"/>
  <c r="B11" i="40" a="1"/>
  <c r="B11" i="40" s="1"/>
  <c r="A21" i="40" a="1"/>
  <c r="A21" i="40" s="1"/>
  <c r="A36" i="40" a="1"/>
  <c r="A36" i="40" s="1"/>
  <c r="A46" i="40" a="1"/>
  <c r="A46" i="40" s="1"/>
  <c r="A12" i="40" a="1"/>
  <c r="A12" i="40" s="1"/>
  <c r="B26" i="40" a="1"/>
  <c r="B26" i="40" s="1"/>
  <c r="B36" i="40" a="1"/>
  <c r="B36" i="40" s="1"/>
  <c r="A51" i="40" a="1"/>
  <c r="A51" i="40" s="1"/>
  <c r="A32" i="40" a="1"/>
  <c r="A32" i="40" s="1"/>
  <c r="B46" i="40" a="1"/>
  <c r="B46" i="40" s="1"/>
  <c r="B37" i="40" a="1"/>
  <c r="B37" i="40" s="1"/>
  <c r="B51" i="40" a="1"/>
  <c r="B51" i="40" s="1"/>
  <c r="B238" i="40" a="1"/>
  <c r="B238" i="40" s="1"/>
  <c r="B425" i="40" a="1"/>
  <c r="B425" i="40" s="1"/>
  <c r="B60" i="40" a="1"/>
  <c r="B60" i="40" s="1"/>
  <c r="B77" i="40" a="1"/>
  <c r="B77" i="40" s="1"/>
  <c r="B92" i="40" a="1"/>
  <c r="B92" i="40" s="1"/>
  <c r="B101" i="40" a="1"/>
  <c r="B101" i="40" s="1"/>
  <c r="A108" i="40" a="1"/>
  <c r="A108" i="40" s="1"/>
  <c r="A115" i="40" a="1"/>
  <c r="A115" i="40" s="1"/>
  <c r="A121" i="40" a="1"/>
  <c r="A121" i="40" s="1"/>
  <c r="B127" i="40" a="1"/>
  <c r="B127" i="40" s="1"/>
  <c r="B134" i="40" a="1"/>
  <c r="B134" i="40" s="1"/>
  <c r="B141" i="40" a="1"/>
  <c r="B141" i="40" s="1"/>
  <c r="A148" i="40" a="1"/>
  <c r="A148" i="40" s="1"/>
  <c r="A155" i="40" a="1"/>
  <c r="A155" i="40" s="1"/>
  <c r="A162" i="40" a="1"/>
  <c r="A162" i="40" s="1"/>
  <c r="B168" i="40" a="1"/>
  <c r="B168" i="40" s="1"/>
  <c r="B175" i="40" a="1"/>
  <c r="B175" i="40" s="1"/>
  <c r="B182" i="40" a="1"/>
  <c r="B182" i="40" s="1"/>
  <c r="B189" i="40" a="1"/>
  <c r="B189" i="40" s="1"/>
  <c r="B195" i="40" a="1"/>
  <c r="B195" i="40" s="1"/>
  <c r="A202" i="40" a="1"/>
  <c r="A202" i="40" s="1"/>
  <c r="B208" i="40" a="1"/>
  <c r="B208" i="40" s="1"/>
  <c r="B215" i="40" a="1"/>
  <c r="B215" i="40" s="1"/>
  <c r="A223" i="40" a="1"/>
  <c r="A223" i="40" s="1"/>
  <c r="A229" i="40" a="1"/>
  <c r="A229" i="40" s="1"/>
  <c r="A236" i="40" a="1"/>
  <c r="A236" i="40" s="1"/>
  <c r="A243" i="40" a="1"/>
  <c r="A243" i="40" s="1"/>
  <c r="B249" i="40" a="1"/>
  <c r="B249" i="40" s="1"/>
  <c r="B256" i="40" a="1"/>
  <c r="B256" i="40" s="1"/>
  <c r="A263" i="40" a="1"/>
  <c r="A263" i="40" s="1"/>
  <c r="A270" i="40" a="1"/>
  <c r="A270" i="40" s="1"/>
  <c r="A277" i="40" a="1"/>
  <c r="A277" i="40" s="1"/>
  <c r="A284" i="40" a="1"/>
  <c r="A284" i="40" s="1"/>
  <c r="A291" i="40" a="1"/>
  <c r="A291" i="40" s="1"/>
  <c r="B296" i="40" a="1"/>
  <c r="B296" i="40" s="1"/>
  <c r="B303" i="40" a="1"/>
  <c r="B303" i="40" s="1"/>
  <c r="B310" i="40" a="1"/>
  <c r="B310" i="40" s="1"/>
  <c r="A318" i="40" a="1"/>
  <c r="A318" i="40" s="1"/>
  <c r="B323" i="40" a="1"/>
  <c r="B323" i="40" s="1"/>
  <c r="B330" i="40" a="1"/>
  <c r="B330" i="40" s="1"/>
  <c r="A337" i="40" a="1"/>
  <c r="A337" i="40" s="1"/>
  <c r="A349" i="40" a="1"/>
  <c r="A349" i="40" s="1"/>
  <c r="B354" i="40" a="1"/>
  <c r="B354" i="40" s="1"/>
  <c r="A361" i="40" a="1"/>
  <c r="A361" i="40" s="1"/>
  <c r="A367" i="40" a="1"/>
  <c r="A367" i="40" s="1"/>
  <c r="B373" i="40" a="1"/>
  <c r="B373" i="40" s="1"/>
  <c r="B379" i="40" a="1"/>
  <c r="B379" i="40" s="1"/>
  <c r="A386" i="40" a="1"/>
  <c r="A386" i="40" s="1"/>
  <c r="B395" i="40" a="1"/>
  <c r="B395" i="40" s="1"/>
  <c r="A405" i="40" a="1"/>
  <c r="A405" i="40" s="1"/>
  <c r="A417" i="40" a="1"/>
  <c r="A417" i="40" s="1"/>
  <c r="A26" i="40" a="1"/>
  <c r="A26" i="40" s="1"/>
  <c r="A426" i="40" a="1"/>
  <c r="A426" i="40" s="1"/>
  <c r="A63" i="40" a="1"/>
  <c r="A63" i="40" s="1"/>
  <c r="A79" i="40" a="1"/>
  <c r="A79" i="40" s="1"/>
  <c r="A93" i="40" a="1"/>
  <c r="A93" i="40" s="1"/>
  <c r="A102" i="40" a="1"/>
  <c r="A102" i="40" s="1"/>
  <c r="A109" i="40" a="1"/>
  <c r="A109" i="40" s="1"/>
  <c r="B115" i="40" a="1"/>
  <c r="B115" i="40" s="1"/>
  <c r="B121" i="40" a="1"/>
  <c r="B121" i="40" s="1"/>
  <c r="A128" i="40" a="1"/>
  <c r="A128" i="40" s="1"/>
  <c r="A135" i="40" a="1"/>
  <c r="A135" i="40" s="1"/>
  <c r="A142" i="40" a="1"/>
  <c r="A142" i="40" s="1"/>
  <c r="B148" i="40" a="1"/>
  <c r="B148" i="40" s="1"/>
  <c r="A156" i="40" a="1"/>
  <c r="A156" i="40" s="1"/>
  <c r="A163" i="40" a="1"/>
  <c r="A163" i="40" s="1"/>
  <c r="B169" i="40" a="1"/>
  <c r="B169" i="40" s="1"/>
  <c r="A176" i="40" a="1"/>
  <c r="A176" i="40" s="1"/>
  <c r="A183" i="40" a="1"/>
  <c r="A183" i="40" s="1"/>
  <c r="A196" i="40" a="1"/>
  <c r="A196" i="40" s="1"/>
  <c r="A203" i="40" a="1"/>
  <c r="A203" i="40" s="1"/>
  <c r="B209" i="40" a="1"/>
  <c r="B209" i="40" s="1"/>
  <c r="B216" i="40" a="1"/>
  <c r="B216" i="40" s="1"/>
  <c r="B223" i="40" a="1"/>
  <c r="B223" i="40" s="1"/>
  <c r="B229" i="40" a="1"/>
  <c r="B229" i="40" s="1"/>
  <c r="B236" i="40" a="1"/>
  <c r="B236" i="40" s="1"/>
  <c r="B243" i="40" a="1"/>
  <c r="B243" i="40" s="1"/>
  <c r="B250" i="40" a="1"/>
  <c r="B250" i="40" s="1"/>
  <c r="B257" i="40" a="1"/>
  <c r="B257" i="40" s="1"/>
  <c r="A264" i="40" a="1"/>
  <c r="A264" i="40" s="1"/>
  <c r="B270" i="40" a="1"/>
  <c r="B270" i="40" s="1"/>
  <c r="B277" i="40" a="1"/>
  <c r="B277" i="40" s="1"/>
  <c r="B284" i="40" a="1"/>
  <c r="B284" i="40" s="1"/>
  <c r="B291" i="40" a="1"/>
  <c r="B291" i="40" s="1"/>
  <c r="B297" i="40" a="1"/>
  <c r="B297" i="40" s="1"/>
  <c r="B304" i="40" a="1"/>
  <c r="B304" i="40" s="1"/>
  <c r="B311" i="40" a="1"/>
  <c r="B311" i="40" s="1"/>
  <c r="B318" i="40" a="1"/>
  <c r="B318" i="40" s="1"/>
  <c r="A324" i="40" a="1"/>
  <c r="A324" i="40" s="1"/>
  <c r="A331" i="40" a="1"/>
  <c r="A331" i="40" s="1"/>
  <c r="B337" i="40" a="1"/>
  <c r="B337" i="40" s="1"/>
  <c r="A343" i="40" a="1"/>
  <c r="A343" i="40" s="1"/>
  <c r="B349" i="40" a="1"/>
  <c r="B349" i="40" s="1"/>
  <c r="B355" i="40" a="1"/>
  <c r="B355" i="40" s="1"/>
  <c r="B361" i="40" a="1"/>
  <c r="B361" i="40" s="1"/>
  <c r="B367" i="40" a="1"/>
  <c r="B367" i="40" s="1"/>
  <c r="A374" i="40" a="1"/>
  <c r="A374" i="40" s="1"/>
  <c r="B380" i="40" a="1"/>
  <c r="B380" i="40" s="1"/>
  <c r="B386" i="40" a="1"/>
  <c r="B386" i="40" s="1"/>
  <c r="B391" i="40" a="1"/>
  <c r="B391" i="40" s="1"/>
  <c r="A396" i="40" a="1"/>
  <c r="A396" i="40" s="1"/>
  <c r="A401" i="40" a="1"/>
  <c r="A401" i="40" s="1"/>
  <c r="B405" i="40" a="1"/>
  <c r="B405" i="40" s="1"/>
  <c r="B409" i="40" a="1"/>
  <c r="B409" i="40" s="1"/>
  <c r="B413" i="40" a="1"/>
  <c r="B413" i="40" s="1"/>
  <c r="B417" i="40" a="1"/>
  <c r="B417" i="40" s="1"/>
  <c r="B7" i="40" a="1"/>
  <c r="B7" i="40" s="1"/>
  <c r="B21" i="40" a="1"/>
  <c r="B21" i="40" s="1"/>
  <c r="A429" i="40" a="1"/>
  <c r="A429" i="40" s="1"/>
  <c r="B64" i="40" a="1"/>
  <c r="B64" i="40" s="1"/>
  <c r="B79" i="40" a="1"/>
  <c r="B79" i="40" s="1"/>
  <c r="B93" i="40" a="1"/>
  <c r="B93" i="40" s="1"/>
  <c r="B102" i="40" a="1"/>
  <c r="B102" i="40" s="1"/>
  <c r="B109" i="40" a="1"/>
  <c r="B109" i="40" s="1"/>
  <c r="A116" i="40" a="1"/>
  <c r="A116" i="40" s="1"/>
  <c r="B122" i="40" a="1"/>
  <c r="B122" i="40" s="1"/>
  <c r="A129" i="40" a="1"/>
  <c r="A129" i="40" s="1"/>
  <c r="A136" i="40" a="1"/>
  <c r="A136" i="40" s="1"/>
  <c r="B142" i="40" a="1"/>
  <c r="B142" i="40" s="1"/>
  <c r="A149" i="40" a="1"/>
  <c r="A149" i="40" s="1"/>
  <c r="B156" i="40" a="1"/>
  <c r="B156" i="40" s="1"/>
  <c r="B163" i="40" a="1"/>
  <c r="B163" i="40" s="1"/>
  <c r="B170" i="40" a="1"/>
  <c r="B170" i="40" s="1"/>
  <c r="A177" i="40" a="1"/>
  <c r="A177" i="40" s="1"/>
  <c r="A184" i="40" a="1"/>
  <c r="A184" i="40" s="1"/>
  <c r="A190" i="40" a="1"/>
  <c r="A190" i="40" s="1"/>
  <c r="B203" i="40" a="1"/>
  <c r="B203" i="40" s="1"/>
  <c r="A210" i="40" a="1"/>
  <c r="A210" i="40" s="1"/>
  <c r="B217" i="40" a="1"/>
  <c r="B217" i="40" s="1"/>
  <c r="B224" i="40" a="1"/>
  <c r="B224" i="40" s="1"/>
  <c r="A230" i="40" a="1"/>
  <c r="A230" i="40" s="1"/>
  <c r="A237" i="40" a="1"/>
  <c r="A237" i="40" s="1"/>
  <c r="A251" i="40" a="1"/>
  <c r="A251" i="40" s="1"/>
  <c r="A258" i="40" a="1"/>
  <c r="A258" i="40" s="1"/>
  <c r="A265" i="40" a="1"/>
  <c r="A265" i="40" s="1"/>
  <c r="B271" i="40" a="1"/>
  <c r="B271" i="40" s="1"/>
  <c r="B278" i="40" a="1"/>
  <c r="B278" i="40" s="1"/>
  <c r="A285" i="40" a="1"/>
  <c r="A285" i="40" s="1"/>
  <c r="A292" i="40" a="1"/>
  <c r="A292" i="40" s="1"/>
  <c r="A298" i="40" a="1"/>
  <c r="A298" i="40" s="1"/>
  <c r="A305" i="40" a="1"/>
  <c r="A305" i="40" s="1"/>
  <c r="B312" i="40" a="1"/>
  <c r="B312" i="40" s="1"/>
  <c r="B319" i="40" a="1"/>
  <c r="B319" i="40" s="1"/>
  <c r="B324" i="40" a="1"/>
  <c r="B324" i="40" s="1"/>
  <c r="B331" i="40" a="1"/>
  <c r="B331" i="40" s="1"/>
  <c r="A338" i="40" a="1"/>
  <c r="A338" i="40" s="1"/>
  <c r="A344" i="40" a="1"/>
  <c r="A344" i="40" s="1"/>
  <c r="A350" i="40" a="1"/>
  <c r="A350" i="40" s="1"/>
  <c r="A356" i="40" a="1"/>
  <c r="A356" i="40" s="1"/>
  <c r="A362" i="40" a="1"/>
  <c r="A362" i="40" s="1"/>
  <c r="B368" i="40" a="1"/>
  <c r="B368" i="40" s="1"/>
  <c r="B374" i="40" a="1"/>
  <c r="B374" i="40" s="1"/>
  <c r="A381" i="40" a="1"/>
  <c r="A381" i="40" s="1"/>
  <c r="A387" i="40" a="1"/>
  <c r="A387" i="40" s="1"/>
  <c r="A392" i="40" a="1"/>
  <c r="A392" i="40" s="1"/>
  <c r="B396" i="40" a="1"/>
  <c r="B396" i="40" s="1"/>
  <c r="B401" i="40" a="1"/>
  <c r="B401" i="40" s="1"/>
  <c r="B414" i="40" a="1"/>
  <c r="B414" i="40" s="1"/>
  <c r="A418" i="40" a="1"/>
  <c r="A418" i="40" s="1"/>
  <c r="B421" i="40" a="1"/>
  <c r="B421" i="40" s="1"/>
  <c r="A8" i="40" a="1"/>
  <c r="A8" i="40" s="1"/>
  <c r="B12" i="40" a="1"/>
  <c r="B12" i="40" s="1"/>
  <c r="A17" i="40" a="1"/>
  <c r="A17" i="40" s="1"/>
  <c r="A22" i="40" a="1"/>
  <c r="A22" i="40" s="1"/>
  <c r="A42" i="40" a="1"/>
  <c r="A42" i="40" s="1"/>
  <c r="B430" i="40" a="1"/>
  <c r="B430" i="40" s="1"/>
  <c r="A65" i="40" a="1"/>
  <c r="A65" i="40" s="1"/>
  <c r="B82" i="40" a="1"/>
  <c r="B82" i="40" s="1"/>
  <c r="B103" i="40" a="1"/>
  <c r="B103" i="40" s="1"/>
  <c r="A110" i="40" a="1"/>
  <c r="A110" i="40" s="1"/>
  <c r="B116" i="40" a="1"/>
  <c r="B116" i="40" s="1"/>
  <c r="A123" i="40" a="1"/>
  <c r="A123" i="40" s="1"/>
  <c r="B129" i="40" a="1"/>
  <c r="B129" i="40" s="1"/>
  <c r="B136" i="40" a="1"/>
  <c r="B136" i="40" s="1"/>
  <c r="B143" i="40" a="1"/>
  <c r="B143" i="40" s="1"/>
  <c r="A150" i="40" a="1"/>
  <c r="A150" i="40" s="1"/>
  <c r="A157" i="40" a="1"/>
  <c r="A157" i="40" s="1"/>
  <c r="A164" i="40" a="1"/>
  <c r="A164" i="40" s="1"/>
  <c r="A171" i="40" a="1"/>
  <c r="A171" i="40" s="1"/>
  <c r="B177" i="40" a="1"/>
  <c r="B177" i="40" s="1"/>
  <c r="A197" i="40" a="1"/>
  <c r="A197" i="40" s="1"/>
  <c r="A204" i="40" a="1"/>
  <c r="A204" i="40" s="1"/>
  <c r="B210" i="40" a="1"/>
  <c r="B210" i="40" s="1"/>
  <c r="A218" i="40" a="1"/>
  <c r="A218" i="40" s="1"/>
  <c r="A225" i="40" a="1"/>
  <c r="A225" i="40" s="1"/>
  <c r="A231" i="40" a="1"/>
  <c r="A231" i="40" s="1"/>
  <c r="A238" i="40" a="1"/>
  <c r="A238" i="40" s="1"/>
  <c r="B244" i="40" a="1"/>
  <c r="B244" i="40" s="1"/>
  <c r="B251" i="40" a="1"/>
  <c r="B251" i="40" s="1"/>
  <c r="B258" i="40" a="1"/>
  <c r="B258" i="40" s="1"/>
  <c r="B265" i="40" a="1"/>
  <c r="B265" i="40" s="1"/>
  <c r="A272" i="40" a="1"/>
  <c r="A272" i="40" s="1"/>
  <c r="B279" i="40" a="1"/>
  <c r="B279" i="40" s="1"/>
  <c r="A286" i="40" a="1"/>
  <c r="A286" i="40" s="1"/>
  <c r="A293" i="40" a="1"/>
  <c r="A293" i="40" s="1"/>
  <c r="B298" i="40" a="1"/>
  <c r="B298" i="40" s="1"/>
  <c r="B305" i="40" a="1"/>
  <c r="B305" i="40" s="1"/>
  <c r="A313" i="40" a="1"/>
  <c r="A313" i="40" s="1"/>
  <c r="B325" i="40" a="1"/>
  <c r="B325" i="40" s="1"/>
  <c r="B332" i="40" a="1"/>
  <c r="B332" i="40" s="1"/>
  <c r="A339" i="40" a="1"/>
  <c r="A339" i="40" s="1"/>
  <c r="B344" i="40" a="1"/>
  <c r="B344" i="40" s="1"/>
  <c r="A351" i="40" a="1"/>
  <c r="A351" i="40" s="1"/>
  <c r="B356" i="40" a="1"/>
  <c r="B356" i="40" s="1"/>
  <c r="B362" i="40" a="1"/>
  <c r="B362" i="40" s="1"/>
  <c r="A369" i="40" a="1"/>
  <c r="A369" i="40" s="1"/>
  <c r="B375" i="40" a="1"/>
  <c r="B375" i="40" s="1"/>
  <c r="B381" i="40" a="1"/>
  <c r="B381" i="40" s="1"/>
  <c r="B387" i="40" a="1"/>
  <c r="B387" i="40" s="1"/>
  <c r="B392" i="40" a="1"/>
  <c r="B392" i="40" s="1"/>
  <c r="A397" i="40" a="1"/>
  <c r="A397" i="40" s="1"/>
  <c r="A402" i="40" a="1"/>
  <c r="A402" i="40" s="1"/>
  <c r="A406" i="40" a="1"/>
  <c r="A406" i="40" s="1"/>
  <c r="B418" i="40" a="1"/>
  <c r="B418" i="40" s="1"/>
  <c r="A3" i="40" a="1"/>
  <c r="A3" i="40" s="1"/>
  <c r="B8" i="40" a="1"/>
  <c r="B8" i="40" s="1"/>
  <c r="A13" i="40" a="1"/>
  <c r="A13" i="40" s="1"/>
  <c r="B17" i="40" a="1"/>
  <c r="B17" i="40" s="1"/>
  <c r="B22" i="40" a="1"/>
  <c r="B22" i="40" s="1"/>
  <c r="B27" i="40" a="1"/>
  <c r="B27" i="40" s="1"/>
  <c r="B42" i="40" a="1"/>
  <c r="B42" i="40" s="1"/>
  <c r="A431" i="40" a="1"/>
  <c r="A431" i="40" s="1"/>
  <c r="A68" i="40" a="1"/>
  <c r="A68" i="40" s="1"/>
  <c r="A84" i="40" a="1"/>
  <c r="A84" i="40" s="1"/>
  <c r="B96" i="40" a="1"/>
  <c r="B96" i="40" s="1"/>
  <c r="B104" i="40" a="1"/>
  <c r="B104" i="40" s="1"/>
  <c r="A111" i="40" a="1"/>
  <c r="A111" i="40" s="1"/>
  <c r="B117" i="40" a="1"/>
  <c r="B117" i="40" s="1"/>
  <c r="B123" i="40" a="1"/>
  <c r="B123" i="40" s="1"/>
  <c r="A130" i="40" a="1"/>
  <c r="A130" i="40" s="1"/>
  <c r="A137" i="40" a="1"/>
  <c r="A137" i="40" s="1"/>
  <c r="A144" i="40" a="1"/>
  <c r="A144" i="40" s="1"/>
  <c r="A151" i="40" a="1"/>
  <c r="A151" i="40" s="1"/>
  <c r="A158" i="40" a="1"/>
  <c r="A158" i="40" s="1"/>
  <c r="A165" i="40" a="1"/>
  <c r="A165" i="40" s="1"/>
  <c r="B171" i="40" a="1"/>
  <c r="B171" i="40" s="1"/>
  <c r="A178" i="40" a="1"/>
  <c r="A178" i="40" s="1"/>
  <c r="A185" i="40" a="1"/>
  <c r="A185" i="40" s="1"/>
  <c r="A191" i="40" a="1"/>
  <c r="A191" i="40" s="1"/>
  <c r="A198" i="40" a="1"/>
  <c r="A198" i="40" s="1"/>
  <c r="B211" i="40" a="1"/>
  <c r="B211" i="40" s="1"/>
  <c r="B218" i="40" a="1"/>
  <c r="B218" i="40" s="1"/>
  <c r="B225" i="40" a="1"/>
  <c r="B225" i="40" s="1"/>
  <c r="B245" i="40" a="1"/>
  <c r="B245" i="40" s="1"/>
  <c r="B55" i="40" a="1"/>
  <c r="B55" i="40" s="1"/>
  <c r="A70" i="40" a="1"/>
  <c r="A70" i="40" s="1"/>
  <c r="B87" i="40" a="1"/>
  <c r="B87" i="40" s="1"/>
  <c r="B97" i="40" a="1"/>
  <c r="B97" i="40" s="1"/>
  <c r="A105" i="40" a="1"/>
  <c r="A105" i="40" s="1"/>
  <c r="A112" i="40" a="1"/>
  <c r="A112" i="40" s="1"/>
  <c r="A119" i="40" a="1"/>
  <c r="A119" i="40" s="1"/>
  <c r="A125" i="40" a="1"/>
  <c r="A125" i="40" s="1"/>
  <c r="A132" i="40" a="1"/>
  <c r="A132" i="40" s="1"/>
  <c r="B138" i="40" a="1"/>
  <c r="B138" i="40" s="1"/>
  <c r="A152" i="40" a="1"/>
  <c r="A152" i="40" s="1"/>
  <c r="A159" i="40" a="1"/>
  <c r="A159" i="40" s="1"/>
  <c r="A166" i="40" a="1"/>
  <c r="A166" i="40" s="1"/>
  <c r="A173" i="40" a="1"/>
  <c r="A173" i="40" s="1"/>
  <c r="A180" i="40" a="1"/>
  <c r="A180" i="40" s="1"/>
  <c r="B186" i="40" a="1"/>
  <c r="B186" i="40" s="1"/>
  <c r="B192" i="40" a="1"/>
  <c r="B192" i="40" s="1"/>
  <c r="A199" i="40" a="1"/>
  <c r="A199" i="40" s="1"/>
  <c r="B205" i="40" a="1"/>
  <c r="B205" i="40" s="1"/>
  <c r="A213" i="40" a="1"/>
  <c r="A213" i="40" s="1"/>
  <c r="A220" i="40" a="1"/>
  <c r="A220" i="40" s="1"/>
  <c r="A227" i="40" a="1"/>
  <c r="A227" i="40" s="1"/>
  <c r="A233" i="40" a="1"/>
  <c r="A233" i="40" s="1"/>
  <c r="A240" i="40" a="1"/>
  <c r="A240" i="40" s="1"/>
  <c r="B246" i="40" a="1"/>
  <c r="B246" i="40" s="1"/>
  <c r="B253" i="40" a="1"/>
  <c r="B253" i="40" s="1"/>
  <c r="A261" i="40" a="1"/>
  <c r="A261" i="40" s="1"/>
  <c r="B274" i="40" a="1"/>
  <c r="B274" i="40" s="1"/>
  <c r="A281" i="40" a="1"/>
  <c r="A281" i="40" s="1"/>
  <c r="A288" i="40" a="1"/>
  <c r="A288" i="40" s="1"/>
  <c r="B294" i="40" a="1"/>
  <c r="B294" i="40" s="1"/>
  <c r="B300" i="40" a="1"/>
  <c r="B300" i="40" s="1"/>
  <c r="A308" i="40" a="1"/>
  <c r="A308" i="40" s="1"/>
  <c r="A315" i="40" a="1"/>
  <c r="A315" i="40" s="1"/>
  <c r="B321" i="40" a="1"/>
  <c r="B321" i="40" s="1"/>
  <c r="B327" i="40" a="1"/>
  <c r="B327" i="40" s="1"/>
  <c r="B334" i="40" a="1"/>
  <c r="B334" i="40" s="1"/>
  <c r="B340" i="40" a="1"/>
  <c r="B340" i="40" s="1"/>
  <c r="B346" i="40" a="1"/>
  <c r="B346" i="40" s="1"/>
  <c r="B358" i="40" a="1"/>
  <c r="B358" i="40" s="1"/>
  <c r="B364" i="40" a="1"/>
  <c r="B364" i="40" s="1"/>
  <c r="A371" i="40" a="1"/>
  <c r="A371" i="40" s="1"/>
  <c r="A377" i="40" a="1"/>
  <c r="A377" i="40" s="1"/>
  <c r="B383" i="40" a="1"/>
  <c r="B383" i="40" s="1"/>
  <c r="A389" i="40" a="1"/>
  <c r="A389" i="40" s="1"/>
  <c r="A394" i="40" a="1"/>
  <c r="A394" i="40" s="1"/>
  <c r="A399" i="40" a="1"/>
  <c r="A399" i="40" s="1"/>
  <c r="B403" i="40" a="1"/>
  <c r="B403" i="40" s="1"/>
  <c r="B407" i="40" a="1"/>
  <c r="B407" i="40" s="1"/>
  <c r="B415" i="40" a="1"/>
  <c r="B415" i="40" s="1"/>
  <c r="B4" i="40" a="1"/>
  <c r="B4" i="40" s="1"/>
  <c r="B9" i="40" a="1"/>
  <c r="B9" i="40" s="1"/>
  <c r="A14" i="40" a="1"/>
  <c r="A14" i="40" s="1"/>
  <c r="A19" i="40" a="1"/>
  <c r="A19" i="40" s="1"/>
  <c r="A24" i="40" a="1"/>
  <c r="A24" i="40" s="1"/>
  <c r="A29" i="40" a="1"/>
  <c r="A29" i="40" s="1"/>
  <c r="A34" i="40" a="1"/>
  <c r="A34" i="40" s="1"/>
  <c r="A39" i="40" a="1"/>
  <c r="A39" i="40" s="1"/>
  <c r="A44" i="40" a="1"/>
  <c r="A44" i="40" s="1"/>
  <c r="B48" i="40" a="1"/>
  <c r="B48" i="40" s="1"/>
  <c r="A53" i="40" a="1"/>
  <c r="A53" i="40" s="1"/>
  <c r="A54" i="40" a="1"/>
  <c r="A54" i="40" s="1"/>
  <c r="B111" i="40" a="1"/>
  <c r="B111" i="40" s="1"/>
  <c r="B144" i="40" a="1"/>
  <c r="B144" i="40" s="1"/>
  <c r="A179" i="40" a="1"/>
  <c r="A179" i="40" s="1"/>
  <c r="B212" i="40" a="1"/>
  <c r="B212" i="40" s="1"/>
  <c r="A246" i="40" a="1"/>
  <c r="A246" i="40" s="1"/>
  <c r="B267" i="40" a="1"/>
  <c r="B267" i="40" s="1"/>
  <c r="B315" i="40" a="1"/>
  <c r="B315" i="40" s="1"/>
  <c r="B339" i="40" a="1"/>
  <c r="B339" i="40" s="1"/>
  <c r="B357" i="40" a="1"/>
  <c r="B357" i="40" s="1"/>
  <c r="B377" i="40" a="1"/>
  <c r="B377" i="40" s="1"/>
  <c r="B397" i="40" a="1"/>
  <c r="B397" i="40" s="1"/>
  <c r="A411" i="40" a="1"/>
  <c r="A411" i="40" s="1"/>
  <c r="A5" i="40" a="1"/>
  <c r="A5" i="40" s="1"/>
  <c r="A23" i="40" a="1"/>
  <c r="A23" i="40" s="1"/>
  <c r="B38" i="40" a="1"/>
  <c r="B38" i="40" s="1"/>
  <c r="B53" i="40" a="1"/>
  <c r="B53" i="40" s="1"/>
  <c r="A382" i="40" a="1"/>
  <c r="A382" i="40" s="1"/>
  <c r="B411" i="40" a="1"/>
  <c r="B411" i="40" s="1"/>
  <c r="B23" i="40" a="1"/>
  <c r="B23" i="40" s="1"/>
  <c r="B399" i="40" a="1"/>
  <c r="B399" i="40" s="1"/>
  <c r="B24" i="40" a="1"/>
  <c r="B24" i="40" s="1"/>
  <c r="A10" i="40" a="1"/>
  <c r="A10" i="40" s="1"/>
  <c r="B28" i="40" a="1"/>
  <c r="B28" i="40" s="1"/>
  <c r="B29" i="40" a="1"/>
  <c r="B29" i="40" s="1"/>
  <c r="A131" i="40" a="1"/>
  <c r="A131" i="40" s="1"/>
  <c r="A232" i="40" a="1"/>
  <c r="A232" i="40" s="1"/>
  <c r="B351" i="40" a="1"/>
  <c r="B351" i="40" s="1"/>
  <c r="B419" i="40" a="1"/>
  <c r="B419" i="40" s="1"/>
  <c r="A200" i="40" a="1"/>
  <c r="A200" i="40" s="1"/>
  <c r="A393" i="40" a="1"/>
  <c r="A393" i="40" s="1"/>
  <c r="A56" i="40" a="1"/>
  <c r="A56" i="40" s="1"/>
  <c r="A113" i="40" a="1"/>
  <c r="A113" i="40" s="1"/>
  <c r="A146" i="40" a="1"/>
  <c r="A146" i="40" s="1"/>
  <c r="B180" i="40" a="1"/>
  <c r="B180" i="40" s="1"/>
  <c r="B213" i="40" a="1"/>
  <c r="B213" i="40" s="1"/>
  <c r="B247" i="40" a="1"/>
  <c r="B247" i="40" s="1"/>
  <c r="B272" i="40" a="1"/>
  <c r="B272" i="40" s="1"/>
  <c r="A295" i="40" a="1"/>
  <c r="A295" i="40" s="1"/>
  <c r="A320" i="40" a="1"/>
  <c r="A320" i="40" s="1"/>
  <c r="A340" i="40" a="1"/>
  <c r="A340" i="40" s="1"/>
  <c r="A359" i="40" a="1"/>
  <c r="A359" i="40" s="1"/>
  <c r="A398" i="40" a="1"/>
  <c r="A398" i="40" s="1"/>
  <c r="B39" i="40" a="1"/>
  <c r="B39" i="40" s="1"/>
  <c r="A415" i="40" a="1"/>
  <c r="A415" i="40" s="1"/>
  <c r="A43" i="40" a="1"/>
  <c r="A43" i="40" s="1"/>
  <c r="A28" i="40" a="1"/>
  <c r="A28" i="40" s="1"/>
  <c r="B44" i="40" a="1"/>
  <c r="B44" i="40" s="1"/>
  <c r="B47" i="40" a="1"/>
  <c r="B47" i="40" s="1"/>
  <c r="B198" i="40" a="1"/>
  <c r="B198" i="40" s="1"/>
  <c r="B260" i="40" a="1"/>
  <c r="B260" i="40" s="1"/>
  <c r="B389" i="40" a="1"/>
  <c r="B389" i="40" s="1"/>
  <c r="B14" i="40" a="1"/>
  <c r="B14" i="40" s="1"/>
  <c r="B233" i="40" a="1"/>
  <c r="B233" i="40" s="1"/>
  <c r="A407" i="40" a="1"/>
  <c r="A407" i="40" s="1"/>
  <c r="B69" i="40" a="1"/>
  <c r="B69" i="40" s="1"/>
  <c r="B118" i="40" a="1"/>
  <c r="B118" i="40" s="1"/>
  <c r="B151" i="40" a="1"/>
  <c r="B151" i="40" s="1"/>
  <c r="B185" i="40" a="1"/>
  <c r="B185" i="40" s="1"/>
  <c r="B219" i="40" a="1"/>
  <c r="B219" i="40" s="1"/>
  <c r="B252" i="40" a="1"/>
  <c r="B252" i="40" s="1"/>
  <c r="B273" i="40" a="1"/>
  <c r="B273" i="40" s="1"/>
  <c r="B299" i="40" a="1"/>
  <c r="B299" i="40" s="1"/>
  <c r="B320" i="40" a="1"/>
  <c r="B320" i="40" s="1"/>
  <c r="B341" i="40" a="1"/>
  <c r="B341" i="40" s="1"/>
  <c r="B363" i="40" a="1"/>
  <c r="B363" i="40" s="1"/>
  <c r="B382" i="40" a="1"/>
  <c r="B382" i="40" s="1"/>
  <c r="A9" i="40" a="1"/>
  <c r="A9" i="40" s="1"/>
  <c r="A328" i="40" a="1"/>
  <c r="A328" i="40" s="1"/>
  <c r="A48" i="40" a="1"/>
  <c r="A48" i="40" s="1"/>
  <c r="B308" i="40" a="1"/>
  <c r="B308" i="40" s="1"/>
  <c r="A420" i="40" a="1"/>
  <c r="A420" i="40" s="1"/>
  <c r="A73" i="40" a="1"/>
  <c r="A73" i="40" s="1"/>
  <c r="B119" i="40" a="1"/>
  <c r="B119" i="40" s="1"/>
  <c r="A153" i="40" a="1"/>
  <c r="A153" i="40" s="1"/>
  <c r="A187" i="40" a="1"/>
  <c r="A187" i="40" s="1"/>
  <c r="B220" i="40" a="1"/>
  <c r="B220" i="40" s="1"/>
  <c r="A253" i="40" a="1"/>
  <c r="A253" i="40" s="1"/>
  <c r="A275" i="40" a="1"/>
  <c r="A275" i="40" s="1"/>
  <c r="A300" i="40" a="1"/>
  <c r="A300" i="40" s="1"/>
  <c r="A322" i="40" a="1"/>
  <c r="A322" i="40" s="1"/>
  <c r="A345" i="40" a="1"/>
  <c r="A345" i="40" s="1"/>
  <c r="A364" i="40" a="1"/>
  <c r="A364" i="40" s="1"/>
  <c r="A384" i="40" a="1"/>
  <c r="A384" i="40" s="1"/>
  <c r="B402" i="40" a="1"/>
  <c r="B402" i="40" s="1"/>
  <c r="B43" i="40" a="1"/>
  <c r="B43" i="40" s="1"/>
  <c r="B370" i="40" a="1"/>
  <c r="B370" i="40" s="1"/>
  <c r="A33" i="40" a="1"/>
  <c r="A33" i="40" s="1"/>
  <c r="A333" i="40" a="1"/>
  <c r="A333" i="40" s="1"/>
  <c r="A18" i="40" a="1"/>
  <c r="A18" i="40" s="1"/>
  <c r="B84" i="40" a="1"/>
  <c r="B84" i="40" s="1"/>
  <c r="B124" i="40" a="1"/>
  <c r="B124" i="40" s="1"/>
  <c r="B158" i="40" a="1"/>
  <c r="B158" i="40" s="1"/>
  <c r="B191" i="40" a="1"/>
  <c r="B191" i="40" s="1"/>
  <c r="B254" i="40" a="1"/>
  <c r="B254" i="40" s="1"/>
  <c r="A280" i="40" a="1"/>
  <c r="A280" i="40" s="1"/>
  <c r="B301" i="40" a="1"/>
  <c r="B301" i="40" s="1"/>
  <c r="A326" i="40" a="1"/>
  <c r="A326" i="40" s="1"/>
  <c r="A346" i="40" a="1"/>
  <c r="A346" i="40" s="1"/>
  <c r="B365" i="40" a="1"/>
  <c r="B365" i="40" s="1"/>
  <c r="A388" i="40" a="1"/>
  <c r="A388" i="40" s="1"/>
  <c r="B13" i="40" a="1"/>
  <c r="B13" i="40" s="1"/>
  <c r="B307" i="40" a="1"/>
  <c r="B307" i="40" s="1"/>
  <c r="B166" i="40" a="1"/>
  <c r="B166" i="40" s="1"/>
  <c r="A49" i="40" a="1"/>
  <c r="A49" i="40" s="1"/>
  <c r="A89" i="40" a="1"/>
  <c r="A89" i="40" s="1"/>
  <c r="B125" i="40" a="1"/>
  <c r="B125" i="40" s="1"/>
  <c r="A160" i="40" a="1"/>
  <c r="A160" i="40" s="1"/>
  <c r="B193" i="40" a="1"/>
  <c r="B193" i="40" s="1"/>
  <c r="B227" i="40" a="1"/>
  <c r="B227" i="40" s="1"/>
  <c r="B259" i="40" a="1"/>
  <c r="B259" i="40" s="1"/>
  <c r="B306" i="40" a="1"/>
  <c r="B306" i="40" s="1"/>
  <c r="B326" i="40" a="1"/>
  <c r="B326" i="40" s="1"/>
  <c r="A347" i="40" a="1"/>
  <c r="A347" i="40" s="1"/>
  <c r="B369" i="40" a="1"/>
  <c r="B369" i="40" s="1"/>
  <c r="B388" i="40" a="1"/>
  <c r="B388" i="40" s="1"/>
  <c r="A404" i="40" a="1"/>
  <c r="A404" i="40" s="1"/>
  <c r="A419" i="40" a="1"/>
  <c r="A419" i="40" s="1"/>
  <c r="B281" i="40" a="1"/>
  <c r="B281" i="40" s="1"/>
  <c r="A352" i="40" a="1"/>
  <c r="A352" i="40" s="1"/>
  <c r="A97" i="40" a="1"/>
  <c r="A97" i="40" s="1"/>
  <c r="B406" i="40" a="1"/>
  <c r="B406" i="40" s="1"/>
  <c r="B98" i="40" a="1"/>
  <c r="B98" i="40" s="1"/>
  <c r="B132" i="40" a="1"/>
  <c r="B132" i="40" s="1"/>
  <c r="B371" i="40" a="1"/>
  <c r="B371" i="40" s="1"/>
  <c r="B137" i="40" a="1"/>
  <c r="B137" i="40" s="1"/>
  <c r="B172" i="40" a="1"/>
  <c r="B172" i="40" s="1"/>
  <c r="A205" i="40" a="1"/>
  <c r="A205" i="40" s="1"/>
  <c r="A239" i="40" a="1"/>
  <c r="A239" i="40" s="1"/>
  <c r="A266" i="40" a="1"/>
  <c r="A266" i="40" s="1"/>
  <c r="A289" i="40" a="1"/>
  <c r="A289" i="40" s="1"/>
  <c r="B313" i="40" a="1"/>
  <c r="B313" i="40" s="1"/>
  <c r="B333" i="40" a="1"/>
  <c r="B333" i="40" s="1"/>
  <c r="B352" i="40" a="1"/>
  <c r="B352" i="40" s="1"/>
  <c r="A376" i="40" a="1"/>
  <c r="A376" i="40" s="1"/>
  <c r="B393" i="40" a="1"/>
  <c r="B393" i="40" s="1"/>
  <c r="A408" i="40" a="1"/>
  <c r="A408" i="40" s="1"/>
  <c r="B3" i="40" a="1"/>
  <c r="B3" i="40" s="1"/>
  <c r="B18" i="40" a="1"/>
  <c r="B18" i="40" s="1"/>
  <c r="B34" i="40" a="1"/>
  <c r="B34" i="40" s="1"/>
  <c r="A52" i="40" a="1"/>
  <c r="A52" i="40" s="1"/>
  <c r="A106" i="40" a="1"/>
  <c r="A106" i="40" s="1"/>
  <c r="A139" i="40" a="1"/>
  <c r="A139" i="40" s="1"/>
  <c r="B173" i="40" a="1"/>
  <c r="B173" i="40" s="1"/>
  <c r="B206" i="40" a="1"/>
  <c r="B206" i="40" s="1"/>
  <c r="A241" i="40" a="1"/>
  <c r="A241" i="40" s="1"/>
  <c r="A267" i="40" a="1"/>
  <c r="A267" i="40" s="1"/>
  <c r="A294" i="40" a="1"/>
  <c r="A294" i="40" s="1"/>
  <c r="B314" i="40" a="1"/>
  <c r="B314" i="40" s="1"/>
  <c r="A357" i="40" a="1"/>
  <c r="A357" i="40" s="1"/>
  <c r="B376" i="40" a="1"/>
  <c r="B376" i="40" s="1"/>
  <c r="B394" i="40" a="1"/>
  <c r="B394" i="40" s="1"/>
  <c r="B410" i="40" a="1"/>
  <c r="B410" i="40" s="1"/>
  <c r="A4" i="40" a="1"/>
  <c r="A4" i="40" s="1"/>
  <c r="B19" i="40" a="1"/>
  <c r="B19" i="40" s="1"/>
  <c r="A38" i="40" a="1"/>
  <c r="A38" i="40" s="1"/>
  <c r="B52" i="40" a="1"/>
  <c r="B52" i="40" s="1"/>
  <c r="A287" i="40" a="1"/>
  <c r="A287" i="40" s="1"/>
  <c r="B33" i="40" a="1"/>
  <c r="B33" i="40" s="1"/>
  <c r="C80" i="40" a="1"/>
  <c r="C425" i="40" a="1"/>
  <c r="C344" i="40" a="1"/>
  <c r="C220" i="40" a="1"/>
  <c r="C292" i="40" a="1"/>
  <c r="C143" i="40" a="1"/>
  <c r="C338" i="40" a="1"/>
  <c r="C354" i="40" a="1"/>
  <c r="C279" i="40" a="1"/>
  <c r="C3" i="40" a="1"/>
  <c r="C347" i="40" a="1"/>
  <c r="C176" i="40" a="1"/>
  <c r="C420" i="40" a="1"/>
  <c r="C136" i="40" a="1"/>
  <c r="C419" i="40" a="1"/>
  <c r="C360" i="40" a="1"/>
  <c r="C131" i="40" a="1"/>
  <c r="C426" i="40" a="1"/>
  <c r="C228" i="40" a="1"/>
  <c r="C122" i="40" a="1"/>
  <c r="C377" i="40" a="1"/>
  <c r="C380" i="40" a="1"/>
  <c r="C213" i="40" a="1"/>
  <c r="C290" i="40" a="1"/>
  <c r="C372" i="40" a="1"/>
  <c r="C278" i="40" a="1"/>
  <c r="C124" i="40" a="1"/>
  <c r="C318" i="40" a="1"/>
  <c r="C198" i="40" a="1"/>
  <c r="C107" i="40" a="1"/>
  <c r="C293" i="40" a="1"/>
  <c r="C174" i="40" a="1"/>
  <c r="C37" i="40" a="1"/>
  <c r="C103" i="40" a="1"/>
  <c r="C233" i="40" a="1"/>
  <c r="C19" i="40" a="1"/>
  <c r="C192" i="40" a="1"/>
  <c r="C348" i="40" a="1"/>
  <c r="C188" i="40" a="1"/>
  <c r="C64" i="40" a="1"/>
  <c r="C327" i="40" a="1"/>
  <c r="C400" i="40" a="1"/>
  <c r="C160" i="40" a="1"/>
  <c r="C194" i="40" a="1"/>
  <c r="C384" i="40" a="1"/>
  <c r="C382" i="40" a="1"/>
  <c r="C130" i="40" a="1"/>
  <c r="C141" i="40" a="1"/>
  <c r="C218" i="40" a="1"/>
  <c r="C370" i="40" a="1"/>
  <c r="C214" i="40" a="1"/>
  <c r="C362" i="40" a="1"/>
  <c r="C200" i="40" a="1"/>
  <c r="C216" i="40" a="1"/>
  <c r="C225" i="40" a="1"/>
  <c r="C281" i="40" a="1"/>
  <c r="C229" i="40" a="1"/>
  <c r="C435" i="40" a="1"/>
  <c r="C26" i="40" a="1"/>
  <c r="C356" i="40" a="1"/>
  <c r="C47" i="40" a="1"/>
  <c r="C36" i="40" a="1"/>
  <c r="C184" i="40" a="1"/>
  <c r="C149" i="40" a="1"/>
  <c r="C366" i="40" a="1"/>
  <c r="C271" i="40" a="1"/>
  <c r="C399" i="40" a="1"/>
  <c r="C414" i="40" a="1"/>
  <c r="C432" i="40" a="1"/>
  <c r="C345" i="40" a="1"/>
  <c r="C15" i="40" a="1"/>
  <c r="C401" i="40" a="1"/>
  <c r="C13" i="40" a="1"/>
  <c r="C21" i="40" a="1"/>
  <c r="C227" i="40" a="1"/>
  <c r="C159" i="40" a="1"/>
  <c r="C343" i="40" a="1"/>
  <c r="C241" i="40" a="1"/>
  <c r="C189" i="40" a="1"/>
  <c r="C251" i="40" a="1"/>
  <c r="C320" i="40" a="1"/>
  <c r="C255" i="40" a="1"/>
  <c r="C334" i="40" a="1"/>
  <c r="C423" i="40" a="1"/>
  <c r="C329" i="40" a="1"/>
  <c r="C224" i="40" a="1"/>
  <c r="C212" i="40" a="1"/>
  <c r="C270" i="40" a="1"/>
  <c r="C428" i="40" a="1"/>
  <c r="C238" i="40" a="1"/>
  <c r="C40" i="40" a="1"/>
  <c r="C178" i="40" a="1"/>
  <c r="C208" i="40" a="1"/>
  <c r="C274" i="40" a="1"/>
  <c r="C301" i="40" a="1"/>
  <c r="C404" i="40" a="1"/>
  <c r="C4" i="40" a="1"/>
  <c r="C268" i="40" a="1"/>
  <c r="C284" i="40" a="1"/>
  <c r="C205" i="40" a="1"/>
  <c r="C18" i="40" a="1"/>
  <c r="C413" i="40" a="1"/>
  <c r="C239" i="40" a="1"/>
  <c r="C77" i="40" a="1"/>
  <c r="C418" i="40" a="1"/>
  <c r="C185" i="40" a="1"/>
  <c r="C361" i="40" a="1"/>
  <c r="C230" i="40" a="1"/>
  <c r="C196" i="40" a="1"/>
  <c r="C101" i="40" a="1"/>
  <c r="C396" i="40" a="1"/>
  <c r="C260" i="40" a="1"/>
  <c r="C244" i="40" a="1"/>
  <c r="C436" i="40" a="1"/>
  <c r="C431" i="40" a="1"/>
  <c r="C175" i="40" a="1"/>
  <c r="C305" i="40" a="1"/>
  <c r="C306" i="40" a="1"/>
  <c r="C381" i="40" a="1"/>
  <c r="C90" i="40" a="1"/>
  <c r="C167" i="40" a="1"/>
  <c r="C68" i="40" a="1"/>
  <c r="C309" i="40" a="1"/>
  <c r="C256" i="40" a="1"/>
  <c r="C325" i="40" a="1"/>
  <c r="C119" i="40" a="1"/>
  <c r="C32" i="40" a="1"/>
  <c r="C38" i="40" a="1"/>
  <c r="C99" i="40" a="1"/>
  <c r="C390" i="40" a="1"/>
  <c r="C421" i="40" a="1"/>
  <c r="C29" i="40" a="1"/>
  <c r="C265" i="40" a="1"/>
  <c r="C441" i="40" a="1"/>
  <c r="C156" i="40" a="1"/>
  <c r="C375" i="40" a="1"/>
  <c r="C117" i="40" a="1"/>
  <c r="C145" i="40" a="1"/>
  <c r="C302" i="40" a="1"/>
  <c r="C152" i="40" a="1"/>
  <c r="C323" i="40" a="1"/>
  <c r="C387" i="40" a="1"/>
  <c r="C191" i="40" a="1"/>
  <c r="C114" i="40" a="1"/>
  <c r="C69" i="40" a="1"/>
  <c r="C73" i="40" a="1"/>
  <c r="C30" i="40" a="1"/>
  <c r="C177" i="40" a="1"/>
  <c r="C42" i="40" a="1"/>
  <c r="C59" i="40" a="1"/>
  <c r="C116" i="40" a="1"/>
  <c r="C166" i="40" a="1"/>
  <c r="C43" i="40" a="1"/>
  <c r="C157" i="40" a="1"/>
  <c r="C258" i="40" a="1"/>
  <c r="C341" i="40" a="1"/>
  <c r="C363" i="40" a="1"/>
  <c r="C105" i="40" a="1"/>
  <c r="C339" i="40" a="1"/>
  <c r="C190" i="40" a="1"/>
  <c r="C350" i="40" a="1"/>
  <c r="C142" i="40" a="1"/>
  <c r="C155" i="40" a="1"/>
  <c r="C331" i="40" a="1"/>
  <c r="C140" i="40" a="1"/>
  <c r="C398" i="40" a="1"/>
  <c r="C250" i="40" a="1"/>
  <c r="C203" i="40" a="1"/>
  <c r="C56" i="40" a="1"/>
  <c r="C217" i="40" a="1"/>
  <c r="C202" i="40" a="1"/>
  <c r="C262" i="40" a="1"/>
  <c r="C76" i="40" a="1"/>
  <c r="C126" i="40" a="1"/>
  <c r="C209" i="40" a="1"/>
  <c r="C340" i="40" a="1"/>
  <c r="C125" i="40" a="1"/>
  <c r="C50" i="40" a="1"/>
  <c r="C23" i="40" a="1"/>
  <c r="C335" i="40" a="1"/>
  <c r="C349" i="40" a="1"/>
  <c r="C346" i="40" a="1"/>
  <c r="C33" i="40" a="1"/>
  <c r="C96" i="40" a="1"/>
  <c r="C287" i="40" a="1"/>
  <c r="C148" i="40" a="1"/>
  <c r="C245" i="40" a="1"/>
  <c r="C193" i="40" a="1"/>
  <c r="C55" i="40" a="1"/>
  <c r="C72" i="40" a="1"/>
  <c r="C74" i="40" a="1"/>
  <c r="C168" i="40" a="1"/>
  <c r="C430" i="40" a="1"/>
  <c r="C252" i="40" a="1"/>
  <c r="C17" i="40" a="1"/>
  <c r="C86" i="40" a="1"/>
  <c r="C154" i="40" a="1"/>
  <c r="C310" i="40" a="1"/>
  <c r="C406" i="40" a="1"/>
  <c r="C5" i="40" a="1"/>
  <c r="C180" i="40" a="1"/>
  <c r="C121" i="40" a="1"/>
  <c r="C439" i="40" a="1"/>
  <c r="C113" i="40" a="1"/>
  <c r="C328" i="40" a="1"/>
  <c r="C277" i="40" a="1"/>
  <c r="C403" i="40" a="1"/>
  <c r="C172" i="40" a="1"/>
  <c r="C222" i="40" a="1"/>
  <c r="C264" i="40" a="1"/>
  <c r="C231" i="40" a="1"/>
  <c r="C405" i="40" a="1"/>
  <c r="C407" i="40" a="1"/>
  <c r="C94" i="40" a="1"/>
  <c r="C364" i="40" a="1"/>
  <c r="C437" i="40" a="1"/>
  <c r="C223" i="40" a="1"/>
  <c r="C138" i="40" a="1"/>
  <c r="C314" i="40" a="1"/>
  <c r="C294" i="40" a="1"/>
  <c r="C54" i="40" a="1"/>
  <c r="C153" i="40" a="1"/>
  <c r="C303" i="40" a="1"/>
  <c r="C298" i="40" a="1"/>
  <c r="C308" i="40" a="1"/>
  <c r="C97" i="40" a="1"/>
  <c r="C235" i="40" a="1"/>
  <c r="C201" i="40" a="1"/>
  <c r="C379" i="40" a="1"/>
  <c r="C87" i="40" a="1"/>
  <c r="C313" i="40" a="1"/>
  <c r="C383" i="40" a="1"/>
  <c r="C240" i="40" a="1"/>
  <c r="C41" i="40" a="1"/>
  <c r="C199" i="40" a="1"/>
  <c r="C2" i="40" a="1"/>
  <c r="C395" i="40" a="1"/>
  <c r="C22" i="40" a="1"/>
  <c r="C35" i="40" a="1"/>
  <c r="C51" i="40" a="1"/>
  <c r="C378" i="40" a="1"/>
  <c r="C12" i="40" a="1"/>
  <c r="C165" i="40" a="1"/>
  <c r="C120" i="40" a="1"/>
  <c r="C93" i="40" a="1"/>
  <c r="C267" i="40" a="1"/>
  <c r="C52" i="40" a="1"/>
  <c r="C6" i="40" a="1"/>
  <c r="C85" i="40" a="1"/>
  <c r="C276" i="40" a="1"/>
  <c r="C102" i="40" a="1"/>
  <c r="C315" i="40" a="1"/>
  <c r="C226" i="40" a="1"/>
  <c r="C365" i="40" a="1"/>
  <c r="C139" i="40" a="1"/>
  <c r="C291" i="40" a="1"/>
  <c r="C358" i="40" a="1"/>
  <c r="C67" i="40" a="1"/>
  <c r="C357" i="40" a="1"/>
  <c r="C442" i="40" a="1"/>
  <c r="C221" i="40" a="1"/>
  <c r="C373" i="40" a="1"/>
  <c r="C8" i="40" a="1"/>
  <c r="C84" i="40" a="1"/>
  <c r="C144" i="40" a="1"/>
  <c r="C283" i="40" a="1"/>
  <c r="C89" i="40" a="1"/>
  <c r="C169" i="40" a="1"/>
  <c r="C111" i="40" a="1"/>
  <c r="C394" i="40" a="1"/>
  <c r="C299" i="40" a="1"/>
  <c r="C288" i="40" a="1"/>
  <c r="C249" i="40" a="1"/>
  <c r="C65" i="40" a="1"/>
  <c r="C100" i="40" a="1"/>
  <c r="C115" i="40" a="1"/>
  <c r="C123" i="40" a="1"/>
  <c r="C132" i="40" a="1"/>
  <c r="C134" i="40" a="1"/>
  <c r="C137" i="40" a="1"/>
  <c r="C204" i="40" a="1"/>
  <c r="C127" i="40" a="1"/>
  <c r="C332" i="40" a="1"/>
  <c r="C402" i="40" a="1"/>
  <c r="C388" i="40" a="1"/>
  <c r="C162" i="40" a="1"/>
  <c r="C272" i="40" a="1"/>
  <c r="C181" i="40" a="1"/>
  <c r="C353" i="40" a="1"/>
  <c r="C376" i="40" a="1"/>
  <c r="C311" i="40" a="1"/>
  <c r="C307" i="40" a="1"/>
  <c r="C164" i="40" a="1"/>
  <c r="C321" i="40" a="1"/>
  <c r="C66" i="40" a="1"/>
  <c r="C330" i="40" a="1"/>
  <c r="C71" i="40" a="1"/>
  <c r="C286" i="40" a="1"/>
  <c r="C440" i="40" a="1"/>
  <c r="C367" i="40" a="1"/>
  <c r="C333" i="40" a="1"/>
  <c r="C389" i="40" a="1"/>
  <c r="C98" i="40" a="1"/>
  <c r="C25" i="40" a="1"/>
  <c r="C368" i="40" a="1"/>
  <c r="C57" i="40" a="1"/>
  <c r="C215" i="40" a="1"/>
  <c r="C128" i="40" a="1"/>
  <c r="C58" i="40" a="1"/>
  <c r="C9" i="40" a="1"/>
  <c r="C161" i="40" a="1"/>
  <c r="C182" i="40" a="1"/>
  <c r="C106" i="40" a="1"/>
  <c r="C369" i="40" a="1"/>
  <c r="C391" i="40" a="1"/>
  <c r="C322" i="40" a="1"/>
  <c r="C433" i="40" a="1"/>
  <c r="C269" i="40" a="1"/>
  <c r="C163" i="40" a="1"/>
  <c r="C53" i="40" a="1"/>
  <c r="C179" i="40" a="1"/>
  <c r="C92" i="40" a="1"/>
  <c r="C135" i="40" a="1"/>
  <c r="C416" i="40" a="1"/>
  <c r="C170" i="40" a="1"/>
  <c r="C351" i="40" a="1"/>
  <c r="C429" i="40" a="1"/>
  <c r="C62" i="40" a="1"/>
  <c r="C207" i="40" a="1"/>
  <c r="C355" i="40" a="1"/>
  <c r="C415" i="40" a="1"/>
  <c r="C95" i="40" a="1"/>
  <c r="C422" i="40" a="1"/>
  <c r="C83" i="40" a="1"/>
  <c r="C289" i="40" a="1"/>
  <c r="C236" i="40" a="1"/>
  <c r="C104" i="40" a="1"/>
  <c r="C259" i="40" a="1"/>
  <c r="C14" i="40" a="1"/>
  <c r="C438" i="40" a="1"/>
  <c r="C295" i="40" a="1"/>
  <c r="C243" i="40" a="1"/>
  <c r="C397" i="40" a="1"/>
  <c r="C49" i="40" a="1"/>
  <c r="C158" i="40" a="1"/>
  <c r="C63" i="40" a="1"/>
  <c r="C82" i="40" a="1"/>
  <c r="C112" i="40" a="1"/>
  <c r="C248" i="40" a="1"/>
  <c r="C257" i="40" a="1"/>
  <c r="C246" i="40" a="1"/>
  <c r="C352" i="40" a="1"/>
  <c r="C337" i="40" a="1"/>
  <c r="C34" i="40" a="1"/>
  <c r="C70" i="40" a="1"/>
  <c r="C195" i="40" a="1"/>
  <c r="C392" i="40" a="1"/>
  <c r="C371" i="40" a="1"/>
  <c r="C219" i="40" a="1"/>
  <c r="C261" i="40" a="1"/>
  <c r="C319" i="40" a="1"/>
  <c r="C427" i="40" a="1"/>
  <c r="C304" i="40" a="1"/>
  <c r="C326" i="40" a="1"/>
  <c r="C359" i="40" a="1"/>
  <c r="C24" i="40" a="1"/>
  <c r="C147" i="40" a="1"/>
  <c r="C385" i="40" a="1"/>
  <c r="C173" i="40" a="1"/>
  <c r="C316" i="40" a="1"/>
  <c r="C206" i="40" a="1"/>
  <c r="C91" i="40" a="1"/>
  <c r="C336" i="40" a="1"/>
  <c r="C408" i="40" a="1"/>
  <c r="C317" i="40" a="1"/>
  <c r="C7" i="40" a="1"/>
  <c r="C150" i="40" a="1"/>
  <c r="C28" i="40" a="1"/>
  <c r="C186" i="40" a="1"/>
  <c r="C282" i="40" a="1"/>
  <c r="C146" i="40" a="1"/>
  <c r="C411" i="40" a="1"/>
  <c r="C16" i="40" a="1"/>
  <c r="C410" i="40" a="1"/>
  <c r="C273" i="40" a="1"/>
  <c r="C197" i="40" a="1"/>
  <c r="C39" i="40" a="1"/>
  <c r="C10" i="40" a="1"/>
  <c r="C108" i="40" a="1"/>
  <c r="C110" i="40" a="1"/>
  <c r="C342" i="40" a="1"/>
  <c r="C312" i="40" a="1"/>
  <c r="C247" i="40" a="1"/>
  <c r="C78" i="40" a="1"/>
  <c r="C296" i="40" a="1"/>
  <c r="C183" i="40" a="1"/>
  <c r="C45" i="40" a="1"/>
  <c r="C133" i="40" a="1"/>
  <c r="C424" i="40" a="1"/>
  <c r="C275" i="40" a="1"/>
  <c r="C409" i="40" a="1"/>
  <c r="C48" i="40" a="1"/>
  <c r="C237" i="40" a="1"/>
  <c r="C171" i="40" a="1"/>
  <c r="C88" i="40" a="1"/>
  <c r="C20" i="40" a="1"/>
  <c r="C61" i="40" a="1"/>
  <c r="C386" i="40" a="1"/>
  <c r="C79" i="40" a="1"/>
  <c r="C27" i="40" a="1"/>
  <c r="C75" i="40" a="1"/>
  <c r="C109" i="40" a="1"/>
  <c r="C285" i="40" a="1"/>
  <c r="C300" i="40" a="1"/>
  <c r="C31" i="40" a="1"/>
  <c r="C46" i="40" a="1"/>
  <c r="C263" i="40" a="1"/>
  <c r="C254" i="40" a="1"/>
  <c r="C187" i="40" a="1"/>
  <c r="C210" i="40" a="1"/>
  <c r="C151" i="40" a="1"/>
  <c r="C324" i="40" a="1"/>
  <c r="C81" i="40" a="1"/>
  <c r="C417" i="40" a="1"/>
  <c r="C242" i="40" a="1"/>
  <c r="C393" i="40" a="1"/>
  <c r="C11" i="40" a="1"/>
  <c r="C211" i="40" a="1"/>
  <c r="C253" i="40" a="1"/>
  <c r="C266" i="40" a="1"/>
  <c r="C412" i="40" a="1"/>
  <c r="C374" i="40" a="1"/>
  <c r="C118" i="40" a="1"/>
  <c r="C232" i="40" a="1"/>
  <c r="C297" i="40" a="1"/>
  <c r="C234" i="40" a="1"/>
  <c r="C60" i="40" a="1"/>
  <c r="C129" i="40" a="1"/>
  <c r="C44" i="40" a="1"/>
  <c r="C280" i="40" a="1"/>
  <c r="C434" i="40" a="1"/>
  <c r="C116" i="40" l="1"/>
  <c r="C156" i="40"/>
  <c r="C238" i="40"/>
  <c r="C194" i="40"/>
  <c r="C322" i="40"/>
  <c r="C187" i="40"/>
  <c r="C75" i="40"/>
  <c r="C261" i="40"/>
  <c r="C162" i="40"/>
  <c r="C105" i="40"/>
  <c r="C59" i="40"/>
  <c r="C441" i="40"/>
  <c r="C428" i="40"/>
  <c r="C160" i="40"/>
  <c r="C108" i="40"/>
  <c r="C57" i="40"/>
  <c r="C71" i="40"/>
  <c r="C219" i="40"/>
  <c r="C388" i="40"/>
  <c r="C363" i="40"/>
  <c r="C42" i="40"/>
  <c r="C265" i="40"/>
  <c r="C270" i="40"/>
  <c r="C400" i="40"/>
  <c r="C262" i="40"/>
  <c r="C384" i="40"/>
  <c r="C206" i="40"/>
  <c r="C371" i="40"/>
  <c r="C402" i="40"/>
  <c r="C341" i="40"/>
  <c r="C180" i="40"/>
  <c r="C29" i="40"/>
  <c r="C212" i="40"/>
  <c r="C327" i="40"/>
  <c r="C253" i="40"/>
  <c r="C186" i="40"/>
  <c r="C27" i="40"/>
  <c r="C392" i="40"/>
  <c r="C332" i="40"/>
  <c r="C258" i="40"/>
  <c r="C177" i="40"/>
  <c r="C421" i="40"/>
  <c r="C224" i="40"/>
  <c r="C64" i="40"/>
  <c r="C391" i="40"/>
  <c r="C121" i="40"/>
  <c r="C330" i="40"/>
  <c r="C195" i="40"/>
  <c r="C127" i="40"/>
  <c r="C51" i="40"/>
  <c r="C30" i="40"/>
  <c r="C390" i="40"/>
  <c r="C329" i="40"/>
  <c r="C188" i="40"/>
  <c r="C10" i="40"/>
  <c r="C378" i="40"/>
  <c r="C316" i="40"/>
  <c r="C70" i="40"/>
  <c r="C204" i="40"/>
  <c r="C157" i="40"/>
  <c r="C73" i="40"/>
  <c r="C99" i="40"/>
  <c r="C423" i="40"/>
  <c r="C348" i="40"/>
  <c r="C202" i="40"/>
  <c r="C155" i="40"/>
  <c r="C66" i="40"/>
  <c r="C34" i="40"/>
  <c r="C137" i="40"/>
  <c r="C43" i="40"/>
  <c r="C69" i="40"/>
  <c r="C38" i="40"/>
  <c r="C334" i="40"/>
  <c r="C192" i="40"/>
  <c r="C211" i="40"/>
  <c r="C368" i="40"/>
  <c r="C79" i="40"/>
  <c r="C337" i="40"/>
  <c r="C134" i="40"/>
  <c r="C35" i="40"/>
  <c r="C114" i="40"/>
  <c r="C32" i="40"/>
  <c r="C255" i="40"/>
  <c r="C19" i="40"/>
  <c r="C369" i="40"/>
  <c r="C254" i="40"/>
  <c r="C173" i="40"/>
  <c r="C352" i="40"/>
  <c r="C132" i="40"/>
  <c r="C166" i="40"/>
  <c r="C191" i="40"/>
  <c r="C119" i="40"/>
  <c r="C320" i="40"/>
  <c r="C233" i="40"/>
  <c r="C39" i="40"/>
  <c r="C28" i="40"/>
  <c r="C321" i="40"/>
  <c r="C246" i="40"/>
  <c r="C123" i="40"/>
  <c r="C22" i="40"/>
  <c r="C387" i="40"/>
  <c r="C325" i="40"/>
  <c r="C251" i="40"/>
  <c r="C103" i="40"/>
  <c r="C217" i="40"/>
  <c r="C142" i="40"/>
  <c r="C386" i="40"/>
  <c r="C257" i="40"/>
  <c r="C115" i="40"/>
  <c r="C395" i="40"/>
  <c r="C323" i="40"/>
  <c r="C256" i="40"/>
  <c r="C189" i="40"/>
  <c r="C37" i="40"/>
  <c r="C11" i="40"/>
  <c r="C25" i="40"/>
  <c r="C385" i="40"/>
  <c r="C248" i="40"/>
  <c r="C100" i="40"/>
  <c r="C2" i="40"/>
  <c r="C5" i="40"/>
  <c r="C309" i="40"/>
  <c r="C241" i="40"/>
  <c r="C174" i="40"/>
  <c r="C106" i="40"/>
  <c r="C263" i="40"/>
  <c r="C164" i="40"/>
  <c r="C112" i="40"/>
  <c r="C65" i="40"/>
  <c r="C199" i="40"/>
  <c r="C152" i="40"/>
  <c r="C68" i="40"/>
  <c r="C343" i="40"/>
  <c r="C293" i="40"/>
  <c r="C197" i="40"/>
  <c r="C150" i="40"/>
  <c r="C61" i="40"/>
  <c r="C82" i="40"/>
  <c r="C249" i="40"/>
  <c r="C41" i="40"/>
  <c r="C302" i="40"/>
  <c r="C167" i="40"/>
  <c r="C159" i="40"/>
  <c r="C107" i="40"/>
  <c r="C56" i="40"/>
  <c r="C350" i="40"/>
  <c r="C147" i="40"/>
  <c r="C63" i="40"/>
  <c r="C288" i="40"/>
  <c r="C240" i="40"/>
  <c r="C145" i="40"/>
  <c r="C90" i="40"/>
  <c r="C227" i="40"/>
  <c r="C198" i="40"/>
  <c r="C393" i="40"/>
  <c r="C98" i="40"/>
  <c r="C307" i="40"/>
  <c r="C158" i="40"/>
  <c r="C299" i="40"/>
  <c r="C383" i="40"/>
  <c r="C117" i="40"/>
  <c r="C381" i="40"/>
  <c r="C21" i="40"/>
  <c r="C318" i="40"/>
  <c r="C182" i="40"/>
  <c r="C46" i="40"/>
  <c r="C20" i="40"/>
  <c r="C49" i="40"/>
  <c r="C394" i="40"/>
  <c r="C313" i="40"/>
  <c r="C406" i="40"/>
  <c r="C306" i="40"/>
  <c r="C13" i="40"/>
  <c r="C124" i="40"/>
  <c r="C273" i="40"/>
  <c r="C389" i="40"/>
  <c r="C24" i="40"/>
  <c r="C397" i="40"/>
  <c r="C111" i="40"/>
  <c r="C87" i="40"/>
  <c r="C375" i="40"/>
  <c r="C305" i="40"/>
  <c r="C401" i="40"/>
  <c r="C278" i="40"/>
  <c r="C203" i="40"/>
  <c r="C7" i="40"/>
  <c r="C311" i="40"/>
  <c r="C243" i="40"/>
  <c r="C169" i="40"/>
  <c r="C379" i="40"/>
  <c r="C310" i="40"/>
  <c r="C175" i="40"/>
  <c r="C15" i="40"/>
  <c r="C372" i="40"/>
  <c r="C161" i="40"/>
  <c r="C31" i="40"/>
  <c r="C359" i="40"/>
  <c r="C295" i="40"/>
  <c r="C89" i="40"/>
  <c r="C201" i="40"/>
  <c r="C154" i="40"/>
  <c r="C431" i="40"/>
  <c r="C345" i="40"/>
  <c r="C290" i="40"/>
  <c r="C242" i="40"/>
  <c r="C190" i="40"/>
  <c r="C88" i="40"/>
  <c r="C438" i="40"/>
  <c r="C283" i="40"/>
  <c r="C235" i="40"/>
  <c r="C86" i="40"/>
  <c r="C436" i="40"/>
  <c r="C432" i="40"/>
  <c r="C213" i="40"/>
  <c r="C410" i="40"/>
  <c r="C333" i="40"/>
  <c r="C326" i="40"/>
  <c r="C14" i="40"/>
  <c r="C144" i="40"/>
  <c r="C97" i="40"/>
  <c r="C17" i="40"/>
  <c r="C244" i="40"/>
  <c r="C414" i="40"/>
  <c r="C380" i="40"/>
  <c r="C250" i="40"/>
  <c r="C317" i="40"/>
  <c r="C376" i="40"/>
  <c r="C259" i="40"/>
  <c r="C84" i="40"/>
  <c r="C308" i="40"/>
  <c r="C252" i="40"/>
  <c r="C260" i="40"/>
  <c r="C399" i="40"/>
  <c r="C377" i="40"/>
  <c r="C9" i="40"/>
  <c r="C300" i="40"/>
  <c r="C171" i="40"/>
  <c r="C104" i="40"/>
  <c r="C8" i="40"/>
  <c r="C298" i="40"/>
  <c r="C430" i="40"/>
  <c r="C396" i="40"/>
  <c r="C271" i="40"/>
  <c r="C122" i="40"/>
  <c r="C417" i="40"/>
  <c r="C367" i="40"/>
  <c r="C304" i="40"/>
  <c r="C236" i="40"/>
  <c r="C373" i="40"/>
  <c r="C303" i="40"/>
  <c r="C168" i="40"/>
  <c r="C101" i="40"/>
  <c r="C366" i="40"/>
  <c r="C228" i="40"/>
  <c r="C16" i="40"/>
  <c r="C408" i="40"/>
  <c r="C353" i="40"/>
  <c r="C289" i="40"/>
  <c r="C221" i="40"/>
  <c r="C153" i="40"/>
  <c r="C74" i="40"/>
  <c r="C196" i="40"/>
  <c r="C149" i="40"/>
  <c r="C426" i="40"/>
  <c r="C398" i="40"/>
  <c r="C285" i="40"/>
  <c r="C237" i="40"/>
  <c r="C83" i="40"/>
  <c r="C442" i="40"/>
  <c r="C54" i="40"/>
  <c r="C72" i="40"/>
  <c r="C230" i="40"/>
  <c r="C184" i="40"/>
  <c r="C131" i="40"/>
  <c r="C81" i="40"/>
  <c r="C440" i="40"/>
  <c r="C427" i="40"/>
  <c r="C422" i="40"/>
  <c r="C357" i="40"/>
  <c r="C294" i="40"/>
  <c r="C55" i="40"/>
  <c r="C361" i="40"/>
  <c r="C36" i="40"/>
  <c r="C360" i="40"/>
  <c r="C58" i="40"/>
  <c r="C336" i="40"/>
  <c r="C181" i="40"/>
  <c r="C95" i="40"/>
  <c r="C67" i="40"/>
  <c r="C314" i="40"/>
  <c r="C193" i="40"/>
  <c r="C185" i="40"/>
  <c r="C47" i="40"/>
  <c r="C419" i="40"/>
  <c r="C411" i="40"/>
  <c r="C339" i="40"/>
  <c r="C48" i="40"/>
  <c r="C415" i="40"/>
  <c r="C358" i="40"/>
  <c r="C138" i="40"/>
  <c r="C245" i="40"/>
  <c r="C418" i="40"/>
  <c r="C356" i="40"/>
  <c r="C136" i="40"/>
  <c r="C324" i="40"/>
  <c r="C109" i="40"/>
  <c r="C409" i="40"/>
  <c r="C355" i="40"/>
  <c r="C291" i="40"/>
  <c r="C223" i="40"/>
  <c r="C148" i="40"/>
  <c r="C77" i="40"/>
  <c r="C26" i="40"/>
  <c r="C420" i="40"/>
  <c r="C140" i="40"/>
  <c r="C286" i="40"/>
  <c r="C275" i="40"/>
  <c r="C207" i="40"/>
  <c r="C139" i="40"/>
  <c r="C437" i="40"/>
  <c r="C287" i="40"/>
  <c r="C239" i="40"/>
  <c r="C435" i="40"/>
  <c r="C176" i="40"/>
  <c r="C128" i="40"/>
  <c r="C91" i="40"/>
  <c r="C424" i="40"/>
  <c r="C62" i="40"/>
  <c r="C365" i="40"/>
  <c r="C364" i="40"/>
  <c r="C96" i="40"/>
  <c r="C413" i="40"/>
  <c r="C229" i="40"/>
  <c r="C347" i="40"/>
  <c r="C146" i="40"/>
  <c r="C280" i="40"/>
  <c r="C133" i="40"/>
  <c r="C429" i="40"/>
  <c r="C226" i="40"/>
  <c r="C94" i="40"/>
  <c r="C33" i="40"/>
  <c r="C18" i="40"/>
  <c r="C281" i="40"/>
  <c r="C3" i="40"/>
  <c r="C151" i="40"/>
  <c r="C44" i="40"/>
  <c r="C272" i="40"/>
  <c r="C351" i="40"/>
  <c r="C315" i="40"/>
  <c r="C407" i="40"/>
  <c r="C346" i="40"/>
  <c r="C205" i="40"/>
  <c r="C225" i="40"/>
  <c r="C279" i="40"/>
  <c r="C210" i="40"/>
  <c r="C129" i="40"/>
  <c r="C319" i="40"/>
  <c r="C170" i="40"/>
  <c r="C102" i="40"/>
  <c r="C405" i="40"/>
  <c r="C349" i="40"/>
  <c r="C284" i="40"/>
  <c r="C216" i="40"/>
  <c r="C354" i="40"/>
  <c r="C215" i="40"/>
  <c r="C60" i="40"/>
  <c r="C45" i="40"/>
  <c r="C416" i="40"/>
  <c r="C276" i="40"/>
  <c r="C231" i="40"/>
  <c r="C335" i="40"/>
  <c r="C268" i="40"/>
  <c r="C200" i="40"/>
  <c r="C338" i="40"/>
  <c r="C282" i="40"/>
  <c r="C234" i="40"/>
  <c r="C183" i="40"/>
  <c r="C135" i="40"/>
  <c r="C85" i="40"/>
  <c r="C264" i="40"/>
  <c r="C23" i="40"/>
  <c r="C4" i="40"/>
  <c r="C362" i="40"/>
  <c r="C143" i="40"/>
  <c r="C331" i="40"/>
  <c r="C297" i="40"/>
  <c r="C296" i="40"/>
  <c r="C92" i="40"/>
  <c r="C6" i="40"/>
  <c r="C222" i="40"/>
  <c r="C50" i="40"/>
  <c r="C404" i="40"/>
  <c r="C214" i="40"/>
  <c r="C292" i="40"/>
  <c r="C439" i="40"/>
  <c r="C232" i="40"/>
  <c r="C78" i="40"/>
  <c r="C179" i="40"/>
  <c r="C52" i="40"/>
  <c r="C172" i="40"/>
  <c r="C125" i="40"/>
  <c r="C301" i="40"/>
  <c r="C370" i="40"/>
  <c r="C220" i="40"/>
  <c r="C382" i="40"/>
  <c r="C118" i="40"/>
  <c r="C247" i="40"/>
  <c r="C53" i="40"/>
  <c r="C267" i="40"/>
  <c r="C403" i="40"/>
  <c r="C340" i="40"/>
  <c r="C274" i="40"/>
  <c r="C218" i="40"/>
  <c r="C344" i="40"/>
  <c r="C12" i="40"/>
  <c r="C374" i="40"/>
  <c r="C312" i="40"/>
  <c r="C163" i="40"/>
  <c r="C93" i="40"/>
  <c r="C277" i="40"/>
  <c r="C209" i="40"/>
  <c r="C208" i="40"/>
  <c r="C141" i="40"/>
  <c r="C425" i="40"/>
  <c r="C40" i="40"/>
  <c r="C412" i="40"/>
  <c r="C342" i="40"/>
  <c r="C269" i="40"/>
  <c r="C120" i="40"/>
  <c r="C328" i="40"/>
  <c r="C126" i="40"/>
  <c r="C178" i="40"/>
  <c r="C130" i="40"/>
  <c r="C80" i="40"/>
  <c r="C434" i="40"/>
  <c r="C266" i="40"/>
  <c r="C110" i="40"/>
  <c r="C433" i="40"/>
  <c r="C165" i="40"/>
  <c r="C113" i="40"/>
  <c r="C76" i="4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<sst xmlns="http://schemas.openxmlformats.org/spreadsheetml/2006/main" count="623" uniqueCount="179">
  <si>
    <t>% of Demand</t>
  </si>
  <si>
    <t>Deicing</t>
  </si>
  <si>
    <t>Industrial (refrigerant, coal thawing, etc.)</t>
  </si>
  <si>
    <t>Concrete</t>
  </si>
  <si>
    <t>Miscellaneous</t>
  </si>
  <si>
    <t>Dust Control</t>
  </si>
  <si>
    <t>Oil and Gas</t>
  </si>
  <si>
    <t>Agriculture</t>
  </si>
  <si>
    <t>Construction Aggregate</t>
  </si>
  <si>
    <t>Cement Manufacturing</t>
  </si>
  <si>
    <t>W</t>
  </si>
  <si>
    <t>Calcium Carbonate (CaCO3)</t>
  </si>
  <si>
    <t>Major End-Use Markets</t>
  </si>
  <si>
    <t>Source:</t>
  </si>
  <si>
    <t>End-Use</t>
  </si>
  <si>
    <t>End-Use Category</t>
  </si>
  <si>
    <t>Demand</t>
  </si>
  <si>
    <t>Dust control, road stabilization</t>
  </si>
  <si>
    <t>Industrial</t>
  </si>
  <si>
    <t>Oil and gas drilling fluids</t>
  </si>
  <si>
    <t>Tire ballast</t>
  </si>
  <si>
    <t>–</t>
  </si>
  <si>
    <t>(Kemp &amp; Keegan, 2000)</t>
  </si>
  <si>
    <t>Other</t>
  </si>
  <si>
    <t>Calcium Chloride (CaCl2)</t>
  </si>
  <si>
    <t>Demand (kt)</t>
  </si>
  <si>
    <t>Lime Manufacturing</t>
  </si>
  <si>
    <t>Flue Gas Desulfurization</t>
  </si>
  <si>
    <t>Glass Manufacturing</t>
  </si>
  <si>
    <t>Demand by End-Use</t>
  </si>
  <si>
    <t>Miscellaneous Industrial</t>
  </si>
  <si>
    <t>Miscellaneous Agricultural</t>
  </si>
  <si>
    <t>Fraction of Demand by End-Use Category</t>
  </si>
  <si>
    <t>Fraction of Demand by End Use Category</t>
  </si>
  <si>
    <t>Portland and masonry cement</t>
  </si>
  <si>
    <t>Agriculture and other</t>
  </si>
  <si>
    <t>Plaster</t>
  </si>
  <si>
    <t>Prefabricated gypsum products</t>
  </si>
  <si>
    <t>W - withheld by USGS to avoid discolsing company proprietary data, included in "Other"</t>
  </si>
  <si>
    <t>Gypsum-Based Building Materials</t>
  </si>
  <si>
    <t>(Crangle, 2024)</t>
  </si>
  <si>
    <t>Water Treatment</t>
  </si>
  <si>
    <t>Potassium Chloride (KCl)</t>
  </si>
  <si>
    <t>Magnesium Hydroxide (Mg(OH)2)</t>
  </si>
  <si>
    <t>(Merrill, 2024)</t>
  </si>
  <si>
    <t>Water treatment</t>
  </si>
  <si>
    <t>Chemical intermediates</t>
  </si>
  <si>
    <t>Other end uses</t>
  </si>
  <si>
    <t>Sodium Chloride (NaCl)</t>
  </si>
  <si>
    <t>Chloralkali producers</t>
  </si>
  <si>
    <t>Other chemical</t>
  </si>
  <si>
    <t>Oil and gas exploration</t>
  </si>
  <si>
    <t>Pulp and paper</t>
  </si>
  <si>
    <t>Commercial water treatment</t>
  </si>
  <si>
    <t>Chloralkali Process</t>
  </si>
  <si>
    <t>(MacGregor &amp; Bolen, 2025)</t>
  </si>
  <si>
    <t>(Kurt &amp; Bittner, 2006)</t>
  </si>
  <si>
    <t>Inorganic</t>
  </si>
  <si>
    <t>Organic</t>
  </si>
  <si>
    <t>Epichlorohydrin</t>
  </si>
  <si>
    <t>Polycarbonates</t>
  </si>
  <si>
    <t>Water</t>
  </si>
  <si>
    <t>Textile</t>
  </si>
  <si>
    <t>Alumina</t>
  </si>
  <si>
    <t>Soap</t>
  </si>
  <si>
    <t>Propylene oxide</t>
  </si>
  <si>
    <t>Others</t>
  </si>
  <si>
    <t>Chemical Manufacturing</t>
  </si>
  <si>
    <t>Pulp and Paper</t>
  </si>
  <si>
    <t>Hydrochloric Acid (HCl)</t>
  </si>
  <si>
    <t>Oil and gas well acidification</t>
  </si>
  <si>
    <t xml:space="preserve">– </t>
  </si>
  <si>
    <t>Steel pickling</t>
  </si>
  <si>
    <t>Food processing</t>
  </si>
  <si>
    <t>(U.S. Environmental Protection Agency, 2022)</t>
  </si>
  <si>
    <t>Steel Pickling</t>
  </si>
  <si>
    <t>Barium Sulfate (barite, BaSO4)</t>
  </si>
  <si>
    <t>Sodium Hydroxide (caustic soda, NaOH)</t>
  </si>
  <si>
    <t>Calcium Sulfate (gypsum, CaSO4)</t>
  </si>
  <si>
    <t>Weighting agent in oil and gas drilling fluids</t>
  </si>
  <si>
    <t>Fertilizer</t>
  </si>
  <si>
    <t>Fertilizer Manufacturing</t>
  </si>
  <si>
    <t>Lithium Chloride (LiCl)</t>
  </si>
  <si>
    <t>Batteries</t>
  </si>
  <si>
    <t>Ceramics and glass</t>
  </si>
  <si>
    <t>Lubricating greases</t>
  </si>
  <si>
    <t>Continuous casting mold flux powders</t>
  </si>
  <si>
    <t>Air treatment</t>
  </si>
  <si>
    <t>Medical</t>
  </si>
  <si>
    <t>Battery Manufacturing</t>
  </si>
  <si>
    <t>Lithium Carbonate (Li2CO3)</t>
  </si>
  <si>
    <t>Magnesium Chloride (MgCl2)</t>
  </si>
  <si>
    <t>Magnesium Sulfate (MgSO4)</t>
  </si>
  <si>
    <t>Cosmetics and personal care</t>
  </si>
  <si>
    <t>Other applications</t>
  </si>
  <si>
    <t>Sodium Carbonate (soda ash, Na2CO3)</t>
  </si>
  <si>
    <t>Glass</t>
  </si>
  <si>
    <t>Chemicals</t>
  </si>
  <si>
    <t>Flue gas desulfurization</t>
  </si>
  <si>
    <t>Distributors</t>
  </si>
  <si>
    <t>Sodium Bicarbonate (baking soda, NaHCO3)</t>
  </si>
  <si>
    <t>Food</t>
  </si>
  <si>
    <t>Pharmaceuticals</t>
  </si>
  <si>
    <t>Cleaning products</t>
  </si>
  <si>
    <t>Livestock</t>
  </si>
  <si>
    <t>(Grand View Research, 2018)</t>
  </si>
  <si>
    <t>Sodium Sulfate (Na2SO4)</t>
  </si>
  <si>
    <t>Soap and detergents</t>
  </si>
  <si>
    <t>Carpet fresheners</t>
  </si>
  <si>
    <t>Textiles</t>
  </si>
  <si>
    <t>(Kostick, 2013)</t>
  </si>
  <si>
    <t>Construction aggregate</t>
  </si>
  <si>
    <t>Cement manufacturing</t>
  </si>
  <si>
    <t>Lime manufacturing</t>
  </si>
  <si>
    <t>Agricultural uses</t>
  </si>
  <si>
    <t>Chemical, special, and miscellaneous uses</t>
  </si>
  <si>
    <t>(Willett, 2026)</t>
  </si>
  <si>
    <t>(Kim, 2026)</t>
  </si>
  <si>
    <t>(Jasinski, 2026)</t>
  </si>
  <si>
    <t>Chemical and industrial applications</t>
  </si>
  <si>
    <t>(Jaskula, 2026)</t>
  </si>
  <si>
    <t>Lithium Hydroxide</t>
  </si>
  <si>
    <t>(MacGregor, 2026)</t>
  </si>
  <si>
    <t>Miscellaneous uses</t>
  </si>
  <si>
    <t>Boric Acid (H3BO3)</t>
  </si>
  <si>
    <t>Glass and ceramics</t>
  </si>
  <si>
    <t>(Brioche, 2026)</t>
  </si>
  <si>
    <t>Bromine (Br2)</t>
  </si>
  <si>
    <t>Flame retardant</t>
  </si>
  <si>
    <t>Drilling fluids</t>
  </si>
  <si>
    <t>Organic synthesis</t>
  </si>
  <si>
    <t>(Mills et al., 2015)</t>
  </si>
  <si>
    <t>Hydrochloric Acid</t>
  </si>
  <si>
    <t>Chloromethanes</t>
  </si>
  <si>
    <t>Chlorinated Paraffin Wax</t>
  </si>
  <si>
    <t>Organics</t>
  </si>
  <si>
    <t>Inorganics</t>
  </si>
  <si>
    <t>(Grand View Research, 2026)</t>
  </si>
  <si>
    <t>Strontium Sulfate (celestite, SrSO4)</t>
  </si>
  <si>
    <t>(Hatfield, 2026)</t>
  </si>
  <si>
    <t>Ceramic ferrite magnets</t>
  </si>
  <si>
    <t>Pyrotechnics and signals</t>
  </si>
  <si>
    <t>Chlorine (Cl2)</t>
  </si>
  <si>
    <t>Raw List</t>
  </si>
  <si>
    <t>Animal feed</t>
  </si>
  <si>
    <t>End-Use Category Mapping</t>
  </si>
  <si>
    <t>End-Uses Included</t>
  </si>
  <si>
    <t>Description</t>
  </si>
  <si>
    <t>byproduct</t>
  </si>
  <si>
    <t>end_use_category</t>
  </si>
  <si>
    <t>BaSO4</t>
  </si>
  <si>
    <t>Byproduct Market Assignment:</t>
  </si>
  <si>
    <t>CaCl2</t>
  </si>
  <si>
    <t>CaCO3</t>
  </si>
  <si>
    <t>CaSO4</t>
  </si>
  <si>
    <t>KCl</t>
  </si>
  <si>
    <t>LiCl</t>
  </si>
  <si>
    <t>Table of Contents</t>
  </si>
  <si>
    <t>Sheet</t>
  </si>
  <si>
    <t>Li2CO3</t>
  </si>
  <si>
    <t>LiOH</t>
  </si>
  <si>
    <t>MgCl2</t>
  </si>
  <si>
    <t>MgSO4</t>
  </si>
  <si>
    <t>Mg(OH)2</t>
  </si>
  <si>
    <t>NaCl</t>
  </si>
  <si>
    <t>Na2CO3</t>
  </si>
  <si>
    <t>NaHCO3</t>
  </si>
  <si>
    <t>Na2SO4</t>
  </si>
  <si>
    <t>NaOH</t>
  </si>
  <si>
    <t>SrSO4</t>
  </si>
  <si>
    <t>H3BO3</t>
  </si>
  <si>
    <t>HCl</t>
  </si>
  <si>
    <t>Br2</t>
  </si>
  <si>
    <t>Cl2</t>
  </si>
  <si>
    <t>Summary</t>
  </si>
  <si>
    <t>Category Map</t>
  </si>
  <si>
    <t>Machine-readable market breakdowns for all byproducts</t>
  </si>
  <si>
    <t>End-use markets included in each end-use category</t>
  </si>
  <si>
    <t>pct_byproduct_demand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</si>
</sst>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Times"/>
      <family val="1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9" fontId="0" fillId="0" borderId="5" xfId="1" applyFont="1" applyBorder="1"/>
    <xf numFmtId="9" fontId="0" fillId="0" borderId="8" xfId="1" applyFont="1" applyBorder="1"/>
    <xf numFmtId="3" fontId="0" fillId="0" borderId="0" xfId="0" quotePrefix="1" applyNumberFormat="1" applyAlignment="1">
      <alignment horizontal="right"/>
    </xf>
    <xf numFmtId="9" fontId="0" fillId="0" borderId="5" xfId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7" xfId="0" applyNumberFormat="1" applyBorder="1" applyAlignment="1">
      <alignment horizontal="right"/>
    </xf>
    <xf numFmtId="9" fontId="0" fillId="0" borderId="8" xfId="1" applyFont="1" applyBorder="1" applyAlignment="1">
      <alignment horizontal="right"/>
    </xf>
    <xf numFmtId="9" fontId="0" fillId="0" borderId="0" xfId="1" quotePrefix="1" applyFont="1" applyBorder="1"/>
    <xf numFmtId="9" fontId="0" fillId="0" borderId="5" xfId="1" quotePrefix="1" applyFont="1" applyBorder="1"/>
    <xf numFmtId="9" fontId="0" fillId="0" borderId="8" xfId="1" quotePrefix="1" applyFont="1" applyBorder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9" fontId="0" fillId="0" borderId="5" xfId="0" applyNumberFormat="1" applyBorder="1"/>
    <xf numFmtId="9" fontId="0" fillId="0" borderId="8" xfId="0" applyNumberFormat="1" applyBorder="1"/>
    <xf numFmtId="3" fontId="0" fillId="0" borderId="7" xfId="0" quotePrefix="1" applyNumberFormat="1" applyBorder="1" applyAlignment="1">
      <alignment horizontal="right"/>
    </xf>
    <xf numFmtId="3" fontId="0" fillId="0" borderId="7" xfId="0" applyNumberFormat="1" applyBorder="1" applyAlignment="1" applyProtection="1">
      <alignment horizontal="right" vertical="center"/>
      <protection locked="0"/>
    </xf>
    <xf numFmtId="9" fontId="0" fillId="0" borderId="0" xfId="1" applyFont="1" applyFill="1" applyBorder="1"/>
    <xf numFmtId="0" fontId="0" fillId="0" borderId="0" xfId="1" quotePrefix="1" applyNumberFormat="1" applyFont="1" applyBorder="1"/>
    <xf numFmtId="9" fontId="0" fillId="0" borderId="0" xfId="1" applyFont="1"/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2" fillId="5" borderId="1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8" fillId="0" borderId="0" xfId="3"/>
    <xf numFmtId="0" fontId="2" fillId="5" borderId="2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6" borderId="0" xfId="0" applyFill="1"/>
    <xf numFmtId="0" fontId="2" fillId="7" borderId="0" xfId="0" applyFont="1" applyFill="1"/>
    <xf numFmtId="2" fontId="0" fillId="0" borderId="0" xfId="1" applyNumberFormat="1" applyFont="1"/>
    <xf numFmtId="0" fontId="0" fillId="0" borderId="0" xfId="0" applyFill="1"/>
    <xf numFmtId="0" fontId="7" fillId="0" borderId="0" xfId="0" applyFont="1" applyFill="1"/>
  </cellXfs>
  <cellStyles count="4">
    <cellStyle name="Hyperlink" xfId="3" builtinId="8"/>
    <cellStyle name="Normal" xfId="0" builtinId="0"/>
    <cellStyle name="Normal 2" xfId="2" xr:uid="{BBDC173A-3BE7-8144-ADCB-AC60B3A86E83}"/>
    <cellStyle name="Percent" xfId="1" builtinId="5"/>
  </cellStyles>
  <dxfs count="0"/>
  <tableStyles count="0" defaultTableStyle="TableStyleMedium2" defaultPivotStyle="PivotStyleLight16"/>
  <colors>
    <mruColors>
      <color rgb="FFF8C0C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4EB5-5BBE-6044-A234-394D1E13CEC7}">
  <dimension ref="A1:Z27"/>
  <sheetViews>
    <sheetView workbookViewId="0">
      <selection activeCell="Y25" sqref="Y25"/>
    </sheetView>
  </sheetViews>
  <sheetFormatPr baseColWidth="10" defaultRowHeight="16"/>
  <cols>
    <col min="1" max="1" width="4.83203125" customWidth="1"/>
    <col min="2" max="2" width="18.6640625" customWidth="1"/>
    <col min="3" max="3" width="53.83203125" customWidth="1"/>
    <col min="27" max="16384" width="10.83203125" style="44"/>
  </cols>
  <sheetData>
    <row r="1" spans="1:26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7">
      <c r="B2" s="4" t="s">
        <v>157</v>
      </c>
    </row>
    <row r="4" spans="1:26">
      <c r="B4" s="42" t="s">
        <v>158</v>
      </c>
      <c r="C4" s="42" t="s">
        <v>147</v>
      </c>
    </row>
    <row r="5" spans="1:26">
      <c r="B5" s="38" t="s">
        <v>150</v>
      </c>
      <c r="C5" t="str">
        <f>_xlfn.CONCAT("End-use market breakdown for ",B5)</f>
        <v>End-use market breakdown for BaSO4</v>
      </c>
    </row>
    <row r="6" spans="1:26">
      <c r="B6" s="38" t="s">
        <v>152</v>
      </c>
      <c r="C6" t="str">
        <f t="shared" ref="C6:C25" si="0">_xlfn.CONCAT("End-use market breakdown for ",B6)</f>
        <v>End-use market breakdown for CaCl2</v>
      </c>
    </row>
    <row r="7" spans="1:26">
      <c r="B7" s="38" t="s">
        <v>153</v>
      </c>
      <c r="C7" t="str">
        <f t="shared" si="0"/>
        <v>End-use market breakdown for CaCO3</v>
      </c>
    </row>
    <row r="8" spans="1:26">
      <c r="B8" s="38" t="s">
        <v>154</v>
      </c>
      <c r="C8" t="str">
        <f t="shared" si="0"/>
        <v>End-use market breakdown for CaSO4</v>
      </c>
    </row>
    <row r="9" spans="1:26">
      <c r="B9" s="38" t="s">
        <v>155</v>
      </c>
      <c r="C9" t="str">
        <f t="shared" si="0"/>
        <v>End-use market breakdown for KCl</v>
      </c>
    </row>
    <row r="10" spans="1:26">
      <c r="B10" s="38" t="s">
        <v>156</v>
      </c>
      <c r="C10" t="str">
        <f t="shared" si="0"/>
        <v>End-use market breakdown for LiCl</v>
      </c>
    </row>
    <row r="11" spans="1:26">
      <c r="B11" s="38" t="s">
        <v>159</v>
      </c>
      <c r="C11" t="str">
        <f t="shared" si="0"/>
        <v>End-use market breakdown for Li2CO3</v>
      </c>
    </row>
    <row r="12" spans="1:26">
      <c r="B12" s="38" t="s">
        <v>160</v>
      </c>
      <c r="C12" t="str">
        <f t="shared" si="0"/>
        <v>End-use market breakdown for LiOH</v>
      </c>
    </row>
    <row r="13" spans="1:26">
      <c r="B13" s="38" t="s">
        <v>161</v>
      </c>
      <c r="C13" t="str">
        <f t="shared" si="0"/>
        <v>End-use market breakdown for MgCl2</v>
      </c>
    </row>
    <row r="14" spans="1:26">
      <c r="B14" s="38" t="s">
        <v>162</v>
      </c>
      <c r="C14" t="str">
        <f t="shared" si="0"/>
        <v>End-use market breakdown for MgSO4</v>
      </c>
    </row>
    <row r="15" spans="1:26">
      <c r="B15" s="38" t="s">
        <v>163</v>
      </c>
      <c r="C15" t="str">
        <f t="shared" si="0"/>
        <v>End-use market breakdown for Mg(OH)2</v>
      </c>
    </row>
    <row r="16" spans="1:26">
      <c r="B16" s="38" t="s">
        <v>164</v>
      </c>
      <c r="C16" t="str">
        <f t="shared" si="0"/>
        <v>End-use market breakdown for NaCl</v>
      </c>
    </row>
    <row r="17" spans="2:3">
      <c r="B17" s="38" t="s">
        <v>165</v>
      </c>
      <c r="C17" t="str">
        <f t="shared" si="0"/>
        <v>End-use market breakdown for Na2CO3</v>
      </c>
    </row>
    <row r="18" spans="2:3">
      <c r="B18" s="38" t="s">
        <v>166</v>
      </c>
      <c r="C18" t="str">
        <f t="shared" si="0"/>
        <v>End-use market breakdown for NaHCO3</v>
      </c>
    </row>
    <row r="19" spans="2:3">
      <c r="B19" s="38" t="s">
        <v>167</v>
      </c>
      <c r="C19" t="str">
        <f t="shared" si="0"/>
        <v>End-use market breakdown for Na2SO4</v>
      </c>
    </row>
    <row r="20" spans="2:3">
      <c r="B20" s="38" t="s">
        <v>168</v>
      </c>
      <c r="C20" t="str">
        <f t="shared" si="0"/>
        <v>End-use market breakdown for NaOH</v>
      </c>
    </row>
    <row r="21" spans="2:3">
      <c r="B21" s="38" t="s">
        <v>169</v>
      </c>
      <c r="C21" t="str">
        <f t="shared" si="0"/>
        <v>End-use market breakdown for SrSO4</v>
      </c>
    </row>
    <row r="22" spans="2:3">
      <c r="B22" s="38" t="s">
        <v>170</v>
      </c>
      <c r="C22" t="str">
        <f t="shared" si="0"/>
        <v>End-use market breakdown for H3BO3</v>
      </c>
    </row>
    <row r="23" spans="2:3">
      <c r="B23" s="38" t="s">
        <v>171</v>
      </c>
      <c r="C23" t="str">
        <f t="shared" si="0"/>
        <v>End-use market breakdown for HCl</v>
      </c>
    </row>
    <row r="24" spans="2:3">
      <c r="B24" s="38" t="s">
        <v>172</v>
      </c>
      <c r="C24" t="str">
        <f t="shared" si="0"/>
        <v>End-use market breakdown for Br2</v>
      </c>
    </row>
    <row r="25" spans="2:3">
      <c r="B25" s="38" t="s">
        <v>173</v>
      </c>
      <c r="C25" t="str">
        <f t="shared" si="0"/>
        <v>End-use market breakdown for Cl2</v>
      </c>
    </row>
    <row r="26" spans="2:3">
      <c r="B26" s="38" t="s">
        <v>174</v>
      </c>
      <c r="C26" t="s">
        <v>176</v>
      </c>
    </row>
    <row r="27" spans="2:3">
      <c r="B27" s="38" t="s">
        <v>175</v>
      </c>
      <c r="C27" t="s">
        <v>177</v>
      </c>
    </row>
  </sheetData>
  <hyperlinks>
    <hyperlink ref="B5" location="BaSO4!A1" display="BaSO4" xr:uid="{1A8F3147-25A1-4E41-A967-850867CF5611}"/>
    <hyperlink ref="B6" location="CaCl2!A1" display="CaCl2" xr:uid="{558692EC-1FEC-004F-A607-E270969C3895}"/>
    <hyperlink ref="B7" location="CaCO3!A1" display="CaCO3" xr:uid="{1F11D1F5-8406-8B4E-BB0E-915D282770A3}"/>
    <hyperlink ref="B8" location="CaSO4!A1" display="CaSO4" xr:uid="{A81C278B-27C1-A04D-BE09-8C9607604387}"/>
    <hyperlink ref="B9" location="KCl!A1" display="KCl" xr:uid="{56EB7DA0-038A-ED43-988F-E8528311F04C}"/>
    <hyperlink ref="B10" location="LiCl!A1" display="LiCl" xr:uid="{56460EB9-879F-0743-9232-8E6123FB670B}"/>
    <hyperlink ref="B11" location="Li2CO3!A1" display="Li2CO3" xr:uid="{DFA957A3-6400-3846-A747-BB523BF38FA4}"/>
    <hyperlink ref="B12" location="LiOH!A1" display="LiOH" xr:uid="{36E97531-8C75-0642-B2C7-85B87F91CBA6}"/>
    <hyperlink ref="B13" location="MgCl2!A1" display="MgCl2" xr:uid="{BC2C0ED6-484B-AF4D-B9B2-3AB186EB3CFA}"/>
    <hyperlink ref="B14" location="MgSO4!A1" display="MgSO4" xr:uid="{D548580C-F243-D245-AEDA-FAD6643BD965}"/>
    <hyperlink ref="B27" location="'Category Map'!A1" display="Category Map" xr:uid="{97FBE463-06DE-B841-A9B9-1BE8846AB9CF}"/>
    <hyperlink ref="B26" location="Summary!A1" display="Summary" xr:uid="{A41296B4-CC0B-E04B-B2A5-B78D64845098}"/>
    <hyperlink ref="B25" location="'Cl2'!A1" display="Cl2" xr:uid="{378B158C-93BB-504D-A377-2F9EBE2EDCB2}"/>
    <hyperlink ref="B24" location="'Br2'!A1" display="Br2" xr:uid="{4958DFFD-9D86-9948-95F9-78F8899F8D0D}"/>
    <hyperlink ref="B23" location="HCl!A1" display="HCl" xr:uid="{B346DE09-C210-8D49-B6A6-97F97BB0E830}"/>
    <hyperlink ref="B22" location="H3BO3!A1" display="H3BO3" xr:uid="{C75923BF-22E5-764C-B567-280C56176D9E}"/>
    <hyperlink ref="B21" location="SrSO4!A1" display="SrSO4" xr:uid="{9C9DA8B0-045A-4D41-8AB1-08D95BB3D419}"/>
    <hyperlink ref="B20" location="NaOH!A1" display="NaOH" xr:uid="{2E31ABA6-4971-074C-8619-3F9EDA545F2C}"/>
    <hyperlink ref="B19" location="SrSO4!A1" display="Na2SO4" xr:uid="{2D1334C5-066D-9347-ACC9-54F1DD4EFDD4}"/>
    <hyperlink ref="B18" location="NaHCO3!A1" display="NaHCO3" xr:uid="{A4F63D0F-6BDA-1F49-8FCB-B2048C81AFE9}"/>
    <hyperlink ref="B17" location="Na2CO3!A1" display="Na2CO3" xr:uid="{5917E4E1-C6EF-B64F-A311-D3FAA1CBBBA9}"/>
    <hyperlink ref="B16" location="NaCl!A1" display="NaCl" xr:uid="{FA63B120-A389-3B40-BE30-7D70E531762F}"/>
    <hyperlink ref="B15" location="'Mg(OH)2'!A1" display="Mg(OH)2" xr:uid="{D3856192-E17A-3E44-9406-79840AF2B0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1EA9-5267-6149-AFB0-85D3EA47DC5F}">
  <dimension ref="A1:Z11"/>
  <sheetViews>
    <sheetView workbookViewId="0">
      <selection activeCell="G24" sqref="G24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5" customFormat="1" ht="27">
      <c r="A2" s="5"/>
      <c r="B2" s="4" t="s">
        <v>151</v>
      </c>
      <c r="C2" s="5"/>
      <c r="D2" s="5" t="s">
        <v>76</v>
      </c>
      <c r="E2" s="5"/>
      <c r="F2" s="5"/>
      <c r="G2" s="5"/>
      <c r="H2" s="4"/>
      <c r="I2" s="5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</v>
      </c>
      <c r="C8" t="s">
        <v>79</v>
      </c>
      <c r="D8" s="14" t="s">
        <v>21</v>
      </c>
      <c r="E8" s="15">
        <v>0.9</v>
      </c>
      <c r="G8" s="9" t="str" cm="1">
        <f t="array" ref="G8:G9">_xlfn.UNIQUE(B8:B9)</f>
        <v>Oil and Gas</v>
      </c>
      <c r="H8" s="20">
        <f>SUMIF(B$8:B$9,G8,E$8:E$9)</f>
        <v>0.9</v>
      </c>
    </row>
    <row r="9" spans="1:26">
      <c r="B9" s="10" t="s">
        <v>30</v>
      </c>
      <c r="C9" s="11" t="s">
        <v>18</v>
      </c>
      <c r="D9" s="27" t="s">
        <v>71</v>
      </c>
      <c r="E9" s="18">
        <v>0.1</v>
      </c>
      <c r="G9" s="10" t="str">
        <v>Miscellaneous Industrial</v>
      </c>
      <c r="H9" s="21">
        <f>SUMIF(B$8:B$9,G9,E$8:E$9)</f>
        <v>0.1</v>
      </c>
    </row>
    <row r="10" spans="1:26">
      <c r="B10" t="s">
        <v>13</v>
      </c>
      <c r="C10" t="s">
        <v>117</v>
      </c>
      <c r="H10" s="19"/>
    </row>
    <row r="11" spans="1:26">
      <c r="H1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CC2A-A80E-5F4C-B575-D8DC2FB18925}">
  <dimension ref="A1:Z15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24</v>
      </c>
      <c r="H2" s="4"/>
      <c r="J2" s="4"/>
    </row>
    <row r="4" spans="1:26" ht="22">
      <c r="B4" s="3" t="s">
        <v>12</v>
      </c>
    </row>
    <row r="5" spans="1:26" ht="16" customHeight="1">
      <c r="B5" s="3"/>
    </row>
    <row r="6" spans="1:26" ht="19">
      <c r="B6" s="2" t="s">
        <v>29</v>
      </c>
      <c r="G6" s="2" t="s">
        <v>33</v>
      </c>
    </row>
    <row r="7" spans="1:26">
      <c r="B7" s="6" t="s">
        <v>15</v>
      </c>
      <c r="C7" s="7" t="s">
        <v>14</v>
      </c>
      <c r="D7" s="7" t="s">
        <v>16</v>
      </c>
      <c r="E7" s="8" t="s">
        <v>0</v>
      </c>
      <c r="G7" s="6" t="s">
        <v>15</v>
      </c>
      <c r="H7" s="8" t="s">
        <v>0</v>
      </c>
    </row>
    <row r="8" spans="1:26">
      <c r="B8" s="9" t="s">
        <v>1</v>
      </c>
      <c r="C8" t="s">
        <v>1</v>
      </c>
      <c r="D8" s="22" t="s">
        <v>21</v>
      </c>
      <c r="E8" s="12">
        <v>0.3</v>
      </c>
      <c r="G8" s="9" t="str" cm="1">
        <f t="array" ref="G8:G14">_xlfn.UNIQUE(B8:B14)</f>
        <v>Deicing</v>
      </c>
      <c r="H8" s="25">
        <f>E8</f>
        <v>0.3</v>
      </c>
    </row>
    <row r="9" spans="1:26">
      <c r="B9" s="9" t="s">
        <v>5</v>
      </c>
      <c r="C9" t="s">
        <v>17</v>
      </c>
      <c r="D9" s="23" t="s">
        <v>21</v>
      </c>
      <c r="E9" s="12">
        <v>0.25</v>
      </c>
      <c r="G9" s="9" t="str">
        <v>Dust Control</v>
      </c>
      <c r="H9" s="25">
        <f t="shared" ref="H9:H14" si="0">E9</f>
        <v>0.25</v>
      </c>
    </row>
    <row r="10" spans="1:26">
      <c r="B10" s="9" t="s">
        <v>30</v>
      </c>
      <c r="C10" t="s">
        <v>2</v>
      </c>
      <c r="D10" s="23" t="s">
        <v>21</v>
      </c>
      <c r="E10" s="12">
        <v>0.15</v>
      </c>
      <c r="G10" s="9" t="str">
        <v>Miscellaneous Industrial</v>
      </c>
      <c r="H10" s="25">
        <f t="shared" si="0"/>
        <v>0.15</v>
      </c>
    </row>
    <row r="11" spans="1:26">
      <c r="B11" s="9" t="s">
        <v>6</v>
      </c>
      <c r="C11" t="s">
        <v>19</v>
      </c>
      <c r="D11" s="23" t="s">
        <v>21</v>
      </c>
      <c r="E11" s="12">
        <v>0.1</v>
      </c>
      <c r="G11" s="9" t="str">
        <v>Oil and Gas</v>
      </c>
      <c r="H11" s="25">
        <f t="shared" si="0"/>
        <v>0.1</v>
      </c>
    </row>
    <row r="12" spans="1:26">
      <c r="B12" s="9" t="s">
        <v>3</v>
      </c>
      <c r="C12" t="s">
        <v>3</v>
      </c>
      <c r="D12" s="23" t="s">
        <v>21</v>
      </c>
      <c r="E12" s="12">
        <v>0.05</v>
      </c>
      <c r="G12" s="9" t="str">
        <v>Concrete</v>
      </c>
      <c r="H12" s="25">
        <f t="shared" si="0"/>
        <v>0.05</v>
      </c>
    </row>
    <row r="13" spans="1:26">
      <c r="B13" s="9" t="s">
        <v>31</v>
      </c>
      <c r="C13" t="s">
        <v>20</v>
      </c>
      <c r="D13" s="23" t="s">
        <v>21</v>
      </c>
      <c r="E13" s="12">
        <v>0.04</v>
      </c>
      <c r="G13" s="9" t="str">
        <v>Miscellaneous Agricultural</v>
      </c>
      <c r="H13" s="25">
        <f t="shared" si="0"/>
        <v>0.04</v>
      </c>
    </row>
    <row r="14" spans="1:26">
      <c r="B14" s="10" t="s">
        <v>23</v>
      </c>
      <c r="C14" s="11" t="s">
        <v>4</v>
      </c>
      <c r="D14" s="24" t="s">
        <v>21</v>
      </c>
      <c r="E14" s="13">
        <v>0.11</v>
      </c>
      <c r="G14" s="10" t="str">
        <v>Other</v>
      </c>
      <c r="H14" s="26">
        <f t="shared" si="0"/>
        <v>0.11</v>
      </c>
    </row>
    <row r="15" spans="1:26">
      <c r="B15" t="s">
        <v>13</v>
      </c>
      <c r="C1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522C-1A5E-1B41-B229-41225CD6F11D}">
  <dimension ref="A1:Z13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11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8</v>
      </c>
      <c r="C8" t="s">
        <v>111</v>
      </c>
      <c r="D8" s="14" t="s">
        <v>21</v>
      </c>
      <c r="E8" s="15">
        <v>0.72</v>
      </c>
      <c r="G8" s="9" t="str" cm="1">
        <f t="array" ref="G8:G12">_xlfn.UNIQUE(B8:B12)</f>
        <v>Construction Aggregate</v>
      </c>
      <c r="H8" s="20">
        <f>SUMIF(B$8:B$12,G8,E$8:E$12)</f>
        <v>0.72</v>
      </c>
    </row>
    <row r="9" spans="1:26">
      <c r="B9" s="9" t="s">
        <v>9</v>
      </c>
      <c r="C9" t="s">
        <v>112</v>
      </c>
      <c r="D9" s="16" t="s">
        <v>21</v>
      </c>
      <c r="E9" s="15">
        <v>0.17</v>
      </c>
      <c r="G9" s="9" t="str">
        <v>Cement Manufacturing</v>
      </c>
      <c r="H9" s="20">
        <f>SUMIF(B$8:B$12,G9,E$8:E$12)</f>
        <v>0.17</v>
      </c>
    </row>
    <row r="10" spans="1:26">
      <c r="B10" s="9" t="s">
        <v>26</v>
      </c>
      <c r="C10" t="s">
        <v>113</v>
      </c>
      <c r="D10" s="16" t="s">
        <v>21</v>
      </c>
      <c r="E10" s="15">
        <v>0.06</v>
      </c>
      <c r="G10" s="9" t="str">
        <v>Lime Manufacturing</v>
      </c>
      <c r="H10" s="20">
        <f>SUMIF(B$8:B$12,G10,E$8:E$12)</f>
        <v>0.06</v>
      </c>
    </row>
    <row r="11" spans="1:26">
      <c r="B11" s="9" t="s">
        <v>31</v>
      </c>
      <c r="C11" t="s">
        <v>114</v>
      </c>
      <c r="D11" s="16" t="s">
        <v>21</v>
      </c>
      <c r="E11" s="15">
        <v>0.01</v>
      </c>
      <c r="G11" s="9" t="str">
        <v>Miscellaneous Agricultural</v>
      </c>
      <c r="H11" s="20">
        <f>SUMIF(B$8:B$12,G11,E$8:E$12)</f>
        <v>0.01</v>
      </c>
    </row>
    <row r="12" spans="1:26">
      <c r="B12" s="10" t="s">
        <v>23</v>
      </c>
      <c r="C12" s="11" t="s">
        <v>115</v>
      </c>
      <c r="D12" s="17" t="s">
        <v>21</v>
      </c>
      <c r="E12" s="18">
        <v>0.04</v>
      </c>
      <c r="G12" s="10" t="str">
        <v>Other</v>
      </c>
      <c r="H12" s="21">
        <f>SUMIF(B$8:B$12,G12,E$8:E$12)</f>
        <v>0.04</v>
      </c>
    </row>
    <row r="13" spans="1:26">
      <c r="B13" t="s">
        <v>13</v>
      </c>
      <c r="C13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808B-868D-C849-9D17-73F703D8742B}">
  <dimension ref="A1:Z14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78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9</v>
      </c>
      <c r="C8" t="s">
        <v>34</v>
      </c>
      <c r="D8" s="14">
        <v>4400</v>
      </c>
      <c r="E8" s="15">
        <f>D8/SUM(D$8:D$12)</f>
        <v>0.11847065158858373</v>
      </c>
      <c r="G8" s="9" t="str" cm="1">
        <f t="array" ref="G8:G11">_xlfn.UNIQUE(B8:B12)</f>
        <v>Cement Manufacturing</v>
      </c>
      <c r="H8" s="20">
        <f>SUMIF(B$8:B$12,G8,E$8:E$12)</f>
        <v>0.11847065158858373</v>
      </c>
    </row>
    <row r="9" spans="1:26">
      <c r="B9" s="9" t="s">
        <v>31</v>
      </c>
      <c r="C9" t="s">
        <v>35</v>
      </c>
      <c r="D9" s="16">
        <v>14400</v>
      </c>
      <c r="E9" s="15">
        <f t="shared" ref="E9:E11" si="0">D9/SUM(D$8:D$12)</f>
        <v>0.3877221324717286</v>
      </c>
      <c r="G9" s="9" t="str">
        <v>Miscellaneous Agricultural</v>
      </c>
      <c r="H9" s="20">
        <f t="shared" ref="H9:H11" si="1">SUMIF(B$8:B$12,G9,E$8:E$12)</f>
        <v>0.3877221324717286</v>
      </c>
    </row>
    <row r="10" spans="1:26">
      <c r="B10" s="9" t="s">
        <v>39</v>
      </c>
      <c r="C10" t="s">
        <v>36</v>
      </c>
      <c r="D10" s="16" t="s">
        <v>10</v>
      </c>
      <c r="E10" s="15" t="s">
        <v>21</v>
      </c>
      <c r="G10" s="9" t="str">
        <v>Gypsum-Based Building Materials</v>
      </c>
      <c r="H10" s="20">
        <f t="shared" si="1"/>
        <v>0.42003231017770598</v>
      </c>
    </row>
    <row r="11" spans="1:26">
      <c r="B11" s="9" t="s">
        <v>39</v>
      </c>
      <c r="C11" t="s">
        <v>37</v>
      </c>
      <c r="D11" s="16">
        <v>15600</v>
      </c>
      <c r="E11" s="15">
        <f t="shared" si="0"/>
        <v>0.42003231017770598</v>
      </c>
      <c r="G11" s="10" t="str">
        <v>Other</v>
      </c>
      <c r="H11" s="21">
        <f t="shared" si="1"/>
        <v>7.3774905761981688E-2</v>
      </c>
    </row>
    <row r="12" spans="1:26">
      <c r="B12" s="10" t="s">
        <v>23</v>
      </c>
      <c r="C12" s="11" t="s">
        <v>23</v>
      </c>
      <c r="D12" s="17">
        <v>2740</v>
      </c>
      <c r="E12" s="18">
        <f>D12/SUM(D$8:D$12)</f>
        <v>7.3774905761981688E-2</v>
      </c>
    </row>
    <row r="13" spans="1:26">
      <c r="B13" t="s">
        <v>13</v>
      </c>
      <c r="C13" t="s">
        <v>40</v>
      </c>
    </row>
    <row r="14" spans="1:26">
      <c r="B14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3FCE-6ED6-4F45-A027-4D10B3CD454B}">
  <dimension ref="A1:Z17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42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81</v>
      </c>
      <c r="C8" t="s">
        <v>80</v>
      </c>
      <c r="D8" s="14" t="s">
        <v>21</v>
      </c>
      <c r="E8" s="15">
        <v>0.85</v>
      </c>
      <c r="G8" s="9" t="str" cm="1">
        <f t="array" ref="G8:G9">_xlfn.UNIQUE(B8:B9)</f>
        <v>Fertilizer Manufacturing</v>
      </c>
      <c r="H8" s="20">
        <f>SUMIF(B$8:B$9,G8,E$8:E$9)</f>
        <v>0.85</v>
      </c>
    </row>
    <row r="9" spans="1:26">
      <c r="B9" s="10" t="s">
        <v>30</v>
      </c>
      <c r="C9" s="11" t="s">
        <v>119</v>
      </c>
      <c r="D9" s="27" t="s">
        <v>21</v>
      </c>
      <c r="E9" s="18">
        <v>0.15</v>
      </c>
      <c r="G9" s="10" t="str">
        <v>Miscellaneous Industrial</v>
      </c>
      <c r="H9" s="21">
        <f>SUMIF(B$8:B$9,G9,E$8:E$9)</f>
        <v>0.15</v>
      </c>
    </row>
    <row r="10" spans="1:26">
      <c r="B10" t="s">
        <v>13</v>
      </c>
      <c r="C10" t="s">
        <v>118</v>
      </c>
      <c r="H10" s="19"/>
    </row>
    <row r="11" spans="1:26">
      <c r="H11" s="19"/>
    </row>
    <row r="12" spans="1:26"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0B93-AE93-8543-AD54-8E8805A8D5BB}">
  <dimension ref="A1:Z21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82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89</v>
      </c>
      <c r="C8" t="s">
        <v>83</v>
      </c>
      <c r="D8" s="14" t="s">
        <v>21</v>
      </c>
      <c r="E8" s="15">
        <v>0.88</v>
      </c>
      <c r="G8" s="9" t="str" cm="1">
        <f t="array" ref="G8:G11">_xlfn.UNIQUE(B8:B14)</f>
        <v>Battery Manufacturing</v>
      </c>
      <c r="H8" s="20">
        <f>SUMIF(B$8:B$14,G8,E$8:E$14)</f>
        <v>0.88</v>
      </c>
    </row>
    <row r="9" spans="1:26">
      <c r="B9" s="9" t="s">
        <v>28</v>
      </c>
      <c r="C9" t="s">
        <v>84</v>
      </c>
      <c r="D9" s="14" t="s">
        <v>21</v>
      </c>
      <c r="E9" s="15">
        <v>0.04</v>
      </c>
      <c r="G9" s="9" t="str">
        <v>Glass Manufacturing</v>
      </c>
      <c r="H9" s="20">
        <f>SUMIF(B$8:B$14,G9,E$8:E$14)</f>
        <v>0.04</v>
      </c>
    </row>
    <row r="10" spans="1:26">
      <c r="B10" s="9" t="s">
        <v>30</v>
      </c>
      <c r="C10" t="s">
        <v>85</v>
      </c>
      <c r="D10" s="14" t="s">
        <v>21</v>
      </c>
      <c r="E10" s="15">
        <v>0.02</v>
      </c>
      <c r="G10" s="9" t="str">
        <v>Miscellaneous Industrial</v>
      </c>
      <c r="H10" s="20">
        <f>SUMIF(B$8:B$14,G10,E$8:E$14)</f>
        <v>0.03</v>
      </c>
    </row>
    <row r="11" spans="1:26">
      <c r="B11" s="9" t="s">
        <v>23</v>
      </c>
      <c r="C11" t="s">
        <v>87</v>
      </c>
      <c r="D11" s="14" t="s">
        <v>21</v>
      </c>
      <c r="E11" s="15">
        <v>0.01</v>
      </c>
      <c r="G11" s="10" t="str">
        <v>Other</v>
      </c>
      <c r="H11" s="21">
        <f>SUMIF(B$8:B$14,G11,E$8:E$14)</f>
        <v>0.05</v>
      </c>
    </row>
    <row r="12" spans="1:26">
      <c r="B12" s="9" t="s">
        <v>30</v>
      </c>
      <c r="C12" t="s">
        <v>86</v>
      </c>
      <c r="D12" s="14" t="s">
        <v>21</v>
      </c>
      <c r="E12" s="15">
        <v>0.01</v>
      </c>
      <c r="H12" s="29"/>
    </row>
    <row r="13" spans="1:26">
      <c r="B13" s="9" t="s">
        <v>23</v>
      </c>
      <c r="C13" t="s">
        <v>88</v>
      </c>
      <c r="D13" s="14" t="s">
        <v>21</v>
      </c>
      <c r="E13" s="15">
        <v>0.01</v>
      </c>
      <c r="H13" s="29"/>
    </row>
    <row r="14" spans="1:26">
      <c r="B14" s="10" t="s">
        <v>23</v>
      </c>
      <c r="C14" s="11" t="s">
        <v>23</v>
      </c>
      <c r="D14" s="27" t="s">
        <v>21</v>
      </c>
      <c r="E14" s="18">
        <v>0.03</v>
      </c>
      <c r="H14" s="29"/>
    </row>
    <row r="15" spans="1:26">
      <c r="B15" t="s">
        <v>13</v>
      </c>
      <c r="C15" t="s">
        <v>120</v>
      </c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  <row r="21" spans="8:8">
      <c r="H21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F9F8-C9DC-9941-B7FC-7288EB6E948F}">
  <dimension ref="A1:Z21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90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89</v>
      </c>
      <c r="C8" t="s">
        <v>83</v>
      </c>
      <c r="D8" s="14" t="s">
        <v>21</v>
      </c>
      <c r="E8" s="15">
        <v>0.88</v>
      </c>
      <c r="G8" s="9" t="str" cm="1">
        <f t="array" ref="G8:G11">_xlfn.UNIQUE(B8:B14)</f>
        <v>Battery Manufacturing</v>
      </c>
      <c r="H8" s="20">
        <f>SUMIF(B$8:B$14,G8,E$8:E$14)</f>
        <v>0.88</v>
      </c>
    </row>
    <row r="9" spans="1:26">
      <c r="B9" s="9" t="s">
        <v>28</v>
      </c>
      <c r="C9" t="s">
        <v>84</v>
      </c>
      <c r="D9" s="14" t="s">
        <v>21</v>
      </c>
      <c r="E9" s="15">
        <v>0.04</v>
      </c>
      <c r="G9" s="9" t="str">
        <v>Glass Manufacturing</v>
      </c>
      <c r="H9" s="20">
        <f>SUMIF(B$8:B$14,G9,E$8:E$14)</f>
        <v>0.04</v>
      </c>
    </row>
    <row r="10" spans="1:26">
      <c r="B10" s="9" t="s">
        <v>30</v>
      </c>
      <c r="C10" t="s">
        <v>85</v>
      </c>
      <c r="D10" s="14" t="s">
        <v>21</v>
      </c>
      <c r="E10" s="15">
        <v>0.02</v>
      </c>
      <c r="G10" s="9" t="str">
        <v>Miscellaneous Industrial</v>
      </c>
      <c r="H10" s="20">
        <f>SUMIF(B$8:B$14,G10,E$8:E$14)</f>
        <v>0.03</v>
      </c>
    </row>
    <row r="11" spans="1:26">
      <c r="B11" s="9" t="s">
        <v>23</v>
      </c>
      <c r="C11" t="s">
        <v>87</v>
      </c>
      <c r="D11" s="14" t="s">
        <v>21</v>
      </c>
      <c r="E11" s="15">
        <v>0.01</v>
      </c>
      <c r="G11" s="10" t="str">
        <v>Other</v>
      </c>
      <c r="H11" s="21">
        <f>SUMIF(B$8:B$14,G11,E$8:E$14)</f>
        <v>0.05</v>
      </c>
    </row>
    <row r="12" spans="1:26">
      <c r="B12" s="9" t="s">
        <v>30</v>
      </c>
      <c r="C12" t="s">
        <v>86</v>
      </c>
      <c r="D12" s="14" t="s">
        <v>21</v>
      </c>
      <c r="E12" s="15">
        <v>0.01</v>
      </c>
      <c r="H12" s="29"/>
    </row>
    <row r="13" spans="1:26">
      <c r="B13" s="9" t="s">
        <v>23</v>
      </c>
      <c r="C13" t="s">
        <v>88</v>
      </c>
      <c r="D13" s="14" t="s">
        <v>21</v>
      </c>
      <c r="E13" s="15">
        <v>0.01</v>
      </c>
      <c r="H13" s="29"/>
    </row>
    <row r="14" spans="1:26">
      <c r="B14" s="10" t="s">
        <v>23</v>
      </c>
      <c r="C14" s="11" t="s">
        <v>23</v>
      </c>
      <c r="D14" s="27" t="s">
        <v>21</v>
      </c>
      <c r="E14" s="18">
        <v>0.03</v>
      </c>
      <c r="H14" s="29"/>
    </row>
    <row r="15" spans="1:26">
      <c r="B15" t="s">
        <v>13</v>
      </c>
      <c r="C15" t="s">
        <v>120</v>
      </c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  <row r="21" spans="8:8">
      <c r="H21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17D3-87B9-374B-8932-CCCADEE83C8C}">
  <dimension ref="A1:Z21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121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89</v>
      </c>
      <c r="C8" t="s">
        <v>83</v>
      </c>
      <c r="D8" s="14" t="s">
        <v>21</v>
      </c>
      <c r="E8" s="15">
        <v>0.88</v>
      </c>
      <c r="G8" s="9" t="str" cm="1">
        <f t="array" ref="G8:G11">_xlfn.UNIQUE(B8:B14)</f>
        <v>Battery Manufacturing</v>
      </c>
      <c r="H8" s="20">
        <f>SUMIF(B$8:B$14,G8,E$8:E$14)</f>
        <v>0.88</v>
      </c>
    </row>
    <row r="9" spans="1:26">
      <c r="B9" s="9" t="s">
        <v>28</v>
      </c>
      <c r="C9" t="s">
        <v>84</v>
      </c>
      <c r="D9" s="14" t="s">
        <v>21</v>
      </c>
      <c r="E9" s="15">
        <v>0.04</v>
      </c>
      <c r="G9" s="9" t="str">
        <v>Glass Manufacturing</v>
      </c>
      <c r="H9" s="20">
        <f>SUMIF(B$8:B$14,G9,E$8:E$14)</f>
        <v>0.04</v>
      </c>
    </row>
    <row r="10" spans="1:26">
      <c r="B10" s="9" t="s">
        <v>30</v>
      </c>
      <c r="C10" t="s">
        <v>85</v>
      </c>
      <c r="D10" s="14" t="s">
        <v>21</v>
      </c>
      <c r="E10" s="15">
        <v>0.02</v>
      </c>
      <c r="G10" s="9" t="str">
        <v>Miscellaneous Industrial</v>
      </c>
      <c r="H10" s="20">
        <f>SUMIF(B$8:B$14,G10,E$8:E$14)</f>
        <v>0.03</v>
      </c>
    </row>
    <row r="11" spans="1:26">
      <c r="B11" s="9" t="s">
        <v>23</v>
      </c>
      <c r="C11" t="s">
        <v>87</v>
      </c>
      <c r="D11" s="14" t="s">
        <v>21</v>
      </c>
      <c r="E11" s="15">
        <v>0.01</v>
      </c>
      <c r="G11" s="10" t="str">
        <v>Other</v>
      </c>
      <c r="H11" s="21">
        <f>SUMIF(B$8:B$14,G11,E$8:E$14)</f>
        <v>0.05</v>
      </c>
    </row>
    <row r="12" spans="1:26">
      <c r="B12" s="9" t="s">
        <v>30</v>
      </c>
      <c r="C12" t="s">
        <v>86</v>
      </c>
      <c r="D12" s="14" t="s">
        <v>21</v>
      </c>
      <c r="E12" s="15">
        <v>0.01</v>
      </c>
      <c r="H12" s="29"/>
    </row>
    <row r="13" spans="1:26">
      <c r="B13" s="9" t="s">
        <v>23</v>
      </c>
      <c r="C13" t="s">
        <v>88</v>
      </c>
      <c r="D13" s="14" t="s">
        <v>21</v>
      </c>
      <c r="E13" s="15">
        <v>0.01</v>
      </c>
      <c r="H13" s="29"/>
    </row>
    <row r="14" spans="1:26">
      <c r="B14" s="10" t="s">
        <v>23</v>
      </c>
      <c r="C14" s="11" t="s">
        <v>23</v>
      </c>
      <c r="D14" s="27" t="s">
        <v>21</v>
      </c>
      <c r="E14" s="18">
        <v>0.03</v>
      </c>
      <c r="H14" s="29"/>
    </row>
    <row r="15" spans="1:26">
      <c r="B15" t="s">
        <v>13</v>
      </c>
      <c r="C15" t="s">
        <v>120</v>
      </c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  <row r="21" spans="8:8">
      <c r="H21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7B1A-EA58-EE4A-A0CC-C67232ED9D55}">
  <dimension ref="A1:Z16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91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10" t="s">
        <v>1</v>
      </c>
      <c r="C8" s="11" t="s">
        <v>1</v>
      </c>
      <c r="D8" s="27" t="s">
        <v>21</v>
      </c>
      <c r="E8" s="18">
        <v>1</v>
      </c>
      <c r="G8" s="10" t="str" cm="1">
        <f t="array" ref="G8">_xlfn.UNIQUE(B8:B8)</f>
        <v>Deicing</v>
      </c>
      <c r="H8" s="21">
        <f>SUMIF(B$8:B$8,G8,E$8:E$8)</f>
        <v>1</v>
      </c>
    </row>
    <row r="9" spans="1:26">
      <c r="B9" t="s">
        <v>13</v>
      </c>
      <c r="C9" t="s">
        <v>44</v>
      </c>
      <c r="H9" s="19"/>
    </row>
    <row r="10" spans="1:26">
      <c r="H10" s="19"/>
    </row>
    <row r="11" spans="1:26">
      <c r="H11" s="19"/>
    </row>
    <row r="12" spans="1:26"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5935-9AB1-2A46-B9CF-A095D2E2266C}">
  <dimension ref="A1:Z20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92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30</v>
      </c>
      <c r="C8" t="s">
        <v>93</v>
      </c>
      <c r="D8" s="14" t="s">
        <v>21</v>
      </c>
      <c r="E8" s="15">
        <v>0.48</v>
      </c>
      <c r="G8" s="9" t="str" cm="1">
        <f t="array" ref="G8:G12">_xlfn.UNIQUE(B8:B12)</f>
        <v>Miscellaneous Industrial</v>
      </c>
      <c r="H8" s="20">
        <f>SUMIF(B$8:B$12,G8,E$8:E$12)</f>
        <v>0.48</v>
      </c>
    </row>
    <row r="9" spans="1:26">
      <c r="B9" s="9" t="s">
        <v>67</v>
      </c>
      <c r="C9" t="s">
        <v>46</v>
      </c>
      <c r="D9" s="14" t="s">
        <v>21</v>
      </c>
      <c r="E9" s="15">
        <v>0.22</v>
      </c>
      <c r="G9" s="9" t="str">
        <v>Chemical Manufacturing</v>
      </c>
      <c r="H9" s="20">
        <f>SUMIF(B$8:B$12,G9,E$8:E$12)</f>
        <v>0.22</v>
      </c>
    </row>
    <row r="10" spans="1:26">
      <c r="B10" s="9" t="s">
        <v>68</v>
      </c>
      <c r="C10" t="s">
        <v>52</v>
      </c>
      <c r="D10" s="14" t="s">
        <v>21</v>
      </c>
      <c r="E10" s="15">
        <v>0.12</v>
      </c>
      <c r="G10" s="9" t="str">
        <v>Pulp and Paper</v>
      </c>
      <c r="H10" s="20">
        <f>SUMIF(B$8:B$12,G10,E$8:E$12)</f>
        <v>0.12</v>
      </c>
    </row>
    <row r="11" spans="1:26">
      <c r="B11" s="9" t="s">
        <v>81</v>
      </c>
      <c r="C11" t="s">
        <v>80</v>
      </c>
      <c r="D11" s="14" t="s">
        <v>21</v>
      </c>
      <c r="E11" s="15">
        <v>0.1</v>
      </c>
      <c r="G11" s="9" t="str">
        <v>Fertilizer Manufacturing</v>
      </c>
      <c r="H11" s="20">
        <f>SUMIF(B$8:B$12,G11,E$8:E$12)</f>
        <v>0.1</v>
      </c>
    </row>
    <row r="12" spans="1:26">
      <c r="B12" s="10" t="s">
        <v>23</v>
      </c>
      <c r="C12" s="11" t="s">
        <v>94</v>
      </c>
      <c r="D12" s="27" t="s">
        <v>21</v>
      </c>
      <c r="E12" s="18">
        <v>0.08</v>
      </c>
      <c r="G12" s="10" t="str">
        <v>Other</v>
      </c>
      <c r="H12" s="21">
        <f>SUMIF(B$8:B$12,G12,E$8:E$12)</f>
        <v>0.08</v>
      </c>
    </row>
    <row r="13" spans="1:26">
      <c r="B13" t="s">
        <v>13</v>
      </c>
      <c r="C13" t="s">
        <v>44</v>
      </c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C79D-FA35-2E4B-8910-783493CB8D0B}">
  <dimension ref="A1:Z18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43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41</v>
      </c>
      <c r="C8" t="s">
        <v>45</v>
      </c>
      <c r="D8" s="14" t="s">
        <v>21</v>
      </c>
      <c r="E8" s="15">
        <v>0.8</v>
      </c>
      <c r="G8" s="9" t="str" cm="1">
        <f t="array" ref="G8:G10">_xlfn.UNIQUE(B8:B10)</f>
        <v>Water Treatment</v>
      </c>
      <c r="H8" s="20">
        <f>SUMIF(B$8:B$10,G8,E$8:E$10)</f>
        <v>0.8</v>
      </c>
    </row>
    <row r="9" spans="1:26">
      <c r="B9" s="9" t="s">
        <v>67</v>
      </c>
      <c r="C9" t="s">
        <v>46</v>
      </c>
      <c r="D9" s="14" t="s">
        <v>21</v>
      </c>
      <c r="E9" s="15">
        <v>0.11</v>
      </c>
      <c r="G9" s="9" t="str">
        <v>Chemical Manufacturing</v>
      </c>
      <c r="H9" s="20">
        <f>SUMIF(B$8:B$10,G9,E$8:E$10)</f>
        <v>0.11</v>
      </c>
    </row>
    <row r="10" spans="1:26">
      <c r="B10" s="10" t="s">
        <v>23</v>
      </c>
      <c r="C10" s="11" t="s">
        <v>47</v>
      </c>
      <c r="D10" s="27" t="s">
        <v>21</v>
      </c>
      <c r="E10" s="18">
        <v>0.09</v>
      </c>
      <c r="G10" s="10" t="str">
        <v>Other</v>
      </c>
      <c r="H10" s="21">
        <f>SUMIF(B$8:B$10,G10,E$8:E$10)</f>
        <v>0.09</v>
      </c>
    </row>
    <row r="11" spans="1:26">
      <c r="B11" t="s">
        <v>13</v>
      </c>
      <c r="C11" t="s">
        <v>44</v>
      </c>
      <c r="H11" s="19"/>
    </row>
    <row r="12" spans="1:26"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  <row r="18" spans="8:8">
      <c r="H18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2063-9C7F-1842-88E5-0E42FD8DC671}">
  <dimension ref="A1:Z19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48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54</v>
      </c>
      <c r="C8" t="s">
        <v>49</v>
      </c>
      <c r="D8" s="14">
        <v>16800</v>
      </c>
      <c r="E8" s="15">
        <f>D8/SUM(D$8:D$11)</f>
        <v>0.96724048592319645</v>
      </c>
      <c r="G8" s="9" t="str" cm="1">
        <f t="array" ref="G8:G11">_xlfn.UNIQUE(B8:B11)</f>
        <v>Chloralkali Process</v>
      </c>
      <c r="H8" s="20">
        <f>SUMIF(B$8:B$11,G8,E$8:E$11)</f>
        <v>0.96724048592319645</v>
      </c>
    </row>
    <row r="9" spans="1:26">
      <c r="B9" s="9" t="s">
        <v>67</v>
      </c>
      <c r="C9" t="s">
        <v>50</v>
      </c>
      <c r="D9" s="14">
        <v>563</v>
      </c>
      <c r="E9" s="15">
        <f t="shared" ref="E9:E11" si="0">D9/SUM(D$8:D$11)</f>
        <v>3.2414071046116648E-2</v>
      </c>
      <c r="G9" s="9" t="str">
        <v>Chemical Manufacturing</v>
      </c>
      <c r="H9" s="20">
        <f>SUMIF(B$8:B$11,G9,E$8:E$11)</f>
        <v>3.2414071046116648E-2</v>
      </c>
    </row>
    <row r="10" spans="1:26">
      <c r="B10" s="9" t="s">
        <v>6</v>
      </c>
      <c r="C10" t="s">
        <v>51</v>
      </c>
      <c r="D10" s="14">
        <v>5</v>
      </c>
      <c r="E10" s="15">
        <f t="shared" si="0"/>
        <v>2.8786919223904657E-4</v>
      </c>
      <c r="G10" s="9" t="str">
        <v>Oil and Gas</v>
      </c>
      <c r="H10" s="20">
        <f>SUMIF(B$8:B$11,G10,E$8:E$11)</f>
        <v>2.8786919223904657E-4</v>
      </c>
    </row>
    <row r="11" spans="1:26">
      <c r="B11" s="10" t="s">
        <v>41</v>
      </c>
      <c r="C11" s="11" t="s">
        <v>53</v>
      </c>
      <c r="D11" s="27">
        <v>1</v>
      </c>
      <c r="E11" s="18">
        <f t="shared" si="0"/>
        <v>5.7573838447809316E-5</v>
      </c>
      <c r="G11" s="10" t="str">
        <v>Water Treatment</v>
      </c>
      <c r="H11" s="21">
        <f>SUMIF(B$8:B$11,G11,E$8:E$11)</f>
        <v>5.7573838447809316E-5</v>
      </c>
    </row>
    <row r="12" spans="1:26">
      <c r="B12" t="s">
        <v>13</v>
      </c>
      <c r="C12" t="s">
        <v>55</v>
      </c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FDC6-AF3D-1844-A621-90CCD8D6573F}">
  <dimension ref="A1:Z20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95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28</v>
      </c>
      <c r="C8" t="s">
        <v>96</v>
      </c>
      <c r="D8" s="14" t="s">
        <v>21</v>
      </c>
      <c r="E8" s="15">
        <v>0.45</v>
      </c>
      <c r="G8" s="9" t="str" cm="1">
        <f t="array" ref="G8:G13">_xlfn.UNIQUE(B8:B15)</f>
        <v>Glass Manufacturing</v>
      </c>
      <c r="H8" s="20">
        <f t="shared" ref="H8:H13" si="0">SUMIF(B$8:B$15,G8,E$8:E$15)</f>
        <v>0.45</v>
      </c>
    </row>
    <row r="9" spans="1:26">
      <c r="B9" s="9" t="s">
        <v>67</v>
      </c>
      <c r="C9" t="s">
        <v>97</v>
      </c>
      <c r="D9" s="14" t="s">
        <v>21</v>
      </c>
      <c r="E9" s="15">
        <v>0.28000000000000003</v>
      </c>
      <c r="G9" s="9" t="str">
        <v>Chemical Manufacturing</v>
      </c>
      <c r="H9" s="20">
        <f t="shared" si="0"/>
        <v>0.33</v>
      </c>
    </row>
    <row r="10" spans="1:26">
      <c r="B10" s="9" t="s">
        <v>23</v>
      </c>
      <c r="C10" t="s">
        <v>123</v>
      </c>
      <c r="D10" s="14" t="s">
        <v>21</v>
      </c>
      <c r="E10" s="15">
        <v>0.09</v>
      </c>
      <c r="G10" s="9" t="str">
        <v>Other</v>
      </c>
      <c r="H10" s="20">
        <f t="shared" si="0"/>
        <v>0.16</v>
      </c>
    </row>
    <row r="11" spans="1:26">
      <c r="B11" s="9" t="s">
        <v>23</v>
      </c>
      <c r="C11" t="s">
        <v>99</v>
      </c>
      <c r="D11" s="14" t="s">
        <v>21</v>
      </c>
      <c r="E11" s="15">
        <v>7.0000000000000007E-2</v>
      </c>
      <c r="G11" s="9" t="str">
        <v>Flue Gas Desulfurization</v>
      </c>
      <c r="H11" s="20">
        <f t="shared" si="0"/>
        <v>0.04</v>
      </c>
    </row>
    <row r="12" spans="1:26">
      <c r="B12" s="9" t="s">
        <v>67</v>
      </c>
      <c r="C12" t="s">
        <v>107</v>
      </c>
      <c r="D12" s="14" t="s">
        <v>21</v>
      </c>
      <c r="E12" s="15">
        <v>0.05</v>
      </c>
      <c r="G12" s="9" t="str">
        <v>Pulp and Paper</v>
      </c>
      <c r="H12" s="20">
        <f t="shared" si="0"/>
        <v>0.01</v>
      </c>
    </row>
    <row r="13" spans="1:26">
      <c r="B13" s="9" t="s">
        <v>27</v>
      </c>
      <c r="C13" t="s">
        <v>98</v>
      </c>
      <c r="D13" s="14" t="s">
        <v>21</v>
      </c>
      <c r="E13" s="15">
        <v>0.04</v>
      </c>
      <c r="G13" s="10" t="str">
        <v>Water Treatment</v>
      </c>
      <c r="H13" s="21">
        <f t="shared" si="0"/>
        <v>0.01</v>
      </c>
    </row>
    <row r="14" spans="1:26">
      <c r="B14" s="9" t="s">
        <v>68</v>
      </c>
      <c r="C14" t="s">
        <v>52</v>
      </c>
      <c r="D14" s="14" t="s">
        <v>21</v>
      </c>
      <c r="E14" s="15">
        <v>0.01</v>
      </c>
      <c r="H14" s="19"/>
    </row>
    <row r="15" spans="1:26">
      <c r="B15" s="10" t="s">
        <v>41</v>
      </c>
      <c r="C15" s="11" t="s">
        <v>45</v>
      </c>
      <c r="D15" s="27" t="s">
        <v>21</v>
      </c>
      <c r="E15" s="18">
        <v>0.01</v>
      </c>
      <c r="H15" s="19"/>
    </row>
    <row r="16" spans="1:26">
      <c r="B16" t="s">
        <v>13</v>
      </c>
      <c r="C16" t="s">
        <v>122</v>
      </c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7F4-3B38-B740-8F76-A1442134FF57}">
  <dimension ref="A1:Z21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100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67</v>
      </c>
      <c r="C8" t="s">
        <v>97</v>
      </c>
      <c r="D8" s="14" t="s">
        <v>21</v>
      </c>
      <c r="E8" s="15">
        <f>15/360</f>
        <v>4.1666666666666664E-2</v>
      </c>
      <c r="G8" s="9" t="str" cm="1">
        <f t="array" ref="G8:G14">_xlfn.UNIQUE(B8:B16)</f>
        <v>Chemical Manufacturing</v>
      </c>
      <c r="H8" s="20">
        <f t="shared" ref="H8:H14" si="0">SUMIF(B$8:B$16,G8,E$8:E$16)</f>
        <v>4.1666666666666664E-2</v>
      </c>
    </row>
    <row r="9" spans="1:26">
      <c r="B9" s="9" t="s">
        <v>31</v>
      </c>
      <c r="C9" t="s">
        <v>7</v>
      </c>
      <c r="D9" s="14"/>
      <c r="E9" s="15">
        <v>0.05</v>
      </c>
      <c r="G9" s="9" t="str">
        <v>Miscellaneous Agricultural</v>
      </c>
      <c r="H9" s="20">
        <f t="shared" si="0"/>
        <v>0.05</v>
      </c>
    </row>
    <row r="10" spans="1:26">
      <c r="B10" s="9" t="s">
        <v>104</v>
      </c>
      <c r="C10" t="s">
        <v>144</v>
      </c>
      <c r="D10" s="14"/>
      <c r="E10" s="15">
        <v>0.27</v>
      </c>
      <c r="G10" s="9" t="str">
        <v>Livestock</v>
      </c>
      <c r="H10" s="20">
        <f t="shared" si="0"/>
        <v>0.27</v>
      </c>
    </row>
    <row r="11" spans="1:26">
      <c r="B11" s="9" t="s">
        <v>30</v>
      </c>
      <c r="C11" t="s">
        <v>101</v>
      </c>
      <c r="D11" s="14"/>
      <c r="E11" s="15">
        <v>0.25</v>
      </c>
      <c r="G11" s="9" t="str">
        <v>Miscellaneous Industrial</v>
      </c>
      <c r="H11" s="20">
        <f t="shared" si="0"/>
        <v>0.4</v>
      </c>
    </row>
    <row r="12" spans="1:26">
      <c r="B12" s="9" t="s">
        <v>30</v>
      </c>
      <c r="C12" t="s">
        <v>102</v>
      </c>
      <c r="D12" s="14"/>
      <c r="E12" s="15">
        <v>0.08</v>
      </c>
      <c r="G12" s="9" t="str">
        <v>Water Treatment</v>
      </c>
      <c r="H12" s="20">
        <f t="shared" si="0"/>
        <v>0.03</v>
      </c>
    </row>
    <row r="13" spans="1:26">
      <c r="B13" s="9" t="s">
        <v>30</v>
      </c>
      <c r="C13" t="s">
        <v>103</v>
      </c>
      <c r="D13" s="14"/>
      <c r="E13" s="15">
        <v>7.0000000000000007E-2</v>
      </c>
      <c r="G13" s="9" t="str">
        <v>Flue Gas Desulfurization</v>
      </c>
      <c r="H13" s="20">
        <f t="shared" si="0"/>
        <v>0.09</v>
      </c>
    </row>
    <row r="14" spans="1:26">
      <c r="B14" s="9" t="s">
        <v>41</v>
      </c>
      <c r="C14" t="s">
        <v>45</v>
      </c>
      <c r="D14" s="14"/>
      <c r="E14" s="15">
        <v>0.03</v>
      </c>
      <c r="G14" s="10" t="str">
        <v>Other</v>
      </c>
      <c r="H14" s="21">
        <f t="shared" si="0"/>
        <v>0.12</v>
      </c>
    </row>
    <row r="15" spans="1:26">
      <c r="B15" s="9" t="s">
        <v>27</v>
      </c>
      <c r="C15" t="s">
        <v>98</v>
      </c>
      <c r="D15" s="14"/>
      <c r="E15" s="15">
        <v>0.09</v>
      </c>
      <c r="H15" s="19"/>
    </row>
    <row r="16" spans="1:26">
      <c r="B16" s="10" t="s">
        <v>23</v>
      </c>
      <c r="C16" s="11" t="s">
        <v>66</v>
      </c>
      <c r="D16" s="28"/>
      <c r="E16" s="18">
        <v>0.12</v>
      </c>
      <c r="H16" s="19"/>
    </row>
    <row r="17" spans="2:10">
      <c r="B17" t="s">
        <v>13</v>
      </c>
      <c r="C17" t="s">
        <v>105</v>
      </c>
      <c r="H17" s="19"/>
    </row>
    <row r="18" spans="2:10">
      <c r="H18" s="19"/>
    </row>
    <row r="19" spans="2:10">
      <c r="H19" s="19"/>
    </row>
    <row r="20" spans="2:10">
      <c r="H20" s="19"/>
    </row>
    <row r="21" spans="2:10">
      <c r="H21" s="19"/>
      <c r="J2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68EA-D49A-5B41-A979-2984E431F1C5}">
  <dimension ref="A1:Z21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106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67</v>
      </c>
      <c r="C8" t="s">
        <v>107</v>
      </c>
      <c r="D8" s="14" t="s">
        <v>21</v>
      </c>
      <c r="E8" s="15">
        <v>0.35</v>
      </c>
      <c r="G8" s="9" t="str" cm="1">
        <f t="array" ref="G8:G12">_xlfn.UNIQUE(B8:B13)</f>
        <v>Chemical Manufacturing</v>
      </c>
      <c r="H8" s="20">
        <f>SUMIF(B$8:B$13,G8,E$8:E$13)</f>
        <v>0.35</v>
      </c>
    </row>
    <row r="9" spans="1:26">
      <c r="B9" s="9" t="s">
        <v>28</v>
      </c>
      <c r="C9" t="s">
        <v>96</v>
      </c>
      <c r="D9" s="14" t="s">
        <v>21</v>
      </c>
      <c r="E9" s="15">
        <v>0.18</v>
      </c>
      <c r="G9" s="9" t="str">
        <v>Glass Manufacturing</v>
      </c>
      <c r="H9" s="20">
        <f>SUMIF(B$8:B$13,G9,E$8:E$13)</f>
        <v>0.18</v>
      </c>
    </row>
    <row r="10" spans="1:26">
      <c r="B10" s="9" t="s">
        <v>68</v>
      </c>
      <c r="C10" t="s">
        <v>52</v>
      </c>
      <c r="D10" s="14" t="s">
        <v>21</v>
      </c>
      <c r="E10" s="15">
        <v>0.15</v>
      </c>
      <c r="G10" s="9" t="str">
        <v>Pulp and Paper</v>
      </c>
      <c r="H10" s="20">
        <f>SUMIF(B$8:B$13,G10,E$8:E$13)</f>
        <v>0.15</v>
      </c>
    </row>
    <row r="11" spans="1:26">
      <c r="B11" s="9" t="s">
        <v>30</v>
      </c>
      <c r="C11" t="s">
        <v>108</v>
      </c>
      <c r="D11" s="14" t="s">
        <v>21</v>
      </c>
      <c r="E11" s="15">
        <v>0.04</v>
      </c>
      <c r="G11" s="10" t="str">
        <v>Miscellaneous Industrial</v>
      </c>
      <c r="H11" s="21">
        <f>SUMIF(B$8:B$13,G11,E$8:E$13)</f>
        <v>0.08</v>
      </c>
    </row>
    <row r="12" spans="1:26">
      <c r="B12" s="9" t="s">
        <v>30</v>
      </c>
      <c r="C12" t="s">
        <v>109</v>
      </c>
      <c r="D12" s="14" t="s">
        <v>21</v>
      </c>
      <c r="E12" s="15">
        <v>0.04</v>
      </c>
      <c r="G12" t="str">
        <v>Other</v>
      </c>
      <c r="H12" s="19"/>
    </row>
    <row r="13" spans="1:26">
      <c r="B13" s="10" t="s">
        <v>23</v>
      </c>
      <c r="C13" s="11" t="s">
        <v>4</v>
      </c>
      <c r="D13" s="27" t="s">
        <v>21</v>
      </c>
      <c r="E13" s="18">
        <v>0.24</v>
      </c>
      <c r="H13" s="19"/>
    </row>
    <row r="14" spans="1:26">
      <c r="B14" t="s">
        <v>13</v>
      </c>
      <c r="C14" t="s">
        <v>110</v>
      </c>
      <c r="H14" s="19"/>
    </row>
    <row r="15" spans="1:26"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  <row r="21" spans="8:8">
      <c r="H21" s="1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765E-140C-9143-B7EC-4F1B16A2BAC2}">
  <dimension ref="A1:Z19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77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67</v>
      </c>
      <c r="C8" t="s">
        <v>58</v>
      </c>
      <c r="D8" s="14" t="s">
        <v>21</v>
      </c>
      <c r="E8" s="15">
        <v>0.13</v>
      </c>
      <c r="G8" s="9" t="str" cm="1">
        <f t="array" ref="G8:G12">_xlfn.UNIQUE(B8:B18)</f>
        <v>Chemical Manufacturing</v>
      </c>
      <c r="H8" s="20">
        <f>SUMIF(B$8:B$18,G8,E$8:E$18)</f>
        <v>0.58000000000000007</v>
      </c>
    </row>
    <row r="9" spans="1:26">
      <c r="B9" s="9" t="s">
        <v>67</v>
      </c>
      <c r="C9" t="s">
        <v>57</v>
      </c>
      <c r="D9" s="14" t="s">
        <v>21</v>
      </c>
      <c r="E9" s="15">
        <v>0.22</v>
      </c>
      <c r="G9" s="9" t="str">
        <v>Pulp and Paper</v>
      </c>
      <c r="H9" s="20">
        <f>SUMIF(B$8:B$18,G9,E$8:E$18)</f>
        <v>0.24</v>
      </c>
    </row>
    <row r="10" spans="1:26">
      <c r="B10" s="9" t="s">
        <v>68</v>
      </c>
      <c r="C10" t="s">
        <v>52</v>
      </c>
      <c r="D10" s="14" t="s">
        <v>21</v>
      </c>
      <c r="E10" s="15">
        <v>0.24</v>
      </c>
      <c r="G10" s="9" t="str">
        <v>Water Treatment</v>
      </c>
      <c r="H10" s="20">
        <f>SUMIF(B$8:B$18,G10,E$8:E$18)</f>
        <v>0.03</v>
      </c>
    </row>
    <row r="11" spans="1:26">
      <c r="B11" s="9" t="s">
        <v>67</v>
      </c>
      <c r="C11" t="s">
        <v>59</v>
      </c>
      <c r="D11" s="14" t="s">
        <v>21</v>
      </c>
      <c r="E11" s="15">
        <v>0.02</v>
      </c>
      <c r="G11" s="9" t="str">
        <v>Miscellaneous Industrial</v>
      </c>
      <c r="H11" s="20">
        <f>SUMIF(B$8:B$18,G11,E$8:E$18)</f>
        <v>0.03</v>
      </c>
    </row>
    <row r="12" spans="1:26">
      <c r="B12" s="9" t="s">
        <v>67</v>
      </c>
      <c r="C12" t="s">
        <v>60</v>
      </c>
      <c r="D12" s="14" t="s">
        <v>21</v>
      </c>
      <c r="E12" s="15">
        <v>0.02</v>
      </c>
      <c r="G12" s="10" t="str">
        <v>Other</v>
      </c>
      <c r="H12" s="21">
        <f>SUMIF(B$8:B$18,G12,E$8:E$18)</f>
        <v>0.12</v>
      </c>
    </row>
    <row r="13" spans="1:26">
      <c r="B13" s="9" t="s">
        <v>41</v>
      </c>
      <c r="C13" t="s">
        <v>61</v>
      </c>
      <c r="D13" s="14" t="s">
        <v>21</v>
      </c>
      <c r="E13" s="15">
        <v>0.03</v>
      </c>
      <c r="H13" s="19"/>
    </row>
    <row r="14" spans="1:26">
      <c r="B14" s="9" t="s">
        <v>30</v>
      </c>
      <c r="C14" t="s">
        <v>62</v>
      </c>
      <c r="D14" s="14" t="s">
        <v>21</v>
      </c>
      <c r="E14" s="15">
        <v>0.03</v>
      </c>
      <c r="H14" s="19"/>
    </row>
    <row r="15" spans="1:26">
      <c r="B15" s="9" t="s">
        <v>67</v>
      </c>
      <c r="C15" t="s">
        <v>63</v>
      </c>
      <c r="D15" s="14" t="s">
        <v>21</v>
      </c>
      <c r="E15" s="15">
        <v>0.03</v>
      </c>
      <c r="H15" s="19"/>
    </row>
    <row r="16" spans="1:26">
      <c r="B16" s="9" t="s">
        <v>67</v>
      </c>
      <c r="C16" t="s">
        <v>64</v>
      </c>
      <c r="D16" s="14" t="s">
        <v>21</v>
      </c>
      <c r="E16" s="15">
        <v>7.0000000000000007E-2</v>
      </c>
      <c r="H16" s="19"/>
    </row>
    <row r="17" spans="2:8">
      <c r="B17" s="9" t="s">
        <v>67</v>
      </c>
      <c r="C17" t="s">
        <v>65</v>
      </c>
      <c r="D17" s="14" t="s">
        <v>21</v>
      </c>
      <c r="E17" s="15">
        <v>0.09</v>
      </c>
      <c r="H17" s="19"/>
    </row>
    <row r="18" spans="2:8">
      <c r="B18" s="10" t="s">
        <v>23</v>
      </c>
      <c r="C18" s="11" t="s">
        <v>66</v>
      </c>
      <c r="D18" s="28" t="s">
        <v>21</v>
      </c>
      <c r="E18" s="18">
        <v>0.12</v>
      </c>
      <c r="H18" s="19"/>
    </row>
    <row r="19" spans="2:8">
      <c r="B19" t="s">
        <v>13</v>
      </c>
      <c r="C19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2704-2C59-FB4D-83BB-99202ABBB89A}">
  <dimension ref="A1:Z17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138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</v>
      </c>
      <c r="C8" t="s">
        <v>129</v>
      </c>
      <c r="D8" s="14" t="s">
        <v>21</v>
      </c>
      <c r="E8" s="15">
        <v>0.65</v>
      </c>
      <c r="G8" s="9" t="str" cm="1">
        <f t="array" ref="G8:G10">_xlfn.UNIQUE(B8:B11)</f>
        <v>Oil and Gas</v>
      </c>
      <c r="H8" s="20">
        <f>SUMIF(B$8:B$11,G8,E$8:E$11)</f>
        <v>0.65</v>
      </c>
    </row>
    <row r="9" spans="1:26">
      <c r="B9" s="9" t="s">
        <v>30</v>
      </c>
      <c r="C9" t="s">
        <v>140</v>
      </c>
      <c r="D9" s="14" t="s">
        <v>21</v>
      </c>
      <c r="E9" s="15">
        <v>0.14000000000000001</v>
      </c>
      <c r="G9" s="9" t="str">
        <v>Miscellaneous Industrial</v>
      </c>
      <c r="H9" s="20">
        <f>SUMIF(B$8:B$11,G9,E$8:E$11)</f>
        <v>0.28000000000000003</v>
      </c>
    </row>
    <row r="10" spans="1:26">
      <c r="B10" s="9" t="s">
        <v>30</v>
      </c>
      <c r="C10" t="s">
        <v>141</v>
      </c>
      <c r="D10" s="14" t="s">
        <v>21</v>
      </c>
      <c r="E10" s="15">
        <v>0.14000000000000001</v>
      </c>
      <c r="G10" s="10" t="str">
        <v>Other</v>
      </c>
      <c r="H10" s="21">
        <f>SUMIF(B$8:B$11,G10,E$8:E$11)</f>
        <v>7.0000000000000007E-2</v>
      </c>
    </row>
    <row r="11" spans="1:26">
      <c r="B11" s="10" t="s">
        <v>23</v>
      </c>
      <c r="C11" s="11" t="s">
        <v>23</v>
      </c>
      <c r="D11" s="27" t="s">
        <v>21</v>
      </c>
      <c r="E11" s="18">
        <v>7.0000000000000007E-2</v>
      </c>
      <c r="H11" s="19"/>
    </row>
    <row r="12" spans="1:26">
      <c r="B12" t="s">
        <v>13</v>
      </c>
      <c r="C12" t="s">
        <v>139</v>
      </c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35C7-C6C1-8B42-A7FF-81252BDCB05A}">
  <dimension ref="A1:Z17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124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28</v>
      </c>
      <c r="C8" t="s">
        <v>125</v>
      </c>
      <c r="D8" s="14" t="s">
        <v>21</v>
      </c>
      <c r="E8" s="15">
        <v>0.5</v>
      </c>
      <c r="G8" s="9" t="str" cm="1">
        <f t="array" ref="G8:G9">_xlfn.UNIQUE(B8:B9)</f>
        <v>Glass Manufacturing</v>
      </c>
      <c r="H8" s="20">
        <f>SUMIF(B$8:B$9,G8,E$8:E$9)</f>
        <v>0.5</v>
      </c>
    </row>
    <row r="9" spans="1:26">
      <c r="B9" s="10" t="s">
        <v>23</v>
      </c>
      <c r="C9" s="11" t="s">
        <v>23</v>
      </c>
      <c r="D9" s="27" t="s">
        <v>21</v>
      </c>
      <c r="E9" s="18">
        <v>0.5</v>
      </c>
      <c r="G9" s="10" t="str">
        <v>Other</v>
      </c>
      <c r="H9" s="21">
        <f>SUMIF(B$8:B$9,G9,E$8:E$9)</f>
        <v>0.5</v>
      </c>
    </row>
    <row r="10" spans="1:26">
      <c r="B10" t="s">
        <v>13</v>
      </c>
      <c r="C10" t="s">
        <v>126</v>
      </c>
      <c r="H10" s="19"/>
    </row>
    <row r="11" spans="1:26">
      <c r="H11" s="19"/>
    </row>
    <row r="12" spans="1:26"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6913-932D-D443-BC0A-548CD75C2605}">
  <dimension ref="A1:Z19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69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</v>
      </c>
      <c r="C8" t="s">
        <v>70</v>
      </c>
      <c r="D8" s="14" t="s">
        <v>71</v>
      </c>
      <c r="E8" s="15">
        <v>0.3</v>
      </c>
      <c r="G8" s="9" t="str" cm="1">
        <f t="array" ref="G8:G11">_xlfn.UNIQUE(B8:B11)</f>
        <v>Oil and Gas</v>
      </c>
      <c r="H8" s="20">
        <f>SUMIF(B$8:B$11,G8,E$8:E$11)</f>
        <v>0.3</v>
      </c>
    </row>
    <row r="9" spans="1:26">
      <c r="B9" s="9" t="s">
        <v>75</v>
      </c>
      <c r="C9" t="s">
        <v>72</v>
      </c>
      <c r="D9" s="14" t="s">
        <v>71</v>
      </c>
      <c r="E9" s="15">
        <v>0.19</v>
      </c>
      <c r="G9" s="9" t="str">
        <v>Steel Pickling</v>
      </c>
      <c r="H9" s="20">
        <f>SUMIF(B$8:B$11,G9,E$8:E$11)</f>
        <v>0.19</v>
      </c>
    </row>
    <row r="10" spans="1:26">
      <c r="B10" s="9" t="s">
        <v>30</v>
      </c>
      <c r="C10" t="s">
        <v>73</v>
      </c>
      <c r="D10" s="14" t="s">
        <v>21</v>
      </c>
      <c r="E10" s="15">
        <v>0.19</v>
      </c>
      <c r="G10" s="9" t="str">
        <v>Miscellaneous Industrial</v>
      </c>
      <c r="H10" s="20">
        <f>SUMIF(B$8:B$11,G10,E$8:E$11)</f>
        <v>0.19</v>
      </c>
    </row>
    <row r="11" spans="1:26">
      <c r="B11" s="10" t="s">
        <v>23</v>
      </c>
      <c r="C11" s="11" t="s">
        <v>23</v>
      </c>
      <c r="D11" s="27" t="s">
        <v>21</v>
      </c>
      <c r="E11" s="18">
        <v>0.32</v>
      </c>
      <c r="G11" s="10" t="str">
        <v>Other</v>
      </c>
      <c r="H11" s="21">
        <f>SUMIF(B$8:B$11,G11,E$8:E$11)</f>
        <v>0.32</v>
      </c>
    </row>
    <row r="12" spans="1:26">
      <c r="B12" t="s">
        <v>13</v>
      </c>
      <c r="C12" t="s">
        <v>74</v>
      </c>
      <c r="H12" s="19"/>
    </row>
    <row r="13" spans="1:26">
      <c r="H13" s="19"/>
    </row>
    <row r="14" spans="1:26">
      <c r="H14" s="19"/>
    </row>
    <row r="15" spans="1:26"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AB94-D8BD-5E4D-867B-61CFCA76B2F0}">
  <dimension ref="A1:Z21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127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30</v>
      </c>
      <c r="C8" t="s">
        <v>128</v>
      </c>
      <c r="D8" s="14">
        <v>483000</v>
      </c>
      <c r="E8" s="15">
        <f>D8/SUM(D$8:D$13)</f>
        <v>0.56000000000000005</v>
      </c>
      <c r="G8" s="9" t="str" cm="1">
        <f t="array" ref="G8:G12">_xlfn.UNIQUE(B8:B13)</f>
        <v>Miscellaneous Industrial</v>
      </c>
      <c r="H8" s="20">
        <f t="shared" ref="H8:H13" si="0">SUMIF(B$8:B$13,G8,E$8:E$13)</f>
        <v>0.64997101449275363</v>
      </c>
    </row>
    <row r="9" spans="1:26">
      <c r="B9" s="9" t="s">
        <v>6</v>
      </c>
      <c r="C9" t="s">
        <v>129</v>
      </c>
      <c r="D9" s="14">
        <v>103500</v>
      </c>
      <c r="E9" s="15">
        <f t="shared" ref="E9:E13" si="1">D9/SUM(D$8:D$13)</f>
        <v>0.12</v>
      </c>
      <c r="G9" s="9" t="str">
        <v>Oil and Gas</v>
      </c>
      <c r="H9" s="20">
        <f t="shared" si="0"/>
        <v>0.12</v>
      </c>
    </row>
    <row r="10" spans="1:26">
      <c r="B10" s="9" t="s">
        <v>67</v>
      </c>
      <c r="C10" t="s">
        <v>130</v>
      </c>
      <c r="D10" s="14">
        <v>86300</v>
      </c>
      <c r="E10" s="15">
        <f t="shared" si="1"/>
        <v>0.10005797101449275</v>
      </c>
      <c r="G10" s="9" t="str">
        <v>Chemical Manufacturing</v>
      </c>
      <c r="H10" s="20">
        <f t="shared" si="0"/>
        <v>0.10005797101449275</v>
      </c>
    </row>
    <row r="11" spans="1:26">
      <c r="B11" s="9" t="s">
        <v>30</v>
      </c>
      <c r="C11" t="s">
        <v>102</v>
      </c>
      <c r="D11" s="14">
        <v>77600</v>
      </c>
      <c r="E11" s="15">
        <f t="shared" si="1"/>
        <v>8.9971014492753618E-2</v>
      </c>
      <c r="G11" s="9" t="str">
        <v>Water Treatment</v>
      </c>
      <c r="H11" s="20">
        <f t="shared" si="0"/>
        <v>0.08</v>
      </c>
    </row>
    <row r="12" spans="1:26">
      <c r="B12" s="9" t="s">
        <v>41</v>
      </c>
      <c r="C12" t="s">
        <v>45</v>
      </c>
      <c r="D12" s="14">
        <v>69000</v>
      </c>
      <c r="E12" s="15">
        <f t="shared" si="1"/>
        <v>0.08</v>
      </c>
      <c r="G12" s="9" t="str">
        <v>Miscellaneous Agricultural</v>
      </c>
      <c r="H12" s="20">
        <f t="shared" si="0"/>
        <v>4.9971014492753624E-2</v>
      </c>
    </row>
    <row r="13" spans="1:26">
      <c r="B13" s="10" t="s">
        <v>31</v>
      </c>
      <c r="C13" s="11" t="s">
        <v>7</v>
      </c>
      <c r="D13" s="27">
        <v>43100</v>
      </c>
      <c r="E13" s="18">
        <f t="shared" si="1"/>
        <v>4.9971014492753624E-2</v>
      </c>
      <c r="G13" s="10"/>
      <c r="H13" s="21">
        <f t="shared" si="0"/>
        <v>0</v>
      </c>
    </row>
    <row r="14" spans="1:26">
      <c r="B14" t="s">
        <v>13</v>
      </c>
      <c r="C14" t="s">
        <v>131</v>
      </c>
      <c r="H14" s="19"/>
    </row>
    <row r="15" spans="1:26">
      <c r="H15" s="19"/>
    </row>
    <row r="16" spans="1:26">
      <c r="H16" s="19"/>
    </row>
    <row r="17" spans="8:8">
      <c r="H17" s="19"/>
    </row>
    <row r="18" spans="8:8">
      <c r="H18" s="19"/>
    </row>
    <row r="19" spans="8:8">
      <c r="H19" s="19"/>
    </row>
    <row r="20" spans="8:8">
      <c r="H20" s="19"/>
    </row>
    <row r="21" spans="8:8">
      <c r="H21" s="1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052C-2705-9541-811D-93369B49FBBF}">
  <dimension ref="A1:Z24"/>
  <sheetViews>
    <sheetView topLeftCell="S1" workbookViewId="0">
      <selection activeCell="AA1" sqref="AA1:XFD1"/>
    </sheetView>
  </sheetViews>
  <sheetFormatPr baseColWidth="10" defaultColWidth="15.83203125" defaultRowHeight="16"/>
  <cols>
    <col min="1" max="1" width="3.5" customWidth="1"/>
    <col min="2" max="2" width="30.83203125" customWidth="1"/>
    <col min="3" max="3" width="37.1640625" customWidth="1"/>
    <col min="7" max="7" width="30.83203125" customWidth="1"/>
  </cols>
  <sheetData>
    <row r="1" spans="1:26" s="4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27">
      <c r="B2" s="4" t="s">
        <v>151</v>
      </c>
      <c r="D2" s="5" t="s">
        <v>142</v>
      </c>
      <c r="H2" s="4"/>
      <c r="J2" s="4"/>
    </row>
    <row r="4" spans="1:26" ht="22">
      <c r="B4" s="3" t="s">
        <v>12</v>
      </c>
      <c r="G4" s="3"/>
    </row>
    <row r="5" spans="1:26" ht="16" customHeight="1">
      <c r="B5" s="3"/>
      <c r="G5" s="3"/>
    </row>
    <row r="6" spans="1:26" ht="19">
      <c r="B6" s="2" t="s">
        <v>29</v>
      </c>
      <c r="G6" s="2" t="s">
        <v>32</v>
      </c>
    </row>
    <row r="7" spans="1:26">
      <c r="B7" s="6" t="s">
        <v>15</v>
      </c>
      <c r="C7" s="7" t="s">
        <v>14</v>
      </c>
      <c r="D7" s="7" t="s">
        <v>25</v>
      </c>
      <c r="E7" s="8" t="s">
        <v>0</v>
      </c>
      <c r="G7" s="6" t="s">
        <v>15</v>
      </c>
      <c r="H7" s="8" t="s">
        <v>0</v>
      </c>
    </row>
    <row r="8" spans="1:26">
      <c r="B8" s="9" t="s">
        <v>67</v>
      </c>
      <c r="C8" t="s">
        <v>132</v>
      </c>
      <c r="D8" s="14" t="s">
        <v>21</v>
      </c>
      <c r="E8" s="15">
        <v>0.16666666666666666</v>
      </c>
      <c r="G8" s="9" t="str" cm="1">
        <f t="array" ref="G8:G9">_xlfn.UNIQUE(B8:B13)</f>
        <v>Chemical Manufacturing</v>
      </c>
      <c r="H8" s="20">
        <f>SUMIF(B$8:B$13,G8,E$8:E$13)</f>
        <v>0.66111111111111109</v>
      </c>
    </row>
    <row r="9" spans="1:26">
      <c r="B9" s="9" t="s">
        <v>67</v>
      </c>
      <c r="C9" t="s">
        <v>133</v>
      </c>
      <c r="D9" s="14" t="s">
        <v>21</v>
      </c>
      <c r="E9" s="15">
        <v>0.15277777777777779</v>
      </c>
      <c r="G9" s="9" t="str">
        <v>Other</v>
      </c>
      <c r="H9" s="20">
        <f>SUMIF(B$8:B$13,G9,E$8:E$13)</f>
        <v>0.33888888888888891</v>
      </c>
    </row>
    <row r="10" spans="1:26">
      <c r="B10" s="9" t="s">
        <v>67</v>
      </c>
      <c r="C10" t="s">
        <v>134</v>
      </c>
      <c r="D10" s="14" t="s">
        <v>21</v>
      </c>
      <c r="E10" s="15">
        <v>0.12777777777777777</v>
      </c>
      <c r="G10" s="10"/>
      <c r="H10" s="21">
        <f>SUMIF(B$8:B$13,G10,E$8:E$13)</f>
        <v>0</v>
      </c>
    </row>
    <row r="11" spans="1:26">
      <c r="B11" s="9" t="s">
        <v>67</v>
      </c>
      <c r="C11" t="s">
        <v>135</v>
      </c>
      <c r="D11" s="14" t="s">
        <v>21</v>
      </c>
      <c r="E11" s="15">
        <v>0.11666666666666667</v>
      </c>
      <c r="H11" s="19"/>
    </row>
    <row r="12" spans="1:26">
      <c r="B12" s="9" t="s">
        <v>67</v>
      </c>
      <c r="C12" t="s">
        <v>136</v>
      </c>
      <c r="D12" s="14" t="s">
        <v>21</v>
      </c>
      <c r="E12" s="15">
        <v>9.7222222222222224E-2</v>
      </c>
      <c r="H12" s="19"/>
    </row>
    <row r="13" spans="1:26">
      <c r="B13" s="10" t="s">
        <v>23</v>
      </c>
      <c r="C13" s="11" t="s">
        <v>23</v>
      </c>
      <c r="D13" s="27" t="s">
        <v>21</v>
      </c>
      <c r="E13" s="18">
        <v>0.33888888888888891</v>
      </c>
      <c r="H13" s="19"/>
    </row>
    <row r="14" spans="1:26">
      <c r="B14" t="s">
        <v>13</v>
      </c>
      <c r="C14" t="s">
        <v>137</v>
      </c>
      <c r="H14" s="19"/>
    </row>
    <row r="15" spans="1:26">
      <c r="H15" s="30"/>
    </row>
    <row r="16" spans="1:26">
      <c r="H16" s="30"/>
    </row>
    <row r="17" spans="8:9">
      <c r="H17" s="30"/>
    </row>
    <row r="18" spans="8:9">
      <c r="H18" s="30"/>
    </row>
    <row r="19" spans="8:9">
      <c r="I19" s="31"/>
    </row>
    <row r="20" spans="8:9">
      <c r="I20" s="31"/>
    </row>
    <row r="21" spans="8:9">
      <c r="I21" s="31"/>
    </row>
    <row r="22" spans="8:9">
      <c r="I22" s="31"/>
    </row>
    <row r="23" spans="8:9">
      <c r="I23" s="31"/>
    </row>
    <row r="24" spans="8:9">
      <c r="I24" s="3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4C38-371C-7E47-8407-33DC0000DD2D}">
  <dimension ref="A1:C442"/>
  <sheetViews>
    <sheetView topLeftCell="A195" workbookViewId="0">
      <selection activeCell="F18" sqref="F18"/>
    </sheetView>
  </sheetViews>
  <sheetFormatPr baseColWidth="10" defaultRowHeight="16"/>
  <cols>
    <col min="2" max="2" width="32.83203125" customWidth="1"/>
    <col min="3" max="3" width="10.83203125" style="43"/>
  </cols>
  <sheetData>
    <row r="1" spans="1:3">
      <c r="A1" t="s">
        <v>148</v>
      </c>
      <c r="B1" t="s">
        <v>149</v>
      </c>
      <c r="C1" s="43" t="s">
        <v>178</v>
      </c>
    </row>
    <row r="2" spans="1:3">
      <c r="A2" t="str" cm="1">
        <f t="array" ref="A2">INDEX('Table of Contents'!$B$5:$B$25, INT((ROW()-2)/COUNTA('Category Map'!$B$5:$B$25))+1)</f>
        <v>BaSO4</v>
      </c>
      <c r="B2" t="str" cm="1">
        <f t="array" ref="B2">INDEX('Category Map'!$B$5:$B$25, MOD(ROW()-2, COUNTA('Category Map'!$B$5:$B$25))+1)</f>
        <v>Battery Manufacturing</v>
      </c>
      <c r="C2" s="43" cm="1">
        <f t="array" aca="1" ref="C2" ca="1">_xlfn.XLOOKUP(B2,INDIRECT("'" &amp; A2 &amp; "'!G:G"),INDIRECT("'" &amp; A2 &amp; "'!H:H"),0,0,1)</f>
        <v>0</v>
      </c>
    </row>
    <row r="3" spans="1:3">
      <c r="A3" t="str" cm="1">
        <f t="array" ref="A3">INDEX('Table of Contents'!$B$5:$B$25, INT((ROW()-2)/COUNTA('Category Map'!$B$5:$B$25))+1)</f>
        <v>BaSO4</v>
      </c>
      <c r="B3" t="str" cm="1">
        <f t="array" ref="B3">INDEX('Category Map'!$B$5:$B$25, MOD(ROW()-2, COUNTA('Category Map'!$B$5:$B$25))+1)</f>
        <v>Cement Manufacturing</v>
      </c>
      <c r="C3" s="43" cm="1">
        <f t="array" aca="1" ref="C3" ca="1">_xlfn.XLOOKUP(B3,INDIRECT("'" &amp; A3 &amp; "'!G:G"),INDIRECT("'" &amp; A3 &amp; "'!H:H"),0,0,1)</f>
        <v>0</v>
      </c>
    </row>
    <row r="4" spans="1:3">
      <c r="A4" t="str" cm="1">
        <f t="array" ref="A4">INDEX('Table of Contents'!$B$5:$B$25, INT((ROW()-2)/COUNTA('Category Map'!$B$5:$B$25))+1)</f>
        <v>BaSO4</v>
      </c>
      <c r="B4" t="str" cm="1">
        <f t="array" ref="B4">INDEX('Category Map'!$B$5:$B$25, MOD(ROW()-2, COUNTA('Category Map'!$B$5:$B$25))+1)</f>
        <v>Chemical Manufacturing</v>
      </c>
      <c r="C4" s="43" cm="1">
        <f t="array" aca="1" ref="C4" ca="1">_xlfn.XLOOKUP(B4,INDIRECT("'" &amp; A4 &amp; "'!G:G"),INDIRECT("'" &amp; A4 &amp; "'!H:H"),0,0,1)</f>
        <v>0</v>
      </c>
    </row>
    <row r="5" spans="1:3">
      <c r="A5" t="str" cm="1">
        <f t="array" ref="A5">INDEX('Table of Contents'!$B$5:$B$25, INT((ROW()-2)/COUNTA('Category Map'!$B$5:$B$25))+1)</f>
        <v>BaSO4</v>
      </c>
      <c r="B5" t="str" cm="1">
        <f t="array" ref="B5">INDEX('Category Map'!$B$5:$B$25, MOD(ROW()-2, COUNTA('Category Map'!$B$5:$B$25))+1)</f>
        <v>Chloralkali Process</v>
      </c>
      <c r="C5" s="43" cm="1">
        <f t="array" aca="1" ref="C5" ca="1">_xlfn.XLOOKUP(B5,INDIRECT("'" &amp; A5 &amp; "'!G:G"),INDIRECT("'" &amp; A5 &amp; "'!H:H"),0,0,1)</f>
        <v>0</v>
      </c>
    </row>
    <row r="6" spans="1:3">
      <c r="A6" t="str" cm="1">
        <f t="array" ref="A6">INDEX('Table of Contents'!$B$5:$B$25, INT((ROW()-2)/COUNTA('Category Map'!$B$5:$B$25))+1)</f>
        <v>BaSO4</v>
      </c>
      <c r="B6" t="str" cm="1">
        <f t="array" ref="B6">INDEX('Category Map'!$B$5:$B$25, MOD(ROW()-2, COUNTA('Category Map'!$B$5:$B$25))+1)</f>
        <v>Concrete</v>
      </c>
      <c r="C6" s="43" cm="1">
        <f t="array" aca="1" ref="C6" ca="1">_xlfn.XLOOKUP(B6,INDIRECT("'" &amp; A6 &amp; "'!G:G"),INDIRECT("'" &amp; A6 &amp; "'!H:H"),0,0,1)</f>
        <v>0</v>
      </c>
    </row>
    <row r="7" spans="1:3">
      <c r="A7" t="str" cm="1">
        <f t="array" ref="A7">INDEX('Table of Contents'!$B$5:$B$25, INT((ROW()-2)/COUNTA('Category Map'!$B$5:$B$25))+1)</f>
        <v>BaSO4</v>
      </c>
      <c r="B7" t="str" cm="1">
        <f t="array" ref="B7">INDEX('Category Map'!$B$5:$B$25, MOD(ROW()-2, COUNTA('Category Map'!$B$5:$B$25))+1)</f>
        <v>Construction Aggregate</v>
      </c>
      <c r="C7" s="43" cm="1">
        <f t="array" aca="1" ref="C7" ca="1">_xlfn.XLOOKUP(B7,INDIRECT("'" &amp; A7 &amp; "'!G:G"),INDIRECT("'" &amp; A7 &amp; "'!H:H"),0,0,1)</f>
        <v>0</v>
      </c>
    </row>
    <row r="8" spans="1:3">
      <c r="A8" t="str" cm="1">
        <f t="array" ref="A8">INDEX('Table of Contents'!$B$5:$B$25, INT((ROW()-2)/COUNTA('Category Map'!$B$5:$B$25))+1)</f>
        <v>BaSO4</v>
      </c>
      <c r="B8" t="str" cm="1">
        <f t="array" ref="B8">INDEX('Category Map'!$B$5:$B$25, MOD(ROW()-2, COUNTA('Category Map'!$B$5:$B$25))+1)</f>
        <v>Deicing</v>
      </c>
      <c r="C8" s="43" cm="1">
        <f t="array" aca="1" ref="C8" ca="1">_xlfn.XLOOKUP(B8,INDIRECT("'" &amp; A8 &amp; "'!G:G"),INDIRECT("'" &amp; A8 &amp; "'!H:H"),0,0,1)</f>
        <v>0</v>
      </c>
    </row>
    <row r="9" spans="1:3">
      <c r="A9" t="str" cm="1">
        <f t="array" ref="A9">INDEX('Table of Contents'!$B$5:$B$25, INT((ROW()-2)/COUNTA('Category Map'!$B$5:$B$25))+1)</f>
        <v>BaSO4</v>
      </c>
      <c r="B9" t="str" cm="1">
        <f t="array" ref="B9">INDEX('Category Map'!$B$5:$B$25, MOD(ROW()-2, COUNTA('Category Map'!$B$5:$B$25))+1)</f>
        <v>Dust Control</v>
      </c>
      <c r="C9" s="43" cm="1">
        <f t="array" aca="1" ref="C9" ca="1">_xlfn.XLOOKUP(B9,INDIRECT("'" &amp; A9 &amp; "'!G:G"),INDIRECT("'" &amp; A9 &amp; "'!H:H"),0,0,1)</f>
        <v>0</v>
      </c>
    </row>
    <row r="10" spans="1:3">
      <c r="A10" t="str" cm="1">
        <f t="array" ref="A10">INDEX('Table of Contents'!$B$5:$B$25, INT((ROW()-2)/COUNTA('Category Map'!$B$5:$B$25))+1)</f>
        <v>BaSO4</v>
      </c>
      <c r="B10" t="str" cm="1">
        <f t="array" ref="B10">INDEX('Category Map'!$B$5:$B$25, MOD(ROW()-2, COUNTA('Category Map'!$B$5:$B$25))+1)</f>
        <v>Fertilizer Manufacturing</v>
      </c>
      <c r="C10" s="43" cm="1">
        <f t="array" aca="1" ref="C10" ca="1">_xlfn.XLOOKUP(B10,INDIRECT("'" &amp; A10 &amp; "'!G:G"),INDIRECT("'" &amp; A10 &amp; "'!H:H"),0,0,1)</f>
        <v>0</v>
      </c>
    </row>
    <row r="11" spans="1:3">
      <c r="A11" t="str" cm="1">
        <f t="array" ref="A11">INDEX('Table of Contents'!$B$5:$B$25, INT((ROW()-2)/COUNTA('Category Map'!$B$5:$B$25))+1)</f>
        <v>BaSO4</v>
      </c>
      <c r="B11" t="str" cm="1">
        <f t="array" ref="B11">INDEX('Category Map'!$B$5:$B$25, MOD(ROW()-2, COUNTA('Category Map'!$B$5:$B$25))+1)</f>
        <v>Flue Gas Desulfurization</v>
      </c>
      <c r="C11" s="43" cm="1">
        <f t="array" aca="1" ref="C11" ca="1">_xlfn.XLOOKUP(B11,INDIRECT("'" &amp; A11 &amp; "'!G:G"),INDIRECT("'" &amp; A11 &amp; "'!H:H"),0,0,1)</f>
        <v>0</v>
      </c>
    </row>
    <row r="12" spans="1:3">
      <c r="A12" t="str" cm="1">
        <f t="array" ref="A12">INDEX('Table of Contents'!$B$5:$B$25, INT((ROW()-2)/COUNTA('Category Map'!$B$5:$B$25))+1)</f>
        <v>BaSO4</v>
      </c>
      <c r="B12" t="str" cm="1">
        <f t="array" ref="B12">INDEX('Category Map'!$B$5:$B$25, MOD(ROW()-2, COUNTA('Category Map'!$B$5:$B$25))+1)</f>
        <v>Glass Manufacturing</v>
      </c>
      <c r="C12" s="43" cm="1">
        <f t="array" aca="1" ref="C12" ca="1">_xlfn.XLOOKUP(B12,INDIRECT("'" &amp; A12 &amp; "'!G:G"),INDIRECT("'" &amp; A12 &amp; "'!H:H"),0,0,1)</f>
        <v>0</v>
      </c>
    </row>
    <row r="13" spans="1:3">
      <c r="A13" t="str" cm="1">
        <f t="array" ref="A13">INDEX('Table of Contents'!$B$5:$B$25, INT((ROW()-2)/COUNTA('Category Map'!$B$5:$B$25))+1)</f>
        <v>BaSO4</v>
      </c>
      <c r="B13" t="str" cm="1">
        <f t="array" ref="B13">INDEX('Category Map'!$B$5:$B$25, MOD(ROW()-2, COUNTA('Category Map'!$B$5:$B$25))+1)</f>
        <v>Gypsum-Based Building Materials</v>
      </c>
      <c r="C13" s="43" cm="1">
        <f t="array" aca="1" ref="C13" ca="1">_xlfn.XLOOKUP(B13,INDIRECT("'" &amp; A13 &amp; "'!G:G"),INDIRECT("'" &amp; A13 &amp; "'!H:H"),0,0,1)</f>
        <v>0</v>
      </c>
    </row>
    <row r="14" spans="1:3">
      <c r="A14" t="str" cm="1">
        <f t="array" ref="A14">INDEX('Table of Contents'!$B$5:$B$25, INT((ROW()-2)/COUNTA('Category Map'!$B$5:$B$25))+1)</f>
        <v>BaSO4</v>
      </c>
      <c r="B14" t="str" cm="1">
        <f t="array" ref="B14">INDEX('Category Map'!$B$5:$B$25, MOD(ROW()-2, COUNTA('Category Map'!$B$5:$B$25))+1)</f>
        <v>Lime Manufacturing</v>
      </c>
      <c r="C14" s="43" cm="1">
        <f t="array" aca="1" ref="C14" ca="1">_xlfn.XLOOKUP(B14,INDIRECT("'" &amp; A14 &amp; "'!G:G"),INDIRECT("'" &amp; A14 &amp; "'!H:H"),0,0,1)</f>
        <v>0</v>
      </c>
    </row>
    <row r="15" spans="1:3">
      <c r="A15" t="str" cm="1">
        <f t="array" ref="A15">INDEX('Table of Contents'!$B$5:$B$25, INT((ROW()-2)/COUNTA('Category Map'!$B$5:$B$25))+1)</f>
        <v>BaSO4</v>
      </c>
      <c r="B15" t="str" cm="1">
        <f t="array" ref="B15">INDEX('Category Map'!$B$5:$B$25, MOD(ROW()-2, COUNTA('Category Map'!$B$5:$B$25))+1)</f>
        <v>Livestock</v>
      </c>
      <c r="C15" s="43" cm="1">
        <f t="array" aca="1" ref="C15" ca="1">_xlfn.XLOOKUP(B15,INDIRECT("'" &amp; A15 &amp; "'!G:G"),INDIRECT("'" &amp; A15 &amp; "'!H:H"),0,0,1)</f>
        <v>0</v>
      </c>
    </row>
    <row r="16" spans="1:3">
      <c r="A16" t="str" cm="1">
        <f t="array" ref="A16">INDEX('Table of Contents'!$B$5:$B$25, INT((ROW()-2)/COUNTA('Category Map'!$B$5:$B$25))+1)</f>
        <v>BaSO4</v>
      </c>
      <c r="B16" t="str" cm="1">
        <f t="array" ref="B16">INDEX('Category Map'!$B$5:$B$25, MOD(ROW()-2, COUNTA('Category Map'!$B$5:$B$25))+1)</f>
        <v>Miscellaneous Agricultural</v>
      </c>
      <c r="C16" s="43" cm="1">
        <f t="array" aca="1" ref="C16" ca="1">_xlfn.XLOOKUP(B16,INDIRECT("'" &amp; A16 &amp; "'!G:G"),INDIRECT("'" &amp; A16 &amp; "'!H:H"),0,0,1)</f>
        <v>0</v>
      </c>
    </row>
    <row r="17" spans="1:3">
      <c r="A17" t="str" cm="1">
        <f t="array" ref="A17">INDEX('Table of Contents'!$B$5:$B$25, INT((ROW()-2)/COUNTA('Category Map'!$B$5:$B$25))+1)</f>
        <v>BaSO4</v>
      </c>
      <c r="B17" t="str" cm="1">
        <f t="array" ref="B17">INDEX('Category Map'!$B$5:$B$25, MOD(ROW()-2, COUNTA('Category Map'!$B$5:$B$25))+1)</f>
        <v>Miscellaneous Industrial</v>
      </c>
      <c r="C17" s="43" cm="1">
        <f t="array" aca="1" ref="C17" ca="1">_xlfn.XLOOKUP(B17,INDIRECT("'" &amp; A17 &amp; "'!G:G"),INDIRECT("'" &amp; A17 &amp; "'!H:H"),0,0,1)</f>
        <v>0.1</v>
      </c>
    </row>
    <row r="18" spans="1:3">
      <c r="A18" t="str" cm="1">
        <f t="array" ref="A18">INDEX('Table of Contents'!$B$5:$B$25, INT((ROW()-2)/COUNTA('Category Map'!$B$5:$B$25))+1)</f>
        <v>BaSO4</v>
      </c>
      <c r="B18" t="str" cm="1">
        <f t="array" ref="B18">INDEX('Category Map'!$B$5:$B$25, MOD(ROW()-2, COUNTA('Category Map'!$B$5:$B$25))+1)</f>
        <v>Oil and Gas</v>
      </c>
      <c r="C18" s="43" cm="1">
        <f t="array" aca="1" ref="C18" ca="1">_xlfn.XLOOKUP(B18,INDIRECT("'" &amp; A18 &amp; "'!G:G"),INDIRECT("'" &amp; A18 &amp; "'!H:H"),0,0,1)</f>
        <v>0.9</v>
      </c>
    </row>
    <row r="19" spans="1:3">
      <c r="A19" t="str" cm="1">
        <f t="array" ref="A19">INDEX('Table of Contents'!$B$5:$B$25, INT((ROW()-2)/COUNTA('Category Map'!$B$5:$B$25))+1)</f>
        <v>BaSO4</v>
      </c>
      <c r="B19" t="str" cm="1">
        <f t="array" ref="B19">INDEX('Category Map'!$B$5:$B$25, MOD(ROW()-2, COUNTA('Category Map'!$B$5:$B$25))+1)</f>
        <v>Other</v>
      </c>
      <c r="C19" s="43" cm="1">
        <f t="array" aca="1" ref="C19" ca="1">_xlfn.XLOOKUP(B19,INDIRECT("'" &amp; A19 &amp; "'!G:G"),INDIRECT("'" &amp; A19 &amp; "'!H:H"),0,0,1)</f>
        <v>0</v>
      </c>
    </row>
    <row r="20" spans="1:3">
      <c r="A20" t="str" cm="1">
        <f t="array" ref="A20">INDEX('Table of Contents'!$B$5:$B$25, INT((ROW()-2)/COUNTA('Category Map'!$B$5:$B$25))+1)</f>
        <v>BaSO4</v>
      </c>
      <c r="B20" t="str" cm="1">
        <f t="array" ref="B20">INDEX('Category Map'!$B$5:$B$25, MOD(ROW()-2, COUNTA('Category Map'!$B$5:$B$25))+1)</f>
        <v>Pulp and Paper</v>
      </c>
      <c r="C20" s="43" cm="1">
        <f t="array" aca="1" ref="C20" ca="1">_xlfn.XLOOKUP(B20,INDIRECT("'" &amp; A20 &amp; "'!G:G"),INDIRECT("'" &amp; A20 &amp; "'!H:H"),0,0,1)</f>
        <v>0</v>
      </c>
    </row>
    <row r="21" spans="1:3">
      <c r="A21" t="str" cm="1">
        <f t="array" ref="A21">INDEX('Table of Contents'!$B$5:$B$25, INT((ROW()-2)/COUNTA('Category Map'!$B$5:$B$25))+1)</f>
        <v>BaSO4</v>
      </c>
      <c r="B21" t="str" cm="1">
        <f t="array" ref="B21">INDEX('Category Map'!$B$5:$B$25, MOD(ROW()-2, COUNTA('Category Map'!$B$5:$B$25))+1)</f>
        <v>Steel Pickling</v>
      </c>
      <c r="C21" s="43" cm="1">
        <f t="array" aca="1" ref="C21" ca="1">_xlfn.XLOOKUP(B21,INDIRECT("'" &amp; A21 &amp; "'!G:G"),INDIRECT("'" &amp; A21 &amp; "'!H:H"),0,0,1)</f>
        <v>0</v>
      </c>
    </row>
    <row r="22" spans="1:3">
      <c r="A22" t="str" cm="1">
        <f t="array" ref="A22">INDEX('Table of Contents'!$B$5:$B$25, INT((ROW()-2)/COUNTA('Category Map'!$B$5:$B$25))+1)</f>
        <v>BaSO4</v>
      </c>
      <c r="B22" t="str" cm="1">
        <f t="array" ref="B22">INDEX('Category Map'!$B$5:$B$25, MOD(ROW()-2, COUNTA('Category Map'!$B$5:$B$25))+1)</f>
        <v>Water Treatment</v>
      </c>
      <c r="C22" s="43" cm="1">
        <f t="array" aca="1" ref="C22" ca="1">_xlfn.XLOOKUP(B22,INDIRECT("'" &amp; A22 &amp; "'!G:G"),INDIRECT("'" &amp; A22 &amp; "'!H:H"),0,0,1)</f>
        <v>0</v>
      </c>
    </row>
    <row r="23" spans="1:3">
      <c r="A23" t="str" cm="1">
        <f t="array" ref="A23">INDEX('Table of Contents'!$B$5:$B$25, INT((ROW()-2)/COUNTA('Category Map'!$B$5:$B$25))+1)</f>
        <v>CaCl2</v>
      </c>
      <c r="B23" t="str" cm="1">
        <f t="array" ref="B23">INDEX('Category Map'!$B$5:$B$25, MOD(ROW()-2, COUNTA('Category Map'!$B$5:$B$25))+1)</f>
        <v>Battery Manufacturing</v>
      </c>
      <c r="C23" s="43" cm="1">
        <f t="array" aca="1" ref="C23" ca="1">_xlfn.XLOOKUP(B23,INDIRECT("'" &amp; A23 &amp; "'!G:G"),INDIRECT("'" &amp; A23 &amp; "'!H:H"),0,0,1)</f>
        <v>0</v>
      </c>
    </row>
    <row r="24" spans="1:3">
      <c r="A24" t="str" cm="1">
        <f t="array" ref="A24">INDEX('Table of Contents'!$B$5:$B$25, INT((ROW()-2)/COUNTA('Category Map'!$B$5:$B$25))+1)</f>
        <v>CaCl2</v>
      </c>
      <c r="B24" t="str" cm="1">
        <f t="array" ref="B24">INDEX('Category Map'!$B$5:$B$25, MOD(ROW()-2, COUNTA('Category Map'!$B$5:$B$25))+1)</f>
        <v>Cement Manufacturing</v>
      </c>
      <c r="C24" s="43" cm="1">
        <f t="array" aca="1" ref="C24" ca="1">_xlfn.XLOOKUP(B24,INDIRECT("'" &amp; A24 &amp; "'!G:G"),INDIRECT("'" &amp; A24 &amp; "'!H:H"),0,0,1)</f>
        <v>0</v>
      </c>
    </row>
    <row r="25" spans="1:3">
      <c r="A25" t="str" cm="1">
        <f t="array" ref="A25">INDEX('Table of Contents'!$B$5:$B$25, INT((ROW()-2)/COUNTA('Category Map'!$B$5:$B$25))+1)</f>
        <v>CaCl2</v>
      </c>
      <c r="B25" t="str" cm="1">
        <f t="array" ref="B25">INDEX('Category Map'!$B$5:$B$25, MOD(ROW()-2, COUNTA('Category Map'!$B$5:$B$25))+1)</f>
        <v>Chemical Manufacturing</v>
      </c>
      <c r="C25" s="43" cm="1">
        <f t="array" aca="1" ref="C25" ca="1">_xlfn.XLOOKUP(B25,INDIRECT("'" &amp; A25 &amp; "'!G:G"),INDIRECT("'" &amp; A25 &amp; "'!H:H"),0,0,1)</f>
        <v>0</v>
      </c>
    </row>
    <row r="26" spans="1:3">
      <c r="A26" t="str" cm="1">
        <f t="array" ref="A26">INDEX('Table of Contents'!$B$5:$B$25, INT((ROW()-2)/COUNTA('Category Map'!$B$5:$B$25))+1)</f>
        <v>CaCl2</v>
      </c>
      <c r="B26" t="str" cm="1">
        <f t="array" ref="B26">INDEX('Category Map'!$B$5:$B$25, MOD(ROW()-2, COUNTA('Category Map'!$B$5:$B$25))+1)</f>
        <v>Chloralkali Process</v>
      </c>
      <c r="C26" s="43" cm="1">
        <f t="array" aca="1" ref="C26" ca="1">_xlfn.XLOOKUP(B26,INDIRECT("'" &amp; A26 &amp; "'!G:G"),INDIRECT("'" &amp; A26 &amp; "'!H:H"),0,0,1)</f>
        <v>0</v>
      </c>
    </row>
    <row r="27" spans="1:3">
      <c r="A27" t="str" cm="1">
        <f t="array" ref="A27">INDEX('Table of Contents'!$B$5:$B$25, INT((ROW()-2)/COUNTA('Category Map'!$B$5:$B$25))+1)</f>
        <v>CaCl2</v>
      </c>
      <c r="B27" t="str" cm="1">
        <f t="array" ref="B27">INDEX('Category Map'!$B$5:$B$25, MOD(ROW()-2, COUNTA('Category Map'!$B$5:$B$25))+1)</f>
        <v>Concrete</v>
      </c>
      <c r="C27" s="43" cm="1">
        <f t="array" aca="1" ref="C27" ca="1">_xlfn.XLOOKUP(B27,INDIRECT("'" &amp; A27 &amp; "'!G:G"),INDIRECT("'" &amp; A27 &amp; "'!H:H"),0,0,1)</f>
        <v>0.05</v>
      </c>
    </row>
    <row r="28" spans="1:3">
      <c r="A28" t="str" cm="1">
        <f t="array" ref="A28">INDEX('Table of Contents'!$B$5:$B$25, INT((ROW()-2)/COUNTA('Category Map'!$B$5:$B$25))+1)</f>
        <v>CaCl2</v>
      </c>
      <c r="B28" t="str" cm="1">
        <f t="array" ref="B28">INDEX('Category Map'!$B$5:$B$25, MOD(ROW()-2, COUNTA('Category Map'!$B$5:$B$25))+1)</f>
        <v>Construction Aggregate</v>
      </c>
      <c r="C28" s="43" cm="1">
        <f t="array" aca="1" ref="C28" ca="1">_xlfn.XLOOKUP(B28,INDIRECT("'" &amp; A28 &amp; "'!G:G"),INDIRECT("'" &amp; A28 &amp; "'!H:H"),0,0,1)</f>
        <v>0</v>
      </c>
    </row>
    <row r="29" spans="1:3">
      <c r="A29" t="str" cm="1">
        <f t="array" ref="A29">INDEX('Table of Contents'!$B$5:$B$25, INT((ROW()-2)/COUNTA('Category Map'!$B$5:$B$25))+1)</f>
        <v>CaCl2</v>
      </c>
      <c r="B29" t="str" cm="1">
        <f t="array" ref="B29">INDEX('Category Map'!$B$5:$B$25, MOD(ROW()-2, COUNTA('Category Map'!$B$5:$B$25))+1)</f>
        <v>Deicing</v>
      </c>
      <c r="C29" s="43" cm="1">
        <f t="array" aca="1" ref="C29" ca="1">_xlfn.XLOOKUP(B29,INDIRECT("'" &amp; A29 &amp; "'!G:G"),INDIRECT("'" &amp; A29 &amp; "'!H:H"),0,0,1)</f>
        <v>0.3</v>
      </c>
    </row>
    <row r="30" spans="1:3">
      <c r="A30" t="str" cm="1">
        <f t="array" ref="A30">INDEX('Table of Contents'!$B$5:$B$25, INT((ROW()-2)/COUNTA('Category Map'!$B$5:$B$25))+1)</f>
        <v>CaCl2</v>
      </c>
      <c r="B30" t="str" cm="1">
        <f t="array" ref="B30">INDEX('Category Map'!$B$5:$B$25, MOD(ROW()-2, COUNTA('Category Map'!$B$5:$B$25))+1)</f>
        <v>Dust Control</v>
      </c>
      <c r="C30" s="43" cm="1">
        <f t="array" aca="1" ref="C30" ca="1">_xlfn.XLOOKUP(B30,INDIRECT("'" &amp; A30 &amp; "'!G:G"),INDIRECT("'" &amp; A30 &amp; "'!H:H"),0,0,1)</f>
        <v>0.25</v>
      </c>
    </row>
    <row r="31" spans="1:3">
      <c r="A31" t="str" cm="1">
        <f t="array" ref="A31">INDEX('Table of Contents'!$B$5:$B$25, INT((ROW()-2)/COUNTA('Category Map'!$B$5:$B$25))+1)</f>
        <v>CaCl2</v>
      </c>
      <c r="B31" t="str" cm="1">
        <f t="array" ref="B31">INDEX('Category Map'!$B$5:$B$25, MOD(ROW()-2, COUNTA('Category Map'!$B$5:$B$25))+1)</f>
        <v>Fertilizer Manufacturing</v>
      </c>
      <c r="C31" s="43" cm="1">
        <f t="array" aca="1" ref="C31" ca="1">_xlfn.XLOOKUP(B31,INDIRECT("'" &amp; A31 &amp; "'!G:G"),INDIRECT("'" &amp; A31 &amp; "'!H:H"),0,0,1)</f>
        <v>0</v>
      </c>
    </row>
    <row r="32" spans="1:3">
      <c r="A32" t="str" cm="1">
        <f t="array" ref="A32">INDEX('Table of Contents'!$B$5:$B$25, INT((ROW()-2)/COUNTA('Category Map'!$B$5:$B$25))+1)</f>
        <v>CaCl2</v>
      </c>
      <c r="B32" t="str" cm="1">
        <f t="array" ref="B32">INDEX('Category Map'!$B$5:$B$25, MOD(ROW()-2, COUNTA('Category Map'!$B$5:$B$25))+1)</f>
        <v>Flue Gas Desulfurization</v>
      </c>
      <c r="C32" s="43" cm="1">
        <f t="array" aca="1" ref="C32" ca="1">_xlfn.XLOOKUP(B32,INDIRECT("'" &amp; A32 &amp; "'!G:G"),INDIRECT("'" &amp; A32 &amp; "'!H:H"),0,0,1)</f>
        <v>0</v>
      </c>
    </row>
    <row r="33" spans="1:3">
      <c r="A33" t="str" cm="1">
        <f t="array" ref="A33">INDEX('Table of Contents'!$B$5:$B$25, INT((ROW()-2)/COUNTA('Category Map'!$B$5:$B$25))+1)</f>
        <v>CaCl2</v>
      </c>
      <c r="B33" t="str" cm="1">
        <f t="array" ref="B33">INDEX('Category Map'!$B$5:$B$25, MOD(ROW()-2, COUNTA('Category Map'!$B$5:$B$25))+1)</f>
        <v>Glass Manufacturing</v>
      </c>
      <c r="C33" s="43" cm="1">
        <f t="array" aca="1" ref="C33" ca="1">_xlfn.XLOOKUP(B33,INDIRECT("'" &amp; A33 &amp; "'!G:G"),INDIRECT("'" &amp; A33 &amp; "'!H:H"),0,0,1)</f>
        <v>0</v>
      </c>
    </row>
    <row r="34" spans="1:3">
      <c r="A34" t="str" cm="1">
        <f t="array" ref="A34">INDEX('Table of Contents'!$B$5:$B$25, INT((ROW()-2)/COUNTA('Category Map'!$B$5:$B$25))+1)</f>
        <v>CaCl2</v>
      </c>
      <c r="B34" t="str" cm="1">
        <f t="array" ref="B34">INDEX('Category Map'!$B$5:$B$25, MOD(ROW()-2, COUNTA('Category Map'!$B$5:$B$25))+1)</f>
        <v>Gypsum-Based Building Materials</v>
      </c>
      <c r="C34" s="43" cm="1">
        <f t="array" aca="1" ref="C34" ca="1">_xlfn.XLOOKUP(B34,INDIRECT("'" &amp; A34 &amp; "'!G:G"),INDIRECT("'" &amp; A34 &amp; "'!H:H"),0,0,1)</f>
        <v>0</v>
      </c>
    </row>
    <row r="35" spans="1:3">
      <c r="A35" t="str" cm="1">
        <f t="array" ref="A35">INDEX('Table of Contents'!$B$5:$B$25, INT((ROW()-2)/COUNTA('Category Map'!$B$5:$B$25))+1)</f>
        <v>CaCl2</v>
      </c>
      <c r="B35" t="str" cm="1">
        <f t="array" ref="B35">INDEX('Category Map'!$B$5:$B$25, MOD(ROW()-2, COUNTA('Category Map'!$B$5:$B$25))+1)</f>
        <v>Lime Manufacturing</v>
      </c>
      <c r="C35" s="43" cm="1">
        <f t="array" aca="1" ref="C35" ca="1">_xlfn.XLOOKUP(B35,INDIRECT("'" &amp; A35 &amp; "'!G:G"),INDIRECT("'" &amp; A35 &amp; "'!H:H"),0,0,1)</f>
        <v>0</v>
      </c>
    </row>
    <row r="36" spans="1:3">
      <c r="A36" t="str" cm="1">
        <f t="array" ref="A36">INDEX('Table of Contents'!$B$5:$B$25, INT((ROW()-2)/COUNTA('Category Map'!$B$5:$B$25))+1)</f>
        <v>CaCl2</v>
      </c>
      <c r="B36" t="str" cm="1">
        <f t="array" ref="B36">INDEX('Category Map'!$B$5:$B$25, MOD(ROW()-2, COUNTA('Category Map'!$B$5:$B$25))+1)</f>
        <v>Livestock</v>
      </c>
      <c r="C36" s="43" cm="1">
        <f t="array" aca="1" ref="C36" ca="1">_xlfn.XLOOKUP(B36,INDIRECT("'" &amp; A36 &amp; "'!G:G"),INDIRECT("'" &amp; A36 &amp; "'!H:H"),0,0,1)</f>
        <v>0</v>
      </c>
    </row>
    <row r="37" spans="1:3">
      <c r="A37" t="str" cm="1">
        <f t="array" ref="A37">INDEX('Table of Contents'!$B$5:$B$25, INT((ROW()-2)/COUNTA('Category Map'!$B$5:$B$25))+1)</f>
        <v>CaCl2</v>
      </c>
      <c r="B37" t="str" cm="1">
        <f t="array" ref="B37">INDEX('Category Map'!$B$5:$B$25, MOD(ROW()-2, COUNTA('Category Map'!$B$5:$B$25))+1)</f>
        <v>Miscellaneous Agricultural</v>
      </c>
      <c r="C37" s="43" cm="1">
        <f t="array" aca="1" ref="C37" ca="1">_xlfn.XLOOKUP(B37,INDIRECT("'" &amp; A37 &amp; "'!G:G"),INDIRECT("'" &amp; A37 &amp; "'!H:H"),0,0,1)</f>
        <v>0.04</v>
      </c>
    </row>
    <row r="38" spans="1:3">
      <c r="A38" t="str" cm="1">
        <f t="array" ref="A38">INDEX('Table of Contents'!$B$5:$B$25, INT((ROW()-2)/COUNTA('Category Map'!$B$5:$B$25))+1)</f>
        <v>CaCl2</v>
      </c>
      <c r="B38" t="str" cm="1">
        <f t="array" ref="B38">INDEX('Category Map'!$B$5:$B$25, MOD(ROW()-2, COUNTA('Category Map'!$B$5:$B$25))+1)</f>
        <v>Miscellaneous Industrial</v>
      </c>
      <c r="C38" s="43" cm="1">
        <f t="array" aca="1" ref="C38" ca="1">_xlfn.XLOOKUP(B38,INDIRECT("'" &amp; A38 &amp; "'!G:G"),INDIRECT("'" &amp; A38 &amp; "'!H:H"),0,0,1)</f>
        <v>0.15</v>
      </c>
    </row>
    <row r="39" spans="1:3">
      <c r="A39" t="str" cm="1">
        <f t="array" ref="A39">INDEX('Table of Contents'!$B$5:$B$25, INT((ROW()-2)/COUNTA('Category Map'!$B$5:$B$25))+1)</f>
        <v>CaCl2</v>
      </c>
      <c r="B39" t="str" cm="1">
        <f t="array" ref="B39">INDEX('Category Map'!$B$5:$B$25, MOD(ROW()-2, COUNTA('Category Map'!$B$5:$B$25))+1)</f>
        <v>Oil and Gas</v>
      </c>
      <c r="C39" s="43" cm="1">
        <f t="array" aca="1" ref="C39" ca="1">_xlfn.XLOOKUP(B39,INDIRECT("'" &amp; A39 &amp; "'!G:G"),INDIRECT("'" &amp; A39 &amp; "'!H:H"),0,0,1)</f>
        <v>0.1</v>
      </c>
    </row>
    <row r="40" spans="1:3">
      <c r="A40" t="str" cm="1">
        <f t="array" ref="A40">INDEX('Table of Contents'!$B$5:$B$25, INT((ROW()-2)/COUNTA('Category Map'!$B$5:$B$25))+1)</f>
        <v>CaCl2</v>
      </c>
      <c r="B40" t="str" cm="1">
        <f t="array" ref="B40">INDEX('Category Map'!$B$5:$B$25, MOD(ROW()-2, COUNTA('Category Map'!$B$5:$B$25))+1)</f>
        <v>Other</v>
      </c>
      <c r="C40" s="43" cm="1">
        <f t="array" aca="1" ref="C40" ca="1">_xlfn.XLOOKUP(B40,INDIRECT("'" &amp; A40 &amp; "'!G:G"),INDIRECT("'" &amp; A40 &amp; "'!H:H"),0,0,1)</f>
        <v>0.11</v>
      </c>
    </row>
    <row r="41" spans="1:3">
      <c r="A41" t="str" cm="1">
        <f t="array" ref="A41">INDEX('Table of Contents'!$B$5:$B$25, INT((ROW()-2)/COUNTA('Category Map'!$B$5:$B$25))+1)</f>
        <v>CaCl2</v>
      </c>
      <c r="B41" t="str" cm="1">
        <f t="array" ref="B41">INDEX('Category Map'!$B$5:$B$25, MOD(ROW()-2, COUNTA('Category Map'!$B$5:$B$25))+1)</f>
        <v>Pulp and Paper</v>
      </c>
      <c r="C41" s="43" cm="1">
        <f t="array" aca="1" ref="C41" ca="1">_xlfn.XLOOKUP(B41,INDIRECT("'" &amp; A41 &amp; "'!G:G"),INDIRECT("'" &amp; A41 &amp; "'!H:H"),0,0,1)</f>
        <v>0</v>
      </c>
    </row>
    <row r="42" spans="1:3">
      <c r="A42" t="str" cm="1">
        <f t="array" ref="A42">INDEX('Table of Contents'!$B$5:$B$25, INT((ROW()-2)/COUNTA('Category Map'!$B$5:$B$25))+1)</f>
        <v>CaCl2</v>
      </c>
      <c r="B42" t="str" cm="1">
        <f t="array" ref="B42">INDEX('Category Map'!$B$5:$B$25, MOD(ROW()-2, COUNTA('Category Map'!$B$5:$B$25))+1)</f>
        <v>Steel Pickling</v>
      </c>
      <c r="C42" s="43" cm="1">
        <f t="array" aca="1" ref="C42" ca="1">_xlfn.XLOOKUP(B42,INDIRECT("'" &amp; A42 &amp; "'!G:G"),INDIRECT("'" &amp; A42 &amp; "'!H:H"),0,0,1)</f>
        <v>0</v>
      </c>
    </row>
    <row r="43" spans="1:3">
      <c r="A43" t="str" cm="1">
        <f t="array" ref="A43">INDEX('Table of Contents'!$B$5:$B$25, INT((ROW()-2)/COUNTA('Category Map'!$B$5:$B$25))+1)</f>
        <v>CaCl2</v>
      </c>
      <c r="B43" t="str" cm="1">
        <f t="array" ref="B43">INDEX('Category Map'!$B$5:$B$25, MOD(ROW()-2, COUNTA('Category Map'!$B$5:$B$25))+1)</f>
        <v>Water Treatment</v>
      </c>
      <c r="C43" s="43" cm="1">
        <f t="array" aca="1" ref="C43" ca="1">_xlfn.XLOOKUP(B43,INDIRECT("'" &amp; A43 &amp; "'!G:G"),INDIRECT("'" &amp; A43 &amp; "'!H:H"),0,0,1)</f>
        <v>0</v>
      </c>
    </row>
    <row r="44" spans="1:3">
      <c r="A44" t="str" cm="1">
        <f t="array" ref="A44">INDEX('Table of Contents'!$B$5:$B$25, INT((ROW()-2)/COUNTA('Category Map'!$B$5:$B$25))+1)</f>
        <v>CaCO3</v>
      </c>
      <c r="B44" t="str" cm="1">
        <f t="array" ref="B44">INDEX('Category Map'!$B$5:$B$25, MOD(ROW()-2, COUNTA('Category Map'!$B$5:$B$25))+1)</f>
        <v>Battery Manufacturing</v>
      </c>
      <c r="C44" s="43" cm="1">
        <f t="array" aca="1" ref="C44" ca="1">_xlfn.XLOOKUP(B44,INDIRECT("'" &amp; A44 &amp; "'!G:G"),INDIRECT("'" &amp; A44 &amp; "'!H:H"),0,0,1)</f>
        <v>0</v>
      </c>
    </row>
    <row r="45" spans="1:3">
      <c r="A45" t="str" cm="1">
        <f t="array" ref="A45">INDEX('Table of Contents'!$B$5:$B$25, INT((ROW()-2)/COUNTA('Category Map'!$B$5:$B$25))+1)</f>
        <v>CaCO3</v>
      </c>
      <c r="B45" t="str" cm="1">
        <f t="array" ref="B45">INDEX('Category Map'!$B$5:$B$25, MOD(ROW()-2, COUNTA('Category Map'!$B$5:$B$25))+1)</f>
        <v>Cement Manufacturing</v>
      </c>
      <c r="C45" s="43" cm="1">
        <f t="array" aca="1" ref="C45" ca="1">_xlfn.XLOOKUP(B45,INDIRECT("'" &amp; A45 &amp; "'!G:G"),INDIRECT("'" &amp; A45 &amp; "'!H:H"),0,0,1)</f>
        <v>0.17</v>
      </c>
    </row>
    <row r="46" spans="1:3">
      <c r="A46" t="str" cm="1">
        <f t="array" ref="A46">INDEX('Table of Contents'!$B$5:$B$25, INT((ROW()-2)/COUNTA('Category Map'!$B$5:$B$25))+1)</f>
        <v>CaCO3</v>
      </c>
      <c r="B46" t="str" cm="1">
        <f t="array" ref="B46">INDEX('Category Map'!$B$5:$B$25, MOD(ROW()-2, COUNTA('Category Map'!$B$5:$B$25))+1)</f>
        <v>Chemical Manufacturing</v>
      </c>
      <c r="C46" s="43" cm="1">
        <f t="array" aca="1" ref="C46" ca="1">_xlfn.XLOOKUP(B46,INDIRECT("'" &amp; A46 &amp; "'!G:G"),INDIRECT("'" &amp; A46 &amp; "'!H:H"),0,0,1)</f>
        <v>0</v>
      </c>
    </row>
    <row r="47" spans="1:3">
      <c r="A47" t="str" cm="1">
        <f t="array" ref="A47">INDEX('Table of Contents'!$B$5:$B$25, INT((ROW()-2)/COUNTA('Category Map'!$B$5:$B$25))+1)</f>
        <v>CaCO3</v>
      </c>
      <c r="B47" t="str" cm="1">
        <f t="array" ref="B47">INDEX('Category Map'!$B$5:$B$25, MOD(ROW()-2, COUNTA('Category Map'!$B$5:$B$25))+1)</f>
        <v>Chloralkali Process</v>
      </c>
      <c r="C47" s="43" cm="1">
        <f t="array" aca="1" ref="C47" ca="1">_xlfn.XLOOKUP(B47,INDIRECT("'" &amp; A47 &amp; "'!G:G"),INDIRECT("'" &amp; A47 &amp; "'!H:H"),0,0,1)</f>
        <v>0</v>
      </c>
    </row>
    <row r="48" spans="1:3">
      <c r="A48" t="str" cm="1">
        <f t="array" ref="A48">INDEX('Table of Contents'!$B$5:$B$25, INT((ROW()-2)/COUNTA('Category Map'!$B$5:$B$25))+1)</f>
        <v>CaCO3</v>
      </c>
      <c r="B48" t="str" cm="1">
        <f t="array" ref="B48">INDEX('Category Map'!$B$5:$B$25, MOD(ROW()-2, COUNTA('Category Map'!$B$5:$B$25))+1)</f>
        <v>Concrete</v>
      </c>
      <c r="C48" s="43" cm="1">
        <f t="array" aca="1" ref="C48" ca="1">_xlfn.XLOOKUP(B48,INDIRECT("'" &amp; A48 &amp; "'!G:G"),INDIRECT("'" &amp; A48 &amp; "'!H:H"),0,0,1)</f>
        <v>0</v>
      </c>
    </row>
    <row r="49" spans="1:3">
      <c r="A49" t="str" cm="1">
        <f t="array" ref="A49">INDEX('Table of Contents'!$B$5:$B$25, INT((ROW()-2)/COUNTA('Category Map'!$B$5:$B$25))+1)</f>
        <v>CaCO3</v>
      </c>
      <c r="B49" t="str" cm="1">
        <f t="array" ref="B49">INDEX('Category Map'!$B$5:$B$25, MOD(ROW()-2, COUNTA('Category Map'!$B$5:$B$25))+1)</f>
        <v>Construction Aggregate</v>
      </c>
      <c r="C49" s="43" cm="1">
        <f t="array" aca="1" ref="C49" ca="1">_xlfn.XLOOKUP(B49,INDIRECT("'" &amp; A49 &amp; "'!G:G"),INDIRECT("'" &amp; A49 &amp; "'!H:H"),0,0,1)</f>
        <v>0.72</v>
      </c>
    </row>
    <row r="50" spans="1:3">
      <c r="A50" t="str" cm="1">
        <f t="array" ref="A50">INDEX('Table of Contents'!$B$5:$B$25, INT((ROW()-2)/COUNTA('Category Map'!$B$5:$B$25))+1)</f>
        <v>CaCO3</v>
      </c>
      <c r="B50" t="str" cm="1">
        <f t="array" ref="B50">INDEX('Category Map'!$B$5:$B$25, MOD(ROW()-2, COUNTA('Category Map'!$B$5:$B$25))+1)</f>
        <v>Deicing</v>
      </c>
      <c r="C50" s="43" cm="1">
        <f t="array" aca="1" ref="C50" ca="1">_xlfn.XLOOKUP(B50,INDIRECT("'" &amp; A50 &amp; "'!G:G"),INDIRECT("'" &amp; A50 &amp; "'!H:H"),0,0,1)</f>
        <v>0</v>
      </c>
    </row>
    <row r="51" spans="1:3">
      <c r="A51" t="str" cm="1">
        <f t="array" ref="A51">INDEX('Table of Contents'!$B$5:$B$25, INT((ROW()-2)/COUNTA('Category Map'!$B$5:$B$25))+1)</f>
        <v>CaCO3</v>
      </c>
      <c r="B51" t="str" cm="1">
        <f t="array" ref="B51">INDEX('Category Map'!$B$5:$B$25, MOD(ROW()-2, COUNTA('Category Map'!$B$5:$B$25))+1)</f>
        <v>Dust Control</v>
      </c>
      <c r="C51" s="43" cm="1">
        <f t="array" aca="1" ref="C51" ca="1">_xlfn.XLOOKUP(B51,INDIRECT("'" &amp; A51 &amp; "'!G:G"),INDIRECT("'" &amp; A51 &amp; "'!H:H"),0,0,1)</f>
        <v>0</v>
      </c>
    </row>
    <row r="52" spans="1:3">
      <c r="A52" t="str" cm="1">
        <f t="array" ref="A52">INDEX('Table of Contents'!$B$5:$B$25, INT((ROW()-2)/COUNTA('Category Map'!$B$5:$B$25))+1)</f>
        <v>CaCO3</v>
      </c>
      <c r="B52" t="str" cm="1">
        <f t="array" ref="B52">INDEX('Category Map'!$B$5:$B$25, MOD(ROW()-2, COUNTA('Category Map'!$B$5:$B$25))+1)</f>
        <v>Fertilizer Manufacturing</v>
      </c>
      <c r="C52" s="43" cm="1">
        <f t="array" aca="1" ref="C52" ca="1">_xlfn.XLOOKUP(B52,INDIRECT("'" &amp; A52 &amp; "'!G:G"),INDIRECT("'" &amp; A52 &amp; "'!H:H"),0,0,1)</f>
        <v>0</v>
      </c>
    </row>
    <row r="53" spans="1:3">
      <c r="A53" t="str" cm="1">
        <f t="array" ref="A53">INDEX('Table of Contents'!$B$5:$B$25, INT((ROW()-2)/COUNTA('Category Map'!$B$5:$B$25))+1)</f>
        <v>CaCO3</v>
      </c>
      <c r="B53" t="str" cm="1">
        <f t="array" ref="B53">INDEX('Category Map'!$B$5:$B$25, MOD(ROW()-2, COUNTA('Category Map'!$B$5:$B$25))+1)</f>
        <v>Flue Gas Desulfurization</v>
      </c>
      <c r="C53" s="43" cm="1">
        <f t="array" aca="1" ref="C53" ca="1">_xlfn.XLOOKUP(B53,INDIRECT("'" &amp; A53 &amp; "'!G:G"),INDIRECT("'" &amp; A53 &amp; "'!H:H"),0,0,1)</f>
        <v>0</v>
      </c>
    </row>
    <row r="54" spans="1:3">
      <c r="A54" t="str" cm="1">
        <f t="array" ref="A54">INDEX('Table of Contents'!$B$5:$B$25, INT((ROW()-2)/COUNTA('Category Map'!$B$5:$B$25))+1)</f>
        <v>CaCO3</v>
      </c>
      <c r="B54" t="str" cm="1">
        <f t="array" ref="B54">INDEX('Category Map'!$B$5:$B$25, MOD(ROW()-2, COUNTA('Category Map'!$B$5:$B$25))+1)</f>
        <v>Glass Manufacturing</v>
      </c>
      <c r="C54" s="43" cm="1">
        <f t="array" aca="1" ref="C54" ca="1">_xlfn.XLOOKUP(B54,INDIRECT("'" &amp; A54 &amp; "'!G:G"),INDIRECT("'" &amp; A54 &amp; "'!H:H"),0,0,1)</f>
        <v>0</v>
      </c>
    </row>
    <row r="55" spans="1:3">
      <c r="A55" t="str" cm="1">
        <f t="array" ref="A55">INDEX('Table of Contents'!$B$5:$B$25, INT((ROW()-2)/COUNTA('Category Map'!$B$5:$B$25))+1)</f>
        <v>CaCO3</v>
      </c>
      <c r="B55" t="str" cm="1">
        <f t="array" ref="B55">INDEX('Category Map'!$B$5:$B$25, MOD(ROW()-2, COUNTA('Category Map'!$B$5:$B$25))+1)</f>
        <v>Gypsum-Based Building Materials</v>
      </c>
      <c r="C55" s="43" cm="1">
        <f t="array" aca="1" ref="C55" ca="1">_xlfn.XLOOKUP(B55,INDIRECT("'" &amp; A55 &amp; "'!G:G"),INDIRECT("'" &amp; A55 &amp; "'!H:H"),0,0,1)</f>
        <v>0</v>
      </c>
    </row>
    <row r="56" spans="1:3">
      <c r="A56" t="str" cm="1">
        <f t="array" ref="A56">INDEX('Table of Contents'!$B$5:$B$25, INT((ROW()-2)/COUNTA('Category Map'!$B$5:$B$25))+1)</f>
        <v>CaCO3</v>
      </c>
      <c r="B56" t="str" cm="1">
        <f t="array" ref="B56">INDEX('Category Map'!$B$5:$B$25, MOD(ROW()-2, COUNTA('Category Map'!$B$5:$B$25))+1)</f>
        <v>Lime Manufacturing</v>
      </c>
      <c r="C56" s="43" cm="1">
        <f t="array" aca="1" ref="C56" ca="1">_xlfn.XLOOKUP(B56,INDIRECT("'" &amp; A56 &amp; "'!G:G"),INDIRECT("'" &amp; A56 &amp; "'!H:H"),0,0,1)</f>
        <v>0.06</v>
      </c>
    </row>
    <row r="57" spans="1:3">
      <c r="A57" t="str" cm="1">
        <f t="array" ref="A57">INDEX('Table of Contents'!$B$5:$B$25, INT((ROW()-2)/COUNTA('Category Map'!$B$5:$B$25))+1)</f>
        <v>CaCO3</v>
      </c>
      <c r="B57" t="str" cm="1">
        <f t="array" ref="B57">INDEX('Category Map'!$B$5:$B$25, MOD(ROW()-2, COUNTA('Category Map'!$B$5:$B$25))+1)</f>
        <v>Livestock</v>
      </c>
      <c r="C57" s="43" cm="1">
        <f t="array" aca="1" ref="C57" ca="1">_xlfn.XLOOKUP(B57,INDIRECT("'" &amp; A57 &amp; "'!G:G"),INDIRECT("'" &amp; A57 &amp; "'!H:H"),0,0,1)</f>
        <v>0</v>
      </c>
    </row>
    <row r="58" spans="1:3">
      <c r="A58" t="str" cm="1">
        <f t="array" ref="A58">INDEX('Table of Contents'!$B$5:$B$25, INT((ROW()-2)/COUNTA('Category Map'!$B$5:$B$25))+1)</f>
        <v>CaCO3</v>
      </c>
      <c r="B58" t="str" cm="1">
        <f t="array" ref="B58">INDEX('Category Map'!$B$5:$B$25, MOD(ROW()-2, COUNTA('Category Map'!$B$5:$B$25))+1)</f>
        <v>Miscellaneous Agricultural</v>
      </c>
      <c r="C58" s="43" cm="1">
        <f t="array" aca="1" ref="C58" ca="1">_xlfn.XLOOKUP(B58,INDIRECT("'" &amp; A58 &amp; "'!G:G"),INDIRECT("'" &amp; A58 &amp; "'!H:H"),0,0,1)</f>
        <v>0.01</v>
      </c>
    </row>
    <row r="59" spans="1:3">
      <c r="A59" t="str" cm="1">
        <f t="array" ref="A59">INDEX('Table of Contents'!$B$5:$B$25, INT((ROW()-2)/COUNTA('Category Map'!$B$5:$B$25))+1)</f>
        <v>CaCO3</v>
      </c>
      <c r="B59" t="str" cm="1">
        <f t="array" ref="B59">INDEX('Category Map'!$B$5:$B$25, MOD(ROW()-2, COUNTA('Category Map'!$B$5:$B$25))+1)</f>
        <v>Miscellaneous Industrial</v>
      </c>
      <c r="C59" s="43" cm="1">
        <f t="array" aca="1" ref="C59" ca="1">_xlfn.XLOOKUP(B59,INDIRECT("'" &amp; A59 &amp; "'!G:G"),INDIRECT("'" &amp; A59 &amp; "'!H:H"),0,0,1)</f>
        <v>0</v>
      </c>
    </row>
    <row r="60" spans="1:3">
      <c r="A60" t="str" cm="1">
        <f t="array" ref="A60">INDEX('Table of Contents'!$B$5:$B$25, INT((ROW()-2)/COUNTA('Category Map'!$B$5:$B$25))+1)</f>
        <v>CaCO3</v>
      </c>
      <c r="B60" t="str" cm="1">
        <f t="array" ref="B60">INDEX('Category Map'!$B$5:$B$25, MOD(ROW()-2, COUNTA('Category Map'!$B$5:$B$25))+1)</f>
        <v>Oil and Gas</v>
      </c>
      <c r="C60" s="43" cm="1">
        <f t="array" aca="1" ref="C60" ca="1">_xlfn.XLOOKUP(B60,INDIRECT("'" &amp; A60 &amp; "'!G:G"),INDIRECT("'" &amp; A60 &amp; "'!H:H"),0,0,1)</f>
        <v>0</v>
      </c>
    </row>
    <row r="61" spans="1:3">
      <c r="A61" t="str" cm="1">
        <f t="array" ref="A61">INDEX('Table of Contents'!$B$5:$B$25, INT((ROW()-2)/COUNTA('Category Map'!$B$5:$B$25))+1)</f>
        <v>CaCO3</v>
      </c>
      <c r="B61" t="str" cm="1">
        <f t="array" ref="B61">INDEX('Category Map'!$B$5:$B$25, MOD(ROW()-2, COUNTA('Category Map'!$B$5:$B$25))+1)</f>
        <v>Other</v>
      </c>
      <c r="C61" s="43" cm="1">
        <f t="array" aca="1" ref="C61" ca="1">_xlfn.XLOOKUP(B61,INDIRECT("'" &amp; A61 &amp; "'!G:G"),INDIRECT("'" &amp; A61 &amp; "'!H:H"),0,0,1)</f>
        <v>0.04</v>
      </c>
    </row>
    <row r="62" spans="1:3">
      <c r="A62" t="str" cm="1">
        <f t="array" ref="A62">INDEX('Table of Contents'!$B$5:$B$25, INT((ROW()-2)/COUNTA('Category Map'!$B$5:$B$25))+1)</f>
        <v>CaCO3</v>
      </c>
      <c r="B62" t="str" cm="1">
        <f t="array" ref="B62">INDEX('Category Map'!$B$5:$B$25, MOD(ROW()-2, COUNTA('Category Map'!$B$5:$B$25))+1)</f>
        <v>Pulp and Paper</v>
      </c>
      <c r="C62" s="43" cm="1">
        <f t="array" aca="1" ref="C62" ca="1">_xlfn.XLOOKUP(B62,INDIRECT("'" &amp; A62 &amp; "'!G:G"),INDIRECT("'" &amp; A62 &amp; "'!H:H"),0,0,1)</f>
        <v>0</v>
      </c>
    </row>
    <row r="63" spans="1:3">
      <c r="A63" t="str" cm="1">
        <f t="array" ref="A63">INDEX('Table of Contents'!$B$5:$B$25, INT((ROW()-2)/COUNTA('Category Map'!$B$5:$B$25))+1)</f>
        <v>CaCO3</v>
      </c>
      <c r="B63" t="str" cm="1">
        <f t="array" ref="B63">INDEX('Category Map'!$B$5:$B$25, MOD(ROW()-2, COUNTA('Category Map'!$B$5:$B$25))+1)</f>
        <v>Steel Pickling</v>
      </c>
      <c r="C63" s="43" cm="1">
        <f t="array" aca="1" ref="C63" ca="1">_xlfn.XLOOKUP(B63,INDIRECT("'" &amp; A63 &amp; "'!G:G"),INDIRECT("'" &amp; A63 &amp; "'!H:H"),0,0,1)</f>
        <v>0</v>
      </c>
    </row>
    <row r="64" spans="1:3">
      <c r="A64" t="str" cm="1">
        <f t="array" ref="A64">INDEX('Table of Contents'!$B$5:$B$25, INT((ROW()-2)/COUNTA('Category Map'!$B$5:$B$25))+1)</f>
        <v>CaCO3</v>
      </c>
      <c r="B64" t="str" cm="1">
        <f t="array" ref="B64">INDEX('Category Map'!$B$5:$B$25, MOD(ROW()-2, COUNTA('Category Map'!$B$5:$B$25))+1)</f>
        <v>Water Treatment</v>
      </c>
      <c r="C64" s="43" cm="1">
        <f t="array" aca="1" ref="C64" ca="1">_xlfn.XLOOKUP(B64,INDIRECT("'" &amp; A64 &amp; "'!G:G"),INDIRECT("'" &amp; A64 &amp; "'!H:H"),0,0,1)</f>
        <v>0</v>
      </c>
    </row>
    <row r="65" spans="1:3">
      <c r="A65" t="str" cm="1">
        <f t="array" ref="A65">INDEX('Table of Contents'!$B$5:$B$25, INT((ROW()-2)/COUNTA('Category Map'!$B$5:$B$25))+1)</f>
        <v>CaSO4</v>
      </c>
      <c r="B65" t="str" cm="1">
        <f t="array" ref="B65">INDEX('Category Map'!$B$5:$B$25, MOD(ROW()-2, COUNTA('Category Map'!$B$5:$B$25))+1)</f>
        <v>Battery Manufacturing</v>
      </c>
      <c r="C65" s="43" cm="1">
        <f t="array" aca="1" ref="C65" ca="1">_xlfn.XLOOKUP(B65,INDIRECT("'" &amp; A65 &amp; "'!G:G"),INDIRECT("'" &amp; A65 &amp; "'!H:H"),0,0,1)</f>
        <v>0</v>
      </c>
    </row>
    <row r="66" spans="1:3">
      <c r="A66" t="str" cm="1">
        <f t="array" ref="A66">INDEX('Table of Contents'!$B$5:$B$25, INT((ROW()-2)/COUNTA('Category Map'!$B$5:$B$25))+1)</f>
        <v>CaSO4</v>
      </c>
      <c r="B66" t="str" cm="1">
        <f t="array" ref="B66">INDEX('Category Map'!$B$5:$B$25, MOD(ROW()-2, COUNTA('Category Map'!$B$5:$B$25))+1)</f>
        <v>Cement Manufacturing</v>
      </c>
      <c r="C66" s="43" cm="1">
        <f t="array" aca="1" ref="C66" ca="1">_xlfn.XLOOKUP(B66,INDIRECT("'" &amp; A66 &amp; "'!G:G"),INDIRECT("'" &amp; A66 &amp; "'!H:H"),0,0,1)</f>
        <v>0.11847065158858373</v>
      </c>
    </row>
    <row r="67" spans="1:3">
      <c r="A67" t="str" cm="1">
        <f t="array" ref="A67">INDEX('Table of Contents'!$B$5:$B$25, INT((ROW()-2)/COUNTA('Category Map'!$B$5:$B$25))+1)</f>
        <v>CaSO4</v>
      </c>
      <c r="B67" t="str" cm="1">
        <f t="array" ref="B67">INDEX('Category Map'!$B$5:$B$25, MOD(ROW()-2, COUNTA('Category Map'!$B$5:$B$25))+1)</f>
        <v>Chemical Manufacturing</v>
      </c>
      <c r="C67" s="43" cm="1">
        <f t="array" aca="1" ref="C67" ca="1">_xlfn.XLOOKUP(B67,INDIRECT("'" &amp; A67 &amp; "'!G:G"),INDIRECT("'" &amp; A67 &amp; "'!H:H"),0,0,1)</f>
        <v>0</v>
      </c>
    </row>
    <row r="68" spans="1:3">
      <c r="A68" t="str" cm="1">
        <f t="array" ref="A68">INDEX('Table of Contents'!$B$5:$B$25, INT((ROW()-2)/COUNTA('Category Map'!$B$5:$B$25))+1)</f>
        <v>CaSO4</v>
      </c>
      <c r="B68" t="str" cm="1">
        <f t="array" ref="B68">INDEX('Category Map'!$B$5:$B$25, MOD(ROW()-2, COUNTA('Category Map'!$B$5:$B$25))+1)</f>
        <v>Chloralkali Process</v>
      </c>
      <c r="C68" s="43" cm="1">
        <f t="array" aca="1" ref="C68" ca="1">_xlfn.XLOOKUP(B68,INDIRECT("'" &amp; A68 &amp; "'!G:G"),INDIRECT("'" &amp; A68 &amp; "'!H:H"),0,0,1)</f>
        <v>0</v>
      </c>
    </row>
    <row r="69" spans="1:3">
      <c r="A69" t="str" cm="1">
        <f t="array" ref="A69">INDEX('Table of Contents'!$B$5:$B$25, INT((ROW()-2)/COUNTA('Category Map'!$B$5:$B$25))+1)</f>
        <v>CaSO4</v>
      </c>
      <c r="B69" t="str" cm="1">
        <f t="array" ref="B69">INDEX('Category Map'!$B$5:$B$25, MOD(ROW()-2, COUNTA('Category Map'!$B$5:$B$25))+1)</f>
        <v>Concrete</v>
      </c>
      <c r="C69" s="43" cm="1">
        <f t="array" aca="1" ref="C69" ca="1">_xlfn.XLOOKUP(B69,INDIRECT("'" &amp; A69 &amp; "'!G:G"),INDIRECT("'" &amp; A69 &amp; "'!H:H"),0,0,1)</f>
        <v>0</v>
      </c>
    </row>
    <row r="70" spans="1:3">
      <c r="A70" t="str" cm="1">
        <f t="array" ref="A70">INDEX('Table of Contents'!$B$5:$B$25, INT((ROW()-2)/COUNTA('Category Map'!$B$5:$B$25))+1)</f>
        <v>CaSO4</v>
      </c>
      <c r="B70" t="str" cm="1">
        <f t="array" ref="B70">INDEX('Category Map'!$B$5:$B$25, MOD(ROW()-2, COUNTA('Category Map'!$B$5:$B$25))+1)</f>
        <v>Construction Aggregate</v>
      </c>
      <c r="C70" s="43" cm="1">
        <f t="array" aca="1" ref="C70" ca="1">_xlfn.XLOOKUP(B70,INDIRECT("'" &amp; A70 &amp; "'!G:G"),INDIRECT("'" &amp; A70 &amp; "'!H:H"),0,0,1)</f>
        <v>0</v>
      </c>
    </row>
    <row r="71" spans="1:3">
      <c r="A71" t="str" cm="1">
        <f t="array" ref="A71">INDEX('Table of Contents'!$B$5:$B$25, INT((ROW()-2)/COUNTA('Category Map'!$B$5:$B$25))+1)</f>
        <v>CaSO4</v>
      </c>
      <c r="B71" t="str" cm="1">
        <f t="array" ref="B71">INDEX('Category Map'!$B$5:$B$25, MOD(ROW()-2, COUNTA('Category Map'!$B$5:$B$25))+1)</f>
        <v>Deicing</v>
      </c>
      <c r="C71" s="43" cm="1">
        <f t="array" aca="1" ref="C71" ca="1">_xlfn.XLOOKUP(B71,INDIRECT("'" &amp; A71 &amp; "'!G:G"),INDIRECT("'" &amp; A71 &amp; "'!H:H"),0,0,1)</f>
        <v>0</v>
      </c>
    </row>
    <row r="72" spans="1:3">
      <c r="A72" t="str" cm="1">
        <f t="array" ref="A72">INDEX('Table of Contents'!$B$5:$B$25, INT((ROW()-2)/COUNTA('Category Map'!$B$5:$B$25))+1)</f>
        <v>CaSO4</v>
      </c>
      <c r="B72" t="str" cm="1">
        <f t="array" ref="B72">INDEX('Category Map'!$B$5:$B$25, MOD(ROW()-2, COUNTA('Category Map'!$B$5:$B$25))+1)</f>
        <v>Dust Control</v>
      </c>
      <c r="C72" s="43" cm="1">
        <f t="array" aca="1" ref="C72" ca="1">_xlfn.XLOOKUP(B72,INDIRECT("'" &amp; A72 &amp; "'!G:G"),INDIRECT("'" &amp; A72 &amp; "'!H:H"),0,0,1)</f>
        <v>0</v>
      </c>
    </row>
    <row r="73" spans="1:3">
      <c r="A73" t="str" cm="1">
        <f t="array" ref="A73">INDEX('Table of Contents'!$B$5:$B$25, INT((ROW()-2)/COUNTA('Category Map'!$B$5:$B$25))+1)</f>
        <v>CaSO4</v>
      </c>
      <c r="B73" t="str" cm="1">
        <f t="array" ref="B73">INDEX('Category Map'!$B$5:$B$25, MOD(ROW()-2, COUNTA('Category Map'!$B$5:$B$25))+1)</f>
        <v>Fertilizer Manufacturing</v>
      </c>
      <c r="C73" s="43" cm="1">
        <f t="array" aca="1" ref="C73" ca="1">_xlfn.XLOOKUP(B73,INDIRECT("'" &amp; A73 &amp; "'!G:G"),INDIRECT("'" &amp; A73 &amp; "'!H:H"),0,0,1)</f>
        <v>0</v>
      </c>
    </row>
    <row r="74" spans="1:3">
      <c r="A74" t="str" cm="1">
        <f t="array" ref="A74">INDEX('Table of Contents'!$B$5:$B$25, INT((ROW()-2)/COUNTA('Category Map'!$B$5:$B$25))+1)</f>
        <v>CaSO4</v>
      </c>
      <c r="B74" t="str" cm="1">
        <f t="array" ref="B74">INDEX('Category Map'!$B$5:$B$25, MOD(ROW()-2, COUNTA('Category Map'!$B$5:$B$25))+1)</f>
        <v>Flue Gas Desulfurization</v>
      </c>
      <c r="C74" s="43" cm="1">
        <f t="array" aca="1" ref="C74" ca="1">_xlfn.XLOOKUP(B74,INDIRECT("'" &amp; A74 &amp; "'!G:G"),INDIRECT("'" &amp; A74 &amp; "'!H:H"),0,0,1)</f>
        <v>0</v>
      </c>
    </row>
    <row r="75" spans="1:3">
      <c r="A75" t="str" cm="1">
        <f t="array" ref="A75">INDEX('Table of Contents'!$B$5:$B$25, INT((ROW()-2)/COUNTA('Category Map'!$B$5:$B$25))+1)</f>
        <v>CaSO4</v>
      </c>
      <c r="B75" t="str" cm="1">
        <f t="array" ref="B75">INDEX('Category Map'!$B$5:$B$25, MOD(ROW()-2, COUNTA('Category Map'!$B$5:$B$25))+1)</f>
        <v>Glass Manufacturing</v>
      </c>
      <c r="C75" s="43" cm="1">
        <f t="array" aca="1" ref="C75" ca="1">_xlfn.XLOOKUP(B75,INDIRECT("'" &amp; A75 &amp; "'!G:G"),INDIRECT("'" &amp; A75 &amp; "'!H:H"),0,0,1)</f>
        <v>0</v>
      </c>
    </row>
    <row r="76" spans="1:3">
      <c r="A76" t="str" cm="1">
        <f t="array" ref="A76">INDEX('Table of Contents'!$B$5:$B$25, INT((ROW()-2)/COUNTA('Category Map'!$B$5:$B$25))+1)</f>
        <v>CaSO4</v>
      </c>
      <c r="B76" t="str" cm="1">
        <f t="array" ref="B76">INDEX('Category Map'!$B$5:$B$25, MOD(ROW()-2, COUNTA('Category Map'!$B$5:$B$25))+1)</f>
        <v>Gypsum-Based Building Materials</v>
      </c>
      <c r="C76" s="43" cm="1">
        <f t="array" aca="1" ref="C76" ca="1">_xlfn.XLOOKUP(B76,INDIRECT("'" &amp; A76 &amp; "'!G:G"),INDIRECT("'" &amp; A76 &amp; "'!H:H"),0,0,1)</f>
        <v>0.42003231017770598</v>
      </c>
    </row>
    <row r="77" spans="1:3">
      <c r="A77" t="str" cm="1">
        <f t="array" ref="A77">INDEX('Table of Contents'!$B$5:$B$25, INT((ROW()-2)/COUNTA('Category Map'!$B$5:$B$25))+1)</f>
        <v>CaSO4</v>
      </c>
      <c r="B77" t="str" cm="1">
        <f t="array" ref="B77">INDEX('Category Map'!$B$5:$B$25, MOD(ROW()-2, COUNTA('Category Map'!$B$5:$B$25))+1)</f>
        <v>Lime Manufacturing</v>
      </c>
      <c r="C77" s="43" cm="1">
        <f t="array" aca="1" ref="C77" ca="1">_xlfn.XLOOKUP(B77,INDIRECT("'" &amp; A77 &amp; "'!G:G"),INDIRECT("'" &amp; A77 &amp; "'!H:H"),0,0,1)</f>
        <v>0</v>
      </c>
    </row>
    <row r="78" spans="1:3">
      <c r="A78" t="str" cm="1">
        <f t="array" ref="A78">INDEX('Table of Contents'!$B$5:$B$25, INT((ROW()-2)/COUNTA('Category Map'!$B$5:$B$25))+1)</f>
        <v>CaSO4</v>
      </c>
      <c r="B78" t="str" cm="1">
        <f t="array" ref="B78">INDEX('Category Map'!$B$5:$B$25, MOD(ROW()-2, COUNTA('Category Map'!$B$5:$B$25))+1)</f>
        <v>Livestock</v>
      </c>
      <c r="C78" s="43" cm="1">
        <f t="array" aca="1" ref="C78" ca="1">_xlfn.XLOOKUP(B78,INDIRECT("'" &amp; A78 &amp; "'!G:G"),INDIRECT("'" &amp; A78 &amp; "'!H:H"),0,0,1)</f>
        <v>0</v>
      </c>
    </row>
    <row r="79" spans="1:3">
      <c r="A79" t="str" cm="1">
        <f t="array" ref="A79">INDEX('Table of Contents'!$B$5:$B$25, INT((ROW()-2)/COUNTA('Category Map'!$B$5:$B$25))+1)</f>
        <v>CaSO4</v>
      </c>
      <c r="B79" t="str" cm="1">
        <f t="array" ref="B79">INDEX('Category Map'!$B$5:$B$25, MOD(ROW()-2, COUNTA('Category Map'!$B$5:$B$25))+1)</f>
        <v>Miscellaneous Agricultural</v>
      </c>
      <c r="C79" s="43" cm="1">
        <f t="array" aca="1" ref="C79" ca="1">_xlfn.XLOOKUP(B79,INDIRECT("'" &amp; A79 &amp; "'!G:G"),INDIRECT("'" &amp; A79 &amp; "'!H:H"),0,0,1)</f>
        <v>0.3877221324717286</v>
      </c>
    </row>
    <row r="80" spans="1:3">
      <c r="A80" t="str" cm="1">
        <f t="array" ref="A80">INDEX('Table of Contents'!$B$5:$B$25, INT((ROW()-2)/COUNTA('Category Map'!$B$5:$B$25))+1)</f>
        <v>CaSO4</v>
      </c>
      <c r="B80" t="str" cm="1">
        <f t="array" ref="B80">INDEX('Category Map'!$B$5:$B$25, MOD(ROW()-2, COUNTA('Category Map'!$B$5:$B$25))+1)</f>
        <v>Miscellaneous Industrial</v>
      </c>
      <c r="C80" s="43" cm="1">
        <f t="array" aca="1" ref="C80" ca="1">_xlfn.XLOOKUP(B80,INDIRECT("'" &amp; A80 &amp; "'!G:G"),INDIRECT("'" &amp; A80 &amp; "'!H:H"),0,0,1)</f>
        <v>0</v>
      </c>
    </row>
    <row r="81" spans="1:3">
      <c r="A81" t="str" cm="1">
        <f t="array" ref="A81">INDEX('Table of Contents'!$B$5:$B$25, INT((ROW()-2)/COUNTA('Category Map'!$B$5:$B$25))+1)</f>
        <v>CaSO4</v>
      </c>
      <c r="B81" t="str" cm="1">
        <f t="array" ref="B81">INDEX('Category Map'!$B$5:$B$25, MOD(ROW()-2, COUNTA('Category Map'!$B$5:$B$25))+1)</f>
        <v>Oil and Gas</v>
      </c>
      <c r="C81" s="43" cm="1">
        <f t="array" aca="1" ref="C81" ca="1">_xlfn.XLOOKUP(B81,INDIRECT("'" &amp; A81 &amp; "'!G:G"),INDIRECT("'" &amp; A81 &amp; "'!H:H"),0,0,1)</f>
        <v>0</v>
      </c>
    </row>
    <row r="82" spans="1:3">
      <c r="A82" t="str" cm="1">
        <f t="array" ref="A82">INDEX('Table of Contents'!$B$5:$B$25, INT((ROW()-2)/COUNTA('Category Map'!$B$5:$B$25))+1)</f>
        <v>CaSO4</v>
      </c>
      <c r="B82" t="str" cm="1">
        <f t="array" ref="B82">INDEX('Category Map'!$B$5:$B$25, MOD(ROW()-2, COUNTA('Category Map'!$B$5:$B$25))+1)</f>
        <v>Other</v>
      </c>
      <c r="C82" s="43" cm="1">
        <f t="array" aca="1" ref="C82" ca="1">_xlfn.XLOOKUP(B82,INDIRECT("'" &amp; A82 &amp; "'!G:G"),INDIRECT("'" &amp; A82 &amp; "'!H:H"),0,0,1)</f>
        <v>7.3774905761981688E-2</v>
      </c>
    </row>
    <row r="83" spans="1:3">
      <c r="A83" t="str" cm="1">
        <f t="array" ref="A83">INDEX('Table of Contents'!$B$5:$B$25, INT((ROW()-2)/COUNTA('Category Map'!$B$5:$B$25))+1)</f>
        <v>CaSO4</v>
      </c>
      <c r="B83" t="str" cm="1">
        <f t="array" ref="B83">INDEX('Category Map'!$B$5:$B$25, MOD(ROW()-2, COUNTA('Category Map'!$B$5:$B$25))+1)</f>
        <v>Pulp and Paper</v>
      </c>
      <c r="C83" s="43" cm="1">
        <f t="array" aca="1" ref="C83" ca="1">_xlfn.XLOOKUP(B83,INDIRECT("'" &amp; A83 &amp; "'!G:G"),INDIRECT("'" &amp; A83 &amp; "'!H:H"),0,0,1)</f>
        <v>0</v>
      </c>
    </row>
    <row r="84" spans="1:3">
      <c r="A84" t="str" cm="1">
        <f t="array" ref="A84">INDEX('Table of Contents'!$B$5:$B$25, INT((ROW()-2)/COUNTA('Category Map'!$B$5:$B$25))+1)</f>
        <v>CaSO4</v>
      </c>
      <c r="B84" t="str" cm="1">
        <f t="array" ref="B84">INDEX('Category Map'!$B$5:$B$25, MOD(ROW()-2, COUNTA('Category Map'!$B$5:$B$25))+1)</f>
        <v>Steel Pickling</v>
      </c>
      <c r="C84" s="43" cm="1">
        <f t="array" aca="1" ref="C84" ca="1">_xlfn.XLOOKUP(B84,INDIRECT("'" &amp; A84 &amp; "'!G:G"),INDIRECT("'" &amp; A84 &amp; "'!H:H"),0,0,1)</f>
        <v>0</v>
      </c>
    </row>
    <row r="85" spans="1:3">
      <c r="A85" t="str" cm="1">
        <f t="array" ref="A85">INDEX('Table of Contents'!$B$5:$B$25, INT((ROW()-2)/COUNTA('Category Map'!$B$5:$B$25))+1)</f>
        <v>CaSO4</v>
      </c>
      <c r="B85" t="str" cm="1">
        <f t="array" ref="B85">INDEX('Category Map'!$B$5:$B$25, MOD(ROW()-2, COUNTA('Category Map'!$B$5:$B$25))+1)</f>
        <v>Water Treatment</v>
      </c>
      <c r="C85" s="43" cm="1">
        <f t="array" aca="1" ref="C85" ca="1">_xlfn.XLOOKUP(B85,INDIRECT("'" &amp; A85 &amp; "'!G:G"),INDIRECT("'" &amp; A85 &amp; "'!H:H"),0,0,1)</f>
        <v>0</v>
      </c>
    </row>
    <row r="86" spans="1:3">
      <c r="A86" t="str" cm="1">
        <f t="array" ref="A86">INDEX('Table of Contents'!$B$5:$B$25, INT((ROW()-2)/COUNTA('Category Map'!$B$5:$B$25))+1)</f>
        <v>KCl</v>
      </c>
      <c r="B86" t="str" cm="1">
        <f t="array" ref="B86">INDEX('Category Map'!$B$5:$B$25, MOD(ROW()-2, COUNTA('Category Map'!$B$5:$B$25))+1)</f>
        <v>Battery Manufacturing</v>
      </c>
      <c r="C86" s="43" cm="1">
        <f t="array" aca="1" ref="C86" ca="1">_xlfn.XLOOKUP(B86,INDIRECT("'" &amp; A86 &amp; "'!G:G"),INDIRECT("'" &amp; A86 &amp; "'!H:H"),0,0,1)</f>
        <v>0</v>
      </c>
    </row>
    <row r="87" spans="1:3">
      <c r="A87" t="str" cm="1">
        <f t="array" ref="A87">INDEX('Table of Contents'!$B$5:$B$25, INT((ROW()-2)/COUNTA('Category Map'!$B$5:$B$25))+1)</f>
        <v>KCl</v>
      </c>
      <c r="B87" t="str" cm="1">
        <f t="array" ref="B87">INDEX('Category Map'!$B$5:$B$25, MOD(ROW()-2, COUNTA('Category Map'!$B$5:$B$25))+1)</f>
        <v>Cement Manufacturing</v>
      </c>
      <c r="C87" s="43" cm="1">
        <f t="array" aca="1" ref="C87" ca="1">_xlfn.XLOOKUP(B87,INDIRECT("'" &amp; A87 &amp; "'!G:G"),INDIRECT("'" &amp; A87 &amp; "'!H:H"),0,0,1)</f>
        <v>0</v>
      </c>
    </row>
    <row r="88" spans="1:3">
      <c r="A88" t="str" cm="1">
        <f t="array" ref="A88">INDEX('Table of Contents'!$B$5:$B$25, INT((ROW()-2)/COUNTA('Category Map'!$B$5:$B$25))+1)</f>
        <v>KCl</v>
      </c>
      <c r="B88" t="str" cm="1">
        <f t="array" ref="B88">INDEX('Category Map'!$B$5:$B$25, MOD(ROW()-2, COUNTA('Category Map'!$B$5:$B$25))+1)</f>
        <v>Chemical Manufacturing</v>
      </c>
      <c r="C88" s="43" cm="1">
        <f t="array" aca="1" ref="C88" ca="1">_xlfn.XLOOKUP(B88,INDIRECT("'" &amp; A88 &amp; "'!G:G"),INDIRECT("'" &amp; A88 &amp; "'!H:H"),0,0,1)</f>
        <v>0</v>
      </c>
    </row>
    <row r="89" spans="1:3">
      <c r="A89" t="str" cm="1">
        <f t="array" ref="A89">INDEX('Table of Contents'!$B$5:$B$25, INT((ROW()-2)/COUNTA('Category Map'!$B$5:$B$25))+1)</f>
        <v>KCl</v>
      </c>
      <c r="B89" t="str" cm="1">
        <f t="array" ref="B89">INDEX('Category Map'!$B$5:$B$25, MOD(ROW()-2, COUNTA('Category Map'!$B$5:$B$25))+1)</f>
        <v>Chloralkali Process</v>
      </c>
      <c r="C89" s="43" cm="1">
        <f t="array" aca="1" ref="C89" ca="1">_xlfn.XLOOKUP(B89,INDIRECT("'" &amp; A89 &amp; "'!G:G"),INDIRECT("'" &amp; A89 &amp; "'!H:H"),0,0,1)</f>
        <v>0</v>
      </c>
    </row>
    <row r="90" spans="1:3">
      <c r="A90" t="str" cm="1">
        <f t="array" ref="A90">INDEX('Table of Contents'!$B$5:$B$25, INT((ROW()-2)/COUNTA('Category Map'!$B$5:$B$25))+1)</f>
        <v>KCl</v>
      </c>
      <c r="B90" t="str" cm="1">
        <f t="array" ref="B90">INDEX('Category Map'!$B$5:$B$25, MOD(ROW()-2, COUNTA('Category Map'!$B$5:$B$25))+1)</f>
        <v>Concrete</v>
      </c>
      <c r="C90" s="43" cm="1">
        <f t="array" aca="1" ref="C90" ca="1">_xlfn.XLOOKUP(B90,INDIRECT("'" &amp; A90 &amp; "'!G:G"),INDIRECT("'" &amp; A90 &amp; "'!H:H"),0,0,1)</f>
        <v>0</v>
      </c>
    </row>
    <row r="91" spans="1:3">
      <c r="A91" t="str" cm="1">
        <f t="array" ref="A91">INDEX('Table of Contents'!$B$5:$B$25, INT((ROW()-2)/COUNTA('Category Map'!$B$5:$B$25))+1)</f>
        <v>KCl</v>
      </c>
      <c r="B91" t="str" cm="1">
        <f t="array" ref="B91">INDEX('Category Map'!$B$5:$B$25, MOD(ROW()-2, COUNTA('Category Map'!$B$5:$B$25))+1)</f>
        <v>Construction Aggregate</v>
      </c>
      <c r="C91" s="43" cm="1">
        <f t="array" aca="1" ref="C91" ca="1">_xlfn.XLOOKUP(B91,INDIRECT("'" &amp; A91 &amp; "'!G:G"),INDIRECT("'" &amp; A91 &amp; "'!H:H"),0,0,1)</f>
        <v>0</v>
      </c>
    </row>
    <row r="92" spans="1:3">
      <c r="A92" t="str" cm="1">
        <f t="array" ref="A92">INDEX('Table of Contents'!$B$5:$B$25, INT((ROW()-2)/COUNTA('Category Map'!$B$5:$B$25))+1)</f>
        <v>KCl</v>
      </c>
      <c r="B92" t="str" cm="1">
        <f t="array" ref="B92">INDEX('Category Map'!$B$5:$B$25, MOD(ROW()-2, COUNTA('Category Map'!$B$5:$B$25))+1)</f>
        <v>Deicing</v>
      </c>
      <c r="C92" s="43" cm="1">
        <f t="array" aca="1" ref="C92" ca="1">_xlfn.XLOOKUP(B92,INDIRECT("'" &amp; A92 &amp; "'!G:G"),INDIRECT("'" &amp; A92 &amp; "'!H:H"),0,0,1)</f>
        <v>0</v>
      </c>
    </row>
    <row r="93" spans="1:3">
      <c r="A93" t="str" cm="1">
        <f t="array" ref="A93">INDEX('Table of Contents'!$B$5:$B$25, INT((ROW()-2)/COUNTA('Category Map'!$B$5:$B$25))+1)</f>
        <v>KCl</v>
      </c>
      <c r="B93" t="str" cm="1">
        <f t="array" ref="B93">INDEX('Category Map'!$B$5:$B$25, MOD(ROW()-2, COUNTA('Category Map'!$B$5:$B$25))+1)</f>
        <v>Dust Control</v>
      </c>
      <c r="C93" s="43" cm="1">
        <f t="array" aca="1" ref="C93" ca="1">_xlfn.XLOOKUP(B93,INDIRECT("'" &amp; A93 &amp; "'!G:G"),INDIRECT("'" &amp; A93 &amp; "'!H:H"),0,0,1)</f>
        <v>0</v>
      </c>
    </row>
    <row r="94" spans="1:3">
      <c r="A94" t="str" cm="1">
        <f t="array" ref="A94">INDEX('Table of Contents'!$B$5:$B$25, INT((ROW()-2)/COUNTA('Category Map'!$B$5:$B$25))+1)</f>
        <v>KCl</v>
      </c>
      <c r="B94" t="str" cm="1">
        <f t="array" ref="B94">INDEX('Category Map'!$B$5:$B$25, MOD(ROW()-2, COUNTA('Category Map'!$B$5:$B$25))+1)</f>
        <v>Fertilizer Manufacturing</v>
      </c>
      <c r="C94" s="43" cm="1">
        <f t="array" aca="1" ref="C94" ca="1">_xlfn.XLOOKUP(B94,INDIRECT("'" &amp; A94 &amp; "'!G:G"),INDIRECT("'" &amp; A94 &amp; "'!H:H"),0,0,1)</f>
        <v>0.85</v>
      </c>
    </row>
    <row r="95" spans="1:3">
      <c r="A95" t="str" cm="1">
        <f t="array" ref="A95">INDEX('Table of Contents'!$B$5:$B$25, INT((ROW()-2)/COUNTA('Category Map'!$B$5:$B$25))+1)</f>
        <v>KCl</v>
      </c>
      <c r="B95" t="str" cm="1">
        <f t="array" ref="B95">INDEX('Category Map'!$B$5:$B$25, MOD(ROW()-2, COUNTA('Category Map'!$B$5:$B$25))+1)</f>
        <v>Flue Gas Desulfurization</v>
      </c>
      <c r="C95" s="43" cm="1">
        <f t="array" aca="1" ref="C95" ca="1">_xlfn.XLOOKUP(B95,INDIRECT("'" &amp; A95 &amp; "'!G:G"),INDIRECT("'" &amp; A95 &amp; "'!H:H"),0,0,1)</f>
        <v>0</v>
      </c>
    </row>
    <row r="96" spans="1:3">
      <c r="A96" t="str" cm="1">
        <f t="array" ref="A96">INDEX('Table of Contents'!$B$5:$B$25, INT((ROW()-2)/COUNTA('Category Map'!$B$5:$B$25))+1)</f>
        <v>KCl</v>
      </c>
      <c r="B96" t="str" cm="1">
        <f t="array" ref="B96">INDEX('Category Map'!$B$5:$B$25, MOD(ROW()-2, COUNTA('Category Map'!$B$5:$B$25))+1)</f>
        <v>Glass Manufacturing</v>
      </c>
      <c r="C96" s="43" cm="1">
        <f t="array" aca="1" ref="C96" ca="1">_xlfn.XLOOKUP(B96,INDIRECT("'" &amp; A96 &amp; "'!G:G"),INDIRECT("'" &amp; A96 &amp; "'!H:H"),0,0,1)</f>
        <v>0</v>
      </c>
    </row>
    <row r="97" spans="1:3">
      <c r="A97" t="str" cm="1">
        <f t="array" ref="A97">INDEX('Table of Contents'!$B$5:$B$25, INT((ROW()-2)/COUNTA('Category Map'!$B$5:$B$25))+1)</f>
        <v>KCl</v>
      </c>
      <c r="B97" t="str" cm="1">
        <f t="array" ref="B97">INDEX('Category Map'!$B$5:$B$25, MOD(ROW()-2, COUNTA('Category Map'!$B$5:$B$25))+1)</f>
        <v>Gypsum-Based Building Materials</v>
      </c>
      <c r="C97" s="43" cm="1">
        <f t="array" aca="1" ref="C97" ca="1">_xlfn.XLOOKUP(B97,INDIRECT("'" &amp; A97 &amp; "'!G:G"),INDIRECT("'" &amp; A97 &amp; "'!H:H"),0,0,1)</f>
        <v>0</v>
      </c>
    </row>
    <row r="98" spans="1:3">
      <c r="A98" t="str" cm="1">
        <f t="array" ref="A98">INDEX('Table of Contents'!$B$5:$B$25, INT((ROW()-2)/COUNTA('Category Map'!$B$5:$B$25))+1)</f>
        <v>KCl</v>
      </c>
      <c r="B98" t="str" cm="1">
        <f t="array" ref="B98">INDEX('Category Map'!$B$5:$B$25, MOD(ROW()-2, COUNTA('Category Map'!$B$5:$B$25))+1)</f>
        <v>Lime Manufacturing</v>
      </c>
      <c r="C98" s="43" cm="1">
        <f t="array" aca="1" ref="C98" ca="1">_xlfn.XLOOKUP(B98,INDIRECT("'" &amp; A98 &amp; "'!G:G"),INDIRECT("'" &amp; A98 &amp; "'!H:H"),0,0,1)</f>
        <v>0</v>
      </c>
    </row>
    <row r="99" spans="1:3">
      <c r="A99" t="str" cm="1">
        <f t="array" ref="A99">INDEX('Table of Contents'!$B$5:$B$25, INT((ROW()-2)/COUNTA('Category Map'!$B$5:$B$25))+1)</f>
        <v>KCl</v>
      </c>
      <c r="B99" t="str" cm="1">
        <f t="array" ref="B99">INDEX('Category Map'!$B$5:$B$25, MOD(ROW()-2, COUNTA('Category Map'!$B$5:$B$25))+1)</f>
        <v>Livestock</v>
      </c>
      <c r="C99" s="43" cm="1">
        <f t="array" aca="1" ref="C99" ca="1">_xlfn.XLOOKUP(B99,INDIRECT("'" &amp; A99 &amp; "'!G:G"),INDIRECT("'" &amp; A99 &amp; "'!H:H"),0,0,1)</f>
        <v>0</v>
      </c>
    </row>
    <row r="100" spans="1:3">
      <c r="A100" t="str" cm="1">
        <f t="array" ref="A100">INDEX('Table of Contents'!$B$5:$B$25, INT((ROW()-2)/COUNTA('Category Map'!$B$5:$B$25))+1)</f>
        <v>KCl</v>
      </c>
      <c r="B100" t="str" cm="1">
        <f t="array" ref="B100">INDEX('Category Map'!$B$5:$B$25, MOD(ROW()-2, COUNTA('Category Map'!$B$5:$B$25))+1)</f>
        <v>Miscellaneous Agricultural</v>
      </c>
      <c r="C100" s="43" cm="1">
        <f t="array" aca="1" ref="C100" ca="1">_xlfn.XLOOKUP(B100,INDIRECT("'" &amp; A100 &amp; "'!G:G"),INDIRECT("'" &amp; A100 &amp; "'!H:H"),0,0,1)</f>
        <v>0</v>
      </c>
    </row>
    <row r="101" spans="1:3">
      <c r="A101" t="str" cm="1">
        <f t="array" ref="A101">INDEX('Table of Contents'!$B$5:$B$25, INT((ROW()-2)/COUNTA('Category Map'!$B$5:$B$25))+1)</f>
        <v>KCl</v>
      </c>
      <c r="B101" t="str" cm="1">
        <f t="array" ref="B101">INDEX('Category Map'!$B$5:$B$25, MOD(ROW()-2, COUNTA('Category Map'!$B$5:$B$25))+1)</f>
        <v>Miscellaneous Industrial</v>
      </c>
      <c r="C101" s="43" cm="1">
        <f t="array" aca="1" ref="C101" ca="1">_xlfn.XLOOKUP(B101,INDIRECT("'" &amp; A101 &amp; "'!G:G"),INDIRECT("'" &amp; A101 &amp; "'!H:H"),0,0,1)</f>
        <v>0.15</v>
      </c>
    </row>
    <row r="102" spans="1:3">
      <c r="A102" t="str" cm="1">
        <f t="array" ref="A102">INDEX('Table of Contents'!$B$5:$B$25, INT((ROW()-2)/COUNTA('Category Map'!$B$5:$B$25))+1)</f>
        <v>KCl</v>
      </c>
      <c r="B102" t="str" cm="1">
        <f t="array" ref="B102">INDEX('Category Map'!$B$5:$B$25, MOD(ROW()-2, COUNTA('Category Map'!$B$5:$B$25))+1)</f>
        <v>Oil and Gas</v>
      </c>
      <c r="C102" s="43" cm="1">
        <f t="array" aca="1" ref="C102" ca="1">_xlfn.XLOOKUP(B102,INDIRECT("'" &amp; A102 &amp; "'!G:G"),INDIRECT("'" &amp; A102 &amp; "'!H:H"),0,0,1)</f>
        <v>0</v>
      </c>
    </row>
    <row r="103" spans="1:3">
      <c r="A103" t="str" cm="1">
        <f t="array" ref="A103">INDEX('Table of Contents'!$B$5:$B$25, INT((ROW()-2)/COUNTA('Category Map'!$B$5:$B$25))+1)</f>
        <v>KCl</v>
      </c>
      <c r="B103" t="str" cm="1">
        <f t="array" ref="B103">INDEX('Category Map'!$B$5:$B$25, MOD(ROW()-2, COUNTA('Category Map'!$B$5:$B$25))+1)</f>
        <v>Other</v>
      </c>
      <c r="C103" s="43" cm="1">
        <f t="array" aca="1" ref="C103" ca="1">_xlfn.XLOOKUP(B103,INDIRECT("'" &amp; A103 &amp; "'!G:G"),INDIRECT("'" &amp; A103 &amp; "'!H:H"),0,0,1)</f>
        <v>0</v>
      </c>
    </row>
    <row r="104" spans="1:3">
      <c r="A104" t="str" cm="1">
        <f t="array" ref="A104">INDEX('Table of Contents'!$B$5:$B$25, INT((ROW()-2)/COUNTA('Category Map'!$B$5:$B$25))+1)</f>
        <v>KCl</v>
      </c>
      <c r="B104" t="str" cm="1">
        <f t="array" ref="B104">INDEX('Category Map'!$B$5:$B$25, MOD(ROW()-2, COUNTA('Category Map'!$B$5:$B$25))+1)</f>
        <v>Pulp and Paper</v>
      </c>
      <c r="C104" s="43" cm="1">
        <f t="array" aca="1" ref="C104" ca="1">_xlfn.XLOOKUP(B104,INDIRECT("'" &amp; A104 &amp; "'!G:G"),INDIRECT("'" &amp; A104 &amp; "'!H:H"),0,0,1)</f>
        <v>0</v>
      </c>
    </row>
    <row r="105" spans="1:3">
      <c r="A105" t="str" cm="1">
        <f t="array" ref="A105">INDEX('Table of Contents'!$B$5:$B$25, INT((ROW()-2)/COUNTA('Category Map'!$B$5:$B$25))+1)</f>
        <v>KCl</v>
      </c>
      <c r="B105" t="str" cm="1">
        <f t="array" ref="B105">INDEX('Category Map'!$B$5:$B$25, MOD(ROW()-2, COUNTA('Category Map'!$B$5:$B$25))+1)</f>
        <v>Steel Pickling</v>
      </c>
      <c r="C105" s="43" cm="1">
        <f t="array" aca="1" ref="C105" ca="1">_xlfn.XLOOKUP(B105,INDIRECT("'" &amp; A105 &amp; "'!G:G"),INDIRECT("'" &amp; A105 &amp; "'!H:H"),0,0,1)</f>
        <v>0</v>
      </c>
    </row>
    <row r="106" spans="1:3">
      <c r="A106" t="str" cm="1">
        <f t="array" ref="A106">INDEX('Table of Contents'!$B$5:$B$25, INT((ROW()-2)/COUNTA('Category Map'!$B$5:$B$25))+1)</f>
        <v>KCl</v>
      </c>
      <c r="B106" t="str" cm="1">
        <f t="array" ref="B106">INDEX('Category Map'!$B$5:$B$25, MOD(ROW()-2, COUNTA('Category Map'!$B$5:$B$25))+1)</f>
        <v>Water Treatment</v>
      </c>
      <c r="C106" s="43" cm="1">
        <f t="array" aca="1" ref="C106" ca="1">_xlfn.XLOOKUP(B106,INDIRECT("'" &amp; A106 &amp; "'!G:G"),INDIRECT("'" &amp; A106 &amp; "'!H:H"),0,0,1)</f>
        <v>0</v>
      </c>
    </row>
    <row r="107" spans="1:3">
      <c r="A107" t="str" cm="1">
        <f t="array" ref="A107">INDEX('Table of Contents'!$B$5:$B$25, INT((ROW()-2)/COUNTA('Category Map'!$B$5:$B$25))+1)</f>
        <v>LiCl</v>
      </c>
      <c r="B107" t="str" cm="1">
        <f t="array" ref="B107">INDEX('Category Map'!$B$5:$B$25, MOD(ROW()-2, COUNTA('Category Map'!$B$5:$B$25))+1)</f>
        <v>Battery Manufacturing</v>
      </c>
      <c r="C107" s="43" cm="1">
        <f t="array" aca="1" ref="C107" ca="1">_xlfn.XLOOKUP(B107,INDIRECT("'" &amp; A107 &amp; "'!G:G"),INDIRECT("'" &amp; A107 &amp; "'!H:H"),0,0,1)</f>
        <v>0.88</v>
      </c>
    </row>
    <row r="108" spans="1:3">
      <c r="A108" t="str" cm="1">
        <f t="array" ref="A108">INDEX('Table of Contents'!$B$5:$B$25, INT((ROW()-2)/COUNTA('Category Map'!$B$5:$B$25))+1)</f>
        <v>LiCl</v>
      </c>
      <c r="B108" t="str" cm="1">
        <f t="array" ref="B108">INDEX('Category Map'!$B$5:$B$25, MOD(ROW()-2, COUNTA('Category Map'!$B$5:$B$25))+1)</f>
        <v>Cement Manufacturing</v>
      </c>
      <c r="C108" s="43" cm="1">
        <f t="array" aca="1" ref="C108" ca="1">_xlfn.XLOOKUP(B108,INDIRECT("'" &amp; A108 &amp; "'!G:G"),INDIRECT("'" &amp; A108 &amp; "'!H:H"),0,0,1)</f>
        <v>0</v>
      </c>
    </row>
    <row r="109" spans="1:3">
      <c r="A109" t="str" cm="1">
        <f t="array" ref="A109">INDEX('Table of Contents'!$B$5:$B$25, INT((ROW()-2)/COUNTA('Category Map'!$B$5:$B$25))+1)</f>
        <v>LiCl</v>
      </c>
      <c r="B109" t="str" cm="1">
        <f t="array" ref="B109">INDEX('Category Map'!$B$5:$B$25, MOD(ROW()-2, COUNTA('Category Map'!$B$5:$B$25))+1)</f>
        <v>Chemical Manufacturing</v>
      </c>
      <c r="C109" s="43" cm="1">
        <f t="array" aca="1" ref="C109" ca="1">_xlfn.XLOOKUP(B109,INDIRECT("'" &amp; A109 &amp; "'!G:G"),INDIRECT("'" &amp; A109 &amp; "'!H:H"),0,0,1)</f>
        <v>0</v>
      </c>
    </row>
    <row r="110" spans="1:3">
      <c r="A110" t="str" cm="1">
        <f t="array" ref="A110">INDEX('Table of Contents'!$B$5:$B$25, INT((ROW()-2)/COUNTA('Category Map'!$B$5:$B$25))+1)</f>
        <v>LiCl</v>
      </c>
      <c r="B110" t="str" cm="1">
        <f t="array" ref="B110">INDEX('Category Map'!$B$5:$B$25, MOD(ROW()-2, COUNTA('Category Map'!$B$5:$B$25))+1)</f>
        <v>Chloralkali Process</v>
      </c>
      <c r="C110" s="43" cm="1">
        <f t="array" aca="1" ref="C110" ca="1">_xlfn.XLOOKUP(B110,INDIRECT("'" &amp; A110 &amp; "'!G:G"),INDIRECT("'" &amp; A110 &amp; "'!H:H"),0,0,1)</f>
        <v>0</v>
      </c>
    </row>
    <row r="111" spans="1:3">
      <c r="A111" t="str" cm="1">
        <f t="array" ref="A111">INDEX('Table of Contents'!$B$5:$B$25, INT((ROW()-2)/COUNTA('Category Map'!$B$5:$B$25))+1)</f>
        <v>LiCl</v>
      </c>
      <c r="B111" t="str" cm="1">
        <f t="array" ref="B111">INDEX('Category Map'!$B$5:$B$25, MOD(ROW()-2, COUNTA('Category Map'!$B$5:$B$25))+1)</f>
        <v>Concrete</v>
      </c>
      <c r="C111" s="43" cm="1">
        <f t="array" aca="1" ref="C111" ca="1">_xlfn.XLOOKUP(B111,INDIRECT("'" &amp; A111 &amp; "'!G:G"),INDIRECT("'" &amp; A111 &amp; "'!H:H"),0,0,1)</f>
        <v>0</v>
      </c>
    </row>
    <row r="112" spans="1:3">
      <c r="A112" t="str" cm="1">
        <f t="array" ref="A112">INDEX('Table of Contents'!$B$5:$B$25, INT((ROW()-2)/COUNTA('Category Map'!$B$5:$B$25))+1)</f>
        <v>LiCl</v>
      </c>
      <c r="B112" t="str" cm="1">
        <f t="array" ref="B112">INDEX('Category Map'!$B$5:$B$25, MOD(ROW()-2, COUNTA('Category Map'!$B$5:$B$25))+1)</f>
        <v>Construction Aggregate</v>
      </c>
      <c r="C112" s="43" cm="1">
        <f t="array" aca="1" ref="C112" ca="1">_xlfn.XLOOKUP(B112,INDIRECT("'" &amp; A112 &amp; "'!G:G"),INDIRECT("'" &amp; A112 &amp; "'!H:H"),0,0,1)</f>
        <v>0</v>
      </c>
    </row>
    <row r="113" spans="1:3">
      <c r="A113" t="str" cm="1">
        <f t="array" ref="A113">INDEX('Table of Contents'!$B$5:$B$25, INT((ROW()-2)/COUNTA('Category Map'!$B$5:$B$25))+1)</f>
        <v>LiCl</v>
      </c>
      <c r="B113" t="str" cm="1">
        <f t="array" ref="B113">INDEX('Category Map'!$B$5:$B$25, MOD(ROW()-2, COUNTA('Category Map'!$B$5:$B$25))+1)</f>
        <v>Deicing</v>
      </c>
      <c r="C113" s="43" cm="1">
        <f t="array" aca="1" ref="C113" ca="1">_xlfn.XLOOKUP(B113,INDIRECT("'" &amp; A113 &amp; "'!G:G"),INDIRECT("'" &amp; A113 &amp; "'!H:H"),0,0,1)</f>
        <v>0</v>
      </c>
    </row>
    <row r="114" spans="1:3">
      <c r="A114" t="str" cm="1">
        <f t="array" ref="A114">INDEX('Table of Contents'!$B$5:$B$25, INT((ROW()-2)/COUNTA('Category Map'!$B$5:$B$25))+1)</f>
        <v>LiCl</v>
      </c>
      <c r="B114" t="str" cm="1">
        <f t="array" ref="B114">INDEX('Category Map'!$B$5:$B$25, MOD(ROW()-2, COUNTA('Category Map'!$B$5:$B$25))+1)</f>
        <v>Dust Control</v>
      </c>
      <c r="C114" s="43" cm="1">
        <f t="array" aca="1" ref="C114" ca="1">_xlfn.XLOOKUP(B114,INDIRECT("'" &amp; A114 &amp; "'!G:G"),INDIRECT("'" &amp; A114 &amp; "'!H:H"),0,0,1)</f>
        <v>0</v>
      </c>
    </row>
    <row r="115" spans="1:3">
      <c r="A115" t="str" cm="1">
        <f t="array" ref="A115">INDEX('Table of Contents'!$B$5:$B$25, INT((ROW()-2)/COUNTA('Category Map'!$B$5:$B$25))+1)</f>
        <v>LiCl</v>
      </c>
      <c r="B115" t="str" cm="1">
        <f t="array" ref="B115">INDEX('Category Map'!$B$5:$B$25, MOD(ROW()-2, COUNTA('Category Map'!$B$5:$B$25))+1)</f>
        <v>Fertilizer Manufacturing</v>
      </c>
      <c r="C115" s="43" cm="1">
        <f t="array" aca="1" ref="C115" ca="1">_xlfn.XLOOKUP(B115,INDIRECT("'" &amp; A115 &amp; "'!G:G"),INDIRECT("'" &amp; A115 &amp; "'!H:H"),0,0,1)</f>
        <v>0</v>
      </c>
    </row>
    <row r="116" spans="1:3">
      <c r="A116" t="str" cm="1">
        <f t="array" ref="A116">INDEX('Table of Contents'!$B$5:$B$25, INT((ROW()-2)/COUNTA('Category Map'!$B$5:$B$25))+1)</f>
        <v>LiCl</v>
      </c>
      <c r="B116" t="str" cm="1">
        <f t="array" ref="B116">INDEX('Category Map'!$B$5:$B$25, MOD(ROW()-2, COUNTA('Category Map'!$B$5:$B$25))+1)</f>
        <v>Flue Gas Desulfurization</v>
      </c>
      <c r="C116" s="43" cm="1">
        <f t="array" aca="1" ref="C116" ca="1">_xlfn.XLOOKUP(B116,INDIRECT("'" &amp; A116 &amp; "'!G:G"),INDIRECT("'" &amp; A116 &amp; "'!H:H"),0,0,1)</f>
        <v>0</v>
      </c>
    </row>
    <row r="117" spans="1:3">
      <c r="A117" t="str" cm="1">
        <f t="array" ref="A117">INDEX('Table of Contents'!$B$5:$B$25, INT((ROW()-2)/COUNTA('Category Map'!$B$5:$B$25))+1)</f>
        <v>LiCl</v>
      </c>
      <c r="B117" t="str" cm="1">
        <f t="array" ref="B117">INDEX('Category Map'!$B$5:$B$25, MOD(ROW()-2, COUNTA('Category Map'!$B$5:$B$25))+1)</f>
        <v>Glass Manufacturing</v>
      </c>
      <c r="C117" s="43" cm="1">
        <f t="array" aca="1" ref="C117" ca="1">_xlfn.XLOOKUP(B117,INDIRECT("'" &amp; A117 &amp; "'!G:G"),INDIRECT("'" &amp; A117 &amp; "'!H:H"),0,0,1)</f>
        <v>0.04</v>
      </c>
    </row>
    <row r="118" spans="1:3">
      <c r="A118" t="str" cm="1">
        <f t="array" ref="A118">INDEX('Table of Contents'!$B$5:$B$25, INT((ROW()-2)/COUNTA('Category Map'!$B$5:$B$25))+1)</f>
        <v>LiCl</v>
      </c>
      <c r="B118" t="str" cm="1">
        <f t="array" ref="B118">INDEX('Category Map'!$B$5:$B$25, MOD(ROW()-2, COUNTA('Category Map'!$B$5:$B$25))+1)</f>
        <v>Gypsum-Based Building Materials</v>
      </c>
      <c r="C118" s="43" cm="1">
        <f t="array" aca="1" ref="C118" ca="1">_xlfn.XLOOKUP(B118,INDIRECT("'" &amp; A118 &amp; "'!G:G"),INDIRECT("'" &amp; A118 &amp; "'!H:H"),0,0,1)</f>
        <v>0</v>
      </c>
    </row>
    <row r="119" spans="1:3">
      <c r="A119" t="str" cm="1">
        <f t="array" ref="A119">INDEX('Table of Contents'!$B$5:$B$25, INT((ROW()-2)/COUNTA('Category Map'!$B$5:$B$25))+1)</f>
        <v>LiCl</v>
      </c>
      <c r="B119" t="str" cm="1">
        <f t="array" ref="B119">INDEX('Category Map'!$B$5:$B$25, MOD(ROW()-2, COUNTA('Category Map'!$B$5:$B$25))+1)</f>
        <v>Lime Manufacturing</v>
      </c>
      <c r="C119" s="43" cm="1">
        <f t="array" aca="1" ref="C119" ca="1">_xlfn.XLOOKUP(B119,INDIRECT("'" &amp; A119 &amp; "'!G:G"),INDIRECT("'" &amp; A119 &amp; "'!H:H"),0,0,1)</f>
        <v>0</v>
      </c>
    </row>
    <row r="120" spans="1:3">
      <c r="A120" t="str" cm="1">
        <f t="array" ref="A120">INDEX('Table of Contents'!$B$5:$B$25, INT((ROW()-2)/COUNTA('Category Map'!$B$5:$B$25))+1)</f>
        <v>LiCl</v>
      </c>
      <c r="B120" t="str" cm="1">
        <f t="array" ref="B120">INDEX('Category Map'!$B$5:$B$25, MOD(ROW()-2, COUNTA('Category Map'!$B$5:$B$25))+1)</f>
        <v>Livestock</v>
      </c>
      <c r="C120" s="43" cm="1">
        <f t="array" aca="1" ref="C120" ca="1">_xlfn.XLOOKUP(B120,INDIRECT("'" &amp; A120 &amp; "'!G:G"),INDIRECT("'" &amp; A120 &amp; "'!H:H"),0,0,1)</f>
        <v>0</v>
      </c>
    </row>
    <row r="121" spans="1:3">
      <c r="A121" t="str" cm="1">
        <f t="array" ref="A121">INDEX('Table of Contents'!$B$5:$B$25, INT((ROW()-2)/COUNTA('Category Map'!$B$5:$B$25))+1)</f>
        <v>LiCl</v>
      </c>
      <c r="B121" t="str" cm="1">
        <f t="array" ref="B121">INDEX('Category Map'!$B$5:$B$25, MOD(ROW()-2, COUNTA('Category Map'!$B$5:$B$25))+1)</f>
        <v>Miscellaneous Agricultural</v>
      </c>
      <c r="C121" s="43" cm="1">
        <f t="array" aca="1" ref="C121" ca="1">_xlfn.XLOOKUP(B121,INDIRECT("'" &amp; A121 &amp; "'!G:G"),INDIRECT("'" &amp; A121 &amp; "'!H:H"),0,0,1)</f>
        <v>0</v>
      </c>
    </row>
    <row r="122" spans="1:3">
      <c r="A122" t="str" cm="1">
        <f t="array" ref="A122">INDEX('Table of Contents'!$B$5:$B$25, INT((ROW()-2)/COUNTA('Category Map'!$B$5:$B$25))+1)</f>
        <v>LiCl</v>
      </c>
      <c r="B122" t="str" cm="1">
        <f t="array" ref="B122">INDEX('Category Map'!$B$5:$B$25, MOD(ROW()-2, COUNTA('Category Map'!$B$5:$B$25))+1)</f>
        <v>Miscellaneous Industrial</v>
      </c>
      <c r="C122" s="43" cm="1">
        <f t="array" aca="1" ref="C122" ca="1">_xlfn.XLOOKUP(B122,INDIRECT("'" &amp; A122 &amp; "'!G:G"),INDIRECT("'" &amp; A122 &amp; "'!H:H"),0,0,1)</f>
        <v>0.03</v>
      </c>
    </row>
    <row r="123" spans="1:3">
      <c r="A123" t="str" cm="1">
        <f t="array" ref="A123">INDEX('Table of Contents'!$B$5:$B$25, INT((ROW()-2)/COUNTA('Category Map'!$B$5:$B$25))+1)</f>
        <v>LiCl</v>
      </c>
      <c r="B123" t="str" cm="1">
        <f t="array" ref="B123">INDEX('Category Map'!$B$5:$B$25, MOD(ROW()-2, COUNTA('Category Map'!$B$5:$B$25))+1)</f>
        <v>Oil and Gas</v>
      </c>
      <c r="C123" s="43" cm="1">
        <f t="array" aca="1" ref="C123" ca="1">_xlfn.XLOOKUP(B123,INDIRECT("'" &amp; A123 &amp; "'!G:G"),INDIRECT("'" &amp; A123 &amp; "'!H:H"),0,0,1)</f>
        <v>0</v>
      </c>
    </row>
    <row r="124" spans="1:3">
      <c r="A124" t="str" cm="1">
        <f t="array" ref="A124">INDEX('Table of Contents'!$B$5:$B$25, INT((ROW()-2)/COUNTA('Category Map'!$B$5:$B$25))+1)</f>
        <v>LiCl</v>
      </c>
      <c r="B124" t="str" cm="1">
        <f t="array" ref="B124">INDEX('Category Map'!$B$5:$B$25, MOD(ROW()-2, COUNTA('Category Map'!$B$5:$B$25))+1)</f>
        <v>Other</v>
      </c>
      <c r="C124" s="43" cm="1">
        <f t="array" aca="1" ref="C124" ca="1">_xlfn.XLOOKUP(B124,INDIRECT("'" &amp; A124 &amp; "'!G:G"),INDIRECT("'" &amp; A124 &amp; "'!H:H"),0,0,1)</f>
        <v>0.05</v>
      </c>
    </row>
    <row r="125" spans="1:3">
      <c r="A125" t="str" cm="1">
        <f t="array" ref="A125">INDEX('Table of Contents'!$B$5:$B$25, INT((ROW()-2)/COUNTA('Category Map'!$B$5:$B$25))+1)</f>
        <v>LiCl</v>
      </c>
      <c r="B125" t="str" cm="1">
        <f t="array" ref="B125">INDEX('Category Map'!$B$5:$B$25, MOD(ROW()-2, COUNTA('Category Map'!$B$5:$B$25))+1)</f>
        <v>Pulp and Paper</v>
      </c>
      <c r="C125" s="43" cm="1">
        <f t="array" aca="1" ref="C125" ca="1">_xlfn.XLOOKUP(B125,INDIRECT("'" &amp; A125 &amp; "'!G:G"),INDIRECT("'" &amp; A125 &amp; "'!H:H"),0,0,1)</f>
        <v>0</v>
      </c>
    </row>
    <row r="126" spans="1:3">
      <c r="A126" t="str" cm="1">
        <f t="array" ref="A126">INDEX('Table of Contents'!$B$5:$B$25, INT((ROW()-2)/COUNTA('Category Map'!$B$5:$B$25))+1)</f>
        <v>LiCl</v>
      </c>
      <c r="B126" t="str" cm="1">
        <f t="array" ref="B126">INDEX('Category Map'!$B$5:$B$25, MOD(ROW()-2, COUNTA('Category Map'!$B$5:$B$25))+1)</f>
        <v>Steel Pickling</v>
      </c>
      <c r="C126" s="43" cm="1">
        <f t="array" aca="1" ref="C126" ca="1">_xlfn.XLOOKUP(B126,INDIRECT("'" &amp; A126 &amp; "'!G:G"),INDIRECT("'" &amp; A126 &amp; "'!H:H"),0,0,1)</f>
        <v>0</v>
      </c>
    </row>
    <row r="127" spans="1:3">
      <c r="A127" t="str" cm="1">
        <f t="array" ref="A127">INDEX('Table of Contents'!$B$5:$B$25, INT((ROW()-2)/COUNTA('Category Map'!$B$5:$B$25))+1)</f>
        <v>LiCl</v>
      </c>
      <c r="B127" t="str" cm="1">
        <f t="array" ref="B127">INDEX('Category Map'!$B$5:$B$25, MOD(ROW()-2, COUNTA('Category Map'!$B$5:$B$25))+1)</f>
        <v>Water Treatment</v>
      </c>
      <c r="C127" s="43" cm="1">
        <f t="array" aca="1" ref="C127" ca="1">_xlfn.XLOOKUP(B127,INDIRECT("'" &amp; A127 &amp; "'!G:G"),INDIRECT("'" &amp; A127 &amp; "'!H:H"),0,0,1)</f>
        <v>0</v>
      </c>
    </row>
    <row r="128" spans="1:3">
      <c r="A128" t="str" cm="1">
        <f t="array" ref="A128">INDEX('Table of Contents'!$B$5:$B$25, INT((ROW()-2)/COUNTA('Category Map'!$B$5:$B$25))+1)</f>
        <v>Li2CO3</v>
      </c>
      <c r="B128" t="str" cm="1">
        <f t="array" ref="B128">INDEX('Category Map'!$B$5:$B$25, MOD(ROW()-2, COUNTA('Category Map'!$B$5:$B$25))+1)</f>
        <v>Battery Manufacturing</v>
      </c>
      <c r="C128" s="43" cm="1">
        <f t="array" aca="1" ref="C128" ca="1">_xlfn.XLOOKUP(B128,INDIRECT("'" &amp; A128 &amp; "'!G:G"),INDIRECT("'" &amp; A128 &amp; "'!H:H"),0,0,1)</f>
        <v>0.88</v>
      </c>
    </row>
    <row r="129" spans="1:3">
      <c r="A129" t="str" cm="1">
        <f t="array" ref="A129">INDEX('Table of Contents'!$B$5:$B$25, INT((ROW()-2)/COUNTA('Category Map'!$B$5:$B$25))+1)</f>
        <v>Li2CO3</v>
      </c>
      <c r="B129" t="str" cm="1">
        <f t="array" ref="B129">INDEX('Category Map'!$B$5:$B$25, MOD(ROW()-2, COUNTA('Category Map'!$B$5:$B$25))+1)</f>
        <v>Cement Manufacturing</v>
      </c>
      <c r="C129" s="43" cm="1">
        <f t="array" aca="1" ref="C129" ca="1">_xlfn.XLOOKUP(B129,INDIRECT("'" &amp; A129 &amp; "'!G:G"),INDIRECT("'" &amp; A129 &amp; "'!H:H"),0,0,1)</f>
        <v>0</v>
      </c>
    </row>
    <row r="130" spans="1:3">
      <c r="A130" t="str" cm="1">
        <f t="array" ref="A130">INDEX('Table of Contents'!$B$5:$B$25, INT((ROW()-2)/COUNTA('Category Map'!$B$5:$B$25))+1)</f>
        <v>Li2CO3</v>
      </c>
      <c r="B130" t="str" cm="1">
        <f t="array" ref="B130">INDEX('Category Map'!$B$5:$B$25, MOD(ROW()-2, COUNTA('Category Map'!$B$5:$B$25))+1)</f>
        <v>Chemical Manufacturing</v>
      </c>
      <c r="C130" s="43" cm="1">
        <f t="array" aca="1" ref="C130" ca="1">_xlfn.XLOOKUP(B130,INDIRECT("'" &amp; A130 &amp; "'!G:G"),INDIRECT("'" &amp; A130 &amp; "'!H:H"),0,0,1)</f>
        <v>0</v>
      </c>
    </row>
    <row r="131" spans="1:3">
      <c r="A131" t="str" cm="1">
        <f t="array" ref="A131">INDEX('Table of Contents'!$B$5:$B$25, INT((ROW()-2)/COUNTA('Category Map'!$B$5:$B$25))+1)</f>
        <v>Li2CO3</v>
      </c>
      <c r="B131" t="str" cm="1">
        <f t="array" ref="B131">INDEX('Category Map'!$B$5:$B$25, MOD(ROW()-2, COUNTA('Category Map'!$B$5:$B$25))+1)</f>
        <v>Chloralkali Process</v>
      </c>
      <c r="C131" s="43" cm="1">
        <f t="array" aca="1" ref="C131" ca="1">_xlfn.XLOOKUP(B131,INDIRECT("'" &amp; A131 &amp; "'!G:G"),INDIRECT("'" &amp; A131 &amp; "'!H:H"),0,0,1)</f>
        <v>0</v>
      </c>
    </row>
    <row r="132" spans="1:3">
      <c r="A132" t="str" cm="1">
        <f t="array" ref="A132">INDEX('Table of Contents'!$B$5:$B$25, INT((ROW()-2)/COUNTA('Category Map'!$B$5:$B$25))+1)</f>
        <v>Li2CO3</v>
      </c>
      <c r="B132" t="str" cm="1">
        <f t="array" ref="B132">INDEX('Category Map'!$B$5:$B$25, MOD(ROW()-2, COUNTA('Category Map'!$B$5:$B$25))+1)</f>
        <v>Concrete</v>
      </c>
      <c r="C132" s="43" cm="1">
        <f t="array" aca="1" ref="C132" ca="1">_xlfn.XLOOKUP(B132,INDIRECT("'" &amp; A132 &amp; "'!G:G"),INDIRECT("'" &amp; A132 &amp; "'!H:H"),0,0,1)</f>
        <v>0</v>
      </c>
    </row>
    <row r="133" spans="1:3">
      <c r="A133" t="str" cm="1">
        <f t="array" ref="A133">INDEX('Table of Contents'!$B$5:$B$25, INT((ROW()-2)/COUNTA('Category Map'!$B$5:$B$25))+1)</f>
        <v>Li2CO3</v>
      </c>
      <c r="B133" t="str" cm="1">
        <f t="array" ref="B133">INDEX('Category Map'!$B$5:$B$25, MOD(ROW()-2, COUNTA('Category Map'!$B$5:$B$25))+1)</f>
        <v>Construction Aggregate</v>
      </c>
      <c r="C133" s="43" cm="1">
        <f t="array" aca="1" ref="C133" ca="1">_xlfn.XLOOKUP(B133,INDIRECT("'" &amp; A133 &amp; "'!G:G"),INDIRECT("'" &amp; A133 &amp; "'!H:H"),0,0,1)</f>
        <v>0</v>
      </c>
    </row>
    <row r="134" spans="1:3">
      <c r="A134" t="str" cm="1">
        <f t="array" ref="A134">INDEX('Table of Contents'!$B$5:$B$25, INT((ROW()-2)/COUNTA('Category Map'!$B$5:$B$25))+1)</f>
        <v>Li2CO3</v>
      </c>
      <c r="B134" t="str" cm="1">
        <f t="array" ref="B134">INDEX('Category Map'!$B$5:$B$25, MOD(ROW()-2, COUNTA('Category Map'!$B$5:$B$25))+1)</f>
        <v>Deicing</v>
      </c>
      <c r="C134" s="43" cm="1">
        <f t="array" aca="1" ref="C134" ca="1">_xlfn.XLOOKUP(B134,INDIRECT("'" &amp; A134 &amp; "'!G:G"),INDIRECT("'" &amp; A134 &amp; "'!H:H"),0,0,1)</f>
        <v>0</v>
      </c>
    </row>
    <row r="135" spans="1:3">
      <c r="A135" t="str" cm="1">
        <f t="array" ref="A135">INDEX('Table of Contents'!$B$5:$B$25, INT((ROW()-2)/COUNTA('Category Map'!$B$5:$B$25))+1)</f>
        <v>Li2CO3</v>
      </c>
      <c r="B135" t="str" cm="1">
        <f t="array" ref="B135">INDEX('Category Map'!$B$5:$B$25, MOD(ROW()-2, COUNTA('Category Map'!$B$5:$B$25))+1)</f>
        <v>Dust Control</v>
      </c>
      <c r="C135" s="43" cm="1">
        <f t="array" aca="1" ref="C135" ca="1">_xlfn.XLOOKUP(B135,INDIRECT("'" &amp; A135 &amp; "'!G:G"),INDIRECT("'" &amp; A135 &amp; "'!H:H"),0,0,1)</f>
        <v>0</v>
      </c>
    </row>
    <row r="136" spans="1:3">
      <c r="A136" t="str" cm="1">
        <f t="array" ref="A136">INDEX('Table of Contents'!$B$5:$B$25, INT((ROW()-2)/COUNTA('Category Map'!$B$5:$B$25))+1)</f>
        <v>Li2CO3</v>
      </c>
      <c r="B136" t="str" cm="1">
        <f t="array" ref="B136">INDEX('Category Map'!$B$5:$B$25, MOD(ROW()-2, COUNTA('Category Map'!$B$5:$B$25))+1)</f>
        <v>Fertilizer Manufacturing</v>
      </c>
      <c r="C136" s="43" cm="1">
        <f t="array" aca="1" ref="C136" ca="1">_xlfn.XLOOKUP(B136,INDIRECT("'" &amp; A136 &amp; "'!G:G"),INDIRECT("'" &amp; A136 &amp; "'!H:H"),0,0,1)</f>
        <v>0</v>
      </c>
    </row>
    <row r="137" spans="1:3">
      <c r="A137" t="str" cm="1">
        <f t="array" ref="A137">INDEX('Table of Contents'!$B$5:$B$25, INT((ROW()-2)/COUNTA('Category Map'!$B$5:$B$25))+1)</f>
        <v>Li2CO3</v>
      </c>
      <c r="B137" t="str" cm="1">
        <f t="array" ref="B137">INDEX('Category Map'!$B$5:$B$25, MOD(ROW()-2, COUNTA('Category Map'!$B$5:$B$25))+1)</f>
        <v>Flue Gas Desulfurization</v>
      </c>
      <c r="C137" s="43" cm="1">
        <f t="array" aca="1" ref="C137" ca="1">_xlfn.XLOOKUP(B137,INDIRECT("'" &amp; A137 &amp; "'!G:G"),INDIRECT("'" &amp; A137 &amp; "'!H:H"),0,0,1)</f>
        <v>0</v>
      </c>
    </row>
    <row r="138" spans="1:3">
      <c r="A138" t="str" cm="1">
        <f t="array" ref="A138">INDEX('Table of Contents'!$B$5:$B$25, INT((ROW()-2)/COUNTA('Category Map'!$B$5:$B$25))+1)</f>
        <v>Li2CO3</v>
      </c>
      <c r="B138" t="str" cm="1">
        <f t="array" ref="B138">INDEX('Category Map'!$B$5:$B$25, MOD(ROW()-2, COUNTA('Category Map'!$B$5:$B$25))+1)</f>
        <v>Glass Manufacturing</v>
      </c>
      <c r="C138" s="43" cm="1">
        <f t="array" aca="1" ref="C138" ca="1">_xlfn.XLOOKUP(B138,INDIRECT("'" &amp; A138 &amp; "'!G:G"),INDIRECT("'" &amp; A138 &amp; "'!H:H"),0,0,1)</f>
        <v>0.04</v>
      </c>
    </row>
    <row r="139" spans="1:3">
      <c r="A139" t="str" cm="1">
        <f t="array" ref="A139">INDEX('Table of Contents'!$B$5:$B$25, INT((ROW()-2)/COUNTA('Category Map'!$B$5:$B$25))+1)</f>
        <v>Li2CO3</v>
      </c>
      <c r="B139" t="str" cm="1">
        <f t="array" ref="B139">INDEX('Category Map'!$B$5:$B$25, MOD(ROW()-2, COUNTA('Category Map'!$B$5:$B$25))+1)</f>
        <v>Gypsum-Based Building Materials</v>
      </c>
      <c r="C139" s="43" cm="1">
        <f t="array" aca="1" ref="C139" ca="1">_xlfn.XLOOKUP(B139,INDIRECT("'" &amp; A139 &amp; "'!G:G"),INDIRECT("'" &amp; A139 &amp; "'!H:H"),0,0,1)</f>
        <v>0</v>
      </c>
    </row>
    <row r="140" spans="1:3">
      <c r="A140" t="str" cm="1">
        <f t="array" ref="A140">INDEX('Table of Contents'!$B$5:$B$25, INT((ROW()-2)/COUNTA('Category Map'!$B$5:$B$25))+1)</f>
        <v>Li2CO3</v>
      </c>
      <c r="B140" t="str" cm="1">
        <f t="array" ref="B140">INDEX('Category Map'!$B$5:$B$25, MOD(ROW()-2, COUNTA('Category Map'!$B$5:$B$25))+1)</f>
        <v>Lime Manufacturing</v>
      </c>
      <c r="C140" s="43" cm="1">
        <f t="array" aca="1" ref="C140" ca="1">_xlfn.XLOOKUP(B140,INDIRECT("'" &amp; A140 &amp; "'!G:G"),INDIRECT("'" &amp; A140 &amp; "'!H:H"),0,0,1)</f>
        <v>0</v>
      </c>
    </row>
    <row r="141" spans="1:3">
      <c r="A141" t="str" cm="1">
        <f t="array" ref="A141">INDEX('Table of Contents'!$B$5:$B$25, INT((ROW()-2)/COUNTA('Category Map'!$B$5:$B$25))+1)</f>
        <v>Li2CO3</v>
      </c>
      <c r="B141" t="str" cm="1">
        <f t="array" ref="B141">INDEX('Category Map'!$B$5:$B$25, MOD(ROW()-2, COUNTA('Category Map'!$B$5:$B$25))+1)</f>
        <v>Livestock</v>
      </c>
      <c r="C141" s="43" cm="1">
        <f t="array" aca="1" ref="C141" ca="1">_xlfn.XLOOKUP(B141,INDIRECT("'" &amp; A141 &amp; "'!G:G"),INDIRECT("'" &amp; A141 &amp; "'!H:H"),0,0,1)</f>
        <v>0</v>
      </c>
    </row>
    <row r="142" spans="1:3">
      <c r="A142" t="str" cm="1">
        <f t="array" ref="A142">INDEX('Table of Contents'!$B$5:$B$25, INT((ROW()-2)/COUNTA('Category Map'!$B$5:$B$25))+1)</f>
        <v>Li2CO3</v>
      </c>
      <c r="B142" t="str" cm="1">
        <f t="array" ref="B142">INDEX('Category Map'!$B$5:$B$25, MOD(ROW()-2, COUNTA('Category Map'!$B$5:$B$25))+1)</f>
        <v>Miscellaneous Agricultural</v>
      </c>
      <c r="C142" s="43" cm="1">
        <f t="array" aca="1" ref="C142" ca="1">_xlfn.XLOOKUP(B142,INDIRECT("'" &amp; A142 &amp; "'!G:G"),INDIRECT("'" &amp; A142 &amp; "'!H:H"),0,0,1)</f>
        <v>0</v>
      </c>
    </row>
    <row r="143" spans="1:3">
      <c r="A143" t="str" cm="1">
        <f t="array" ref="A143">INDEX('Table of Contents'!$B$5:$B$25, INT((ROW()-2)/COUNTA('Category Map'!$B$5:$B$25))+1)</f>
        <v>Li2CO3</v>
      </c>
      <c r="B143" t="str" cm="1">
        <f t="array" ref="B143">INDEX('Category Map'!$B$5:$B$25, MOD(ROW()-2, COUNTA('Category Map'!$B$5:$B$25))+1)</f>
        <v>Miscellaneous Industrial</v>
      </c>
      <c r="C143" s="43" cm="1">
        <f t="array" aca="1" ref="C143" ca="1">_xlfn.XLOOKUP(B143,INDIRECT("'" &amp; A143 &amp; "'!G:G"),INDIRECT("'" &amp; A143 &amp; "'!H:H"),0,0,1)</f>
        <v>0.03</v>
      </c>
    </row>
    <row r="144" spans="1:3">
      <c r="A144" t="str" cm="1">
        <f t="array" ref="A144">INDEX('Table of Contents'!$B$5:$B$25, INT((ROW()-2)/COUNTA('Category Map'!$B$5:$B$25))+1)</f>
        <v>Li2CO3</v>
      </c>
      <c r="B144" t="str" cm="1">
        <f t="array" ref="B144">INDEX('Category Map'!$B$5:$B$25, MOD(ROW()-2, COUNTA('Category Map'!$B$5:$B$25))+1)</f>
        <v>Oil and Gas</v>
      </c>
      <c r="C144" s="43" cm="1">
        <f t="array" aca="1" ref="C144" ca="1">_xlfn.XLOOKUP(B144,INDIRECT("'" &amp; A144 &amp; "'!G:G"),INDIRECT("'" &amp; A144 &amp; "'!H:H"),0,0,1)</f>
        <v>0</v>
      </c>
    </row>
    <row r="145" spans="1:3">
      <c r="A145" t="str" cm="1">
        <f t="array" ref="A145">INDEX('Table of Contents'!$B$5:$B$25, INT((ROW()-2)/COUNTA('Category Map'!$B$5:$B$25))+1)</f>
        <v>Li2CO3</v>
      </c>
      <c r="B145" t="str" cm="1">
        <f t="array" ref="B145">INDEX('Category Map'!$B$5:$B$25, MOD(ROW()-2, COUNTA('Category Map'!$B$5:$B$25))+1)</f>
        <v>Other</v>
      </c>
      <c r="C145" s="43" cm="1">
        <f t="array" aca="1" ref="C145" ca="1">_xlfn.XLOOKUP(B145,INDIRECT("'" &amp; A145 &amp; "'!G:G"),INDIRECT("'" &amp; A145 &amp; "'!H:H"),0,0,1)</f>
        <v>0.05</v>
      </c>
    </row>
    <row r="146" spans="1:3">
      <c r="A146" t="str" cm="1">
        <f t="array" ref="A146">INDEX('Table of Contents'!$B$5:$B$25, INT((ROW()-2)/COUNTA('Category Map'!$B$5:$B$25))+1)</f>
        <v>Li2CO3</v>
      </c>
      <c r="B146" t="str" cm="1">
        <f t="array" ref="B146">INDEX('Category Map'!$B$5:$B$25, MOD(ROW()-2, COUNTA('Category Map'!$B$5:$B$25))+1)</f>
        <v>Pulp and Paper</v>
      </c>
      <c r="C146" s="43" cm="1">
        <f t="array" aca="1" ref="C146" ca="1">_xlfn.XLOOKUP(B146,INDIRECT("'" &amp; A146 &amp; "'!G:G"),INDIRECT("'" &amp; A146 &amp; "'!H:H"),0,0,1)</f>
        <v>0</v>
      </c>
    </row>
    <row r="147" spans="1:3">
      <c r="A147" t="str" cm="1">
        <f t="array" ref="A147">INDEX('Table of Contents'!$B$5:$B$25, INT((ROW()-2)/COUNTA('Category Map'!$B$5:$B$25))+1)</f>
        <v>Li2CO3</v>
      </c>
      <c r="B147" t="str" cm="1">
        <f t="array" ref="B147">INDEX('Category Map'!$B$5:$B$25, MOD(ROW()-2, COUNTA('Category Map'!$B$5:$B$25))+1)</f>
        <v>Steel Pickling</v>
      </c>
      <c r="C147" s="43" cm="1">
        <f t="array" aca="1" ref="C147" ca="1">_xlfn.XLOOKUP(B147,INDIRECT("'" &amp; A147 &amp; "'!G:G"),INDIRECT("'" &amp; A147 &amp; "'!H:H"),0,0,1)</f>
        <v>0</v>
      </c>
    </row>
    <row r="148" spans="1:3">
      <c r="A148" t="str" cm="1">
        <f t="array" ref="A148">INDEX('Table of Contents'!$B$5:$B$25, INT((ROW()-2)/COUNTA('Category Map'!$B$5:$B$25))+1)</f>
        <v>Li2CO3</v>
      </c>
      <c r="B148" t="str" cm="1">
        <f t="array" ref="B148">INDEX('Category Map'!$B$5:$B$25, MOD(ROW()-2, COUNTA('Category Map'!$B$5:$B$25))+1)</f>
        <v>Water Treatment</v>
      </c>
      <c r="C148" s="43" cm="1">
        <f t="array" aca="1" ref="C148" ca="1">_xlfn.XLOOKUP(B148,INDIRECT("'" &amp; A148 &amp; "'!G:G"),INDIRECT("'" &amp; A148 &amp; "'!H:H"),0,0,1)</f>
        <v>0</v>
      </c>
    </row>
    <row r="149" spans="1:3">
      <c r="A149" t="str" cm="1">
        <f t="array" ref="A149">INDEX('Table of Contents'!$B$5:$B$25, INT((ROW()-2)/COUNTA('Category Map'!$B$5:$B$25))+1)</f>
        <v>LiOH</v>
      </c>
      <c r="B149" t="str" cm="1">
        <f t="array" ref="B149">INDEX('Category Map'!$B$5:$B$25, MOD(ROW()-2, COUNTA('Category Map'!$B$5:$B$25))+1)</f>
        <v>Battery Manufacturing</v>
      </c>
      <c r="C149" s="43" cm="1">
        <f t="array" aca="1" ref="C149" ca="1">_xlfn.XLOOKUP(B149,INDIRECT("'" &amp; A149 &amp; "'!G:G"),INDIRECT("'" &amp; A149 &amp; "'!H:H"),0,0,1)</f>
        <v>0.88</v>
      </c>
    </row>
    <row r="150" spans="1:3">
      <c r="A150" t="str" cm="1">
        <f t="array" ref="A150">INDEX('Table of Contents'!$B$5:$B$25, INT((ROW()-2)/COUNTA('Category Map'!$B$5:$B$25))+1)</f>
        <v>LiOH</v>
      </c>
      <c r="B150" t="str" cm="1">
        <f t="array" ref="B150">INDEX('Category Map'!$B$5:$B$25, MOD(ROW()-2, COUNTA('Category Map'!$B$5:$B$25))+1)</f>
        <v>Cement Manufacturing</v>
      </c>
      <c r="C150" s="43" cm="1">
        <f t="array" aca="1" ref="C150" ca="1">_xlfn.XLOOKUP(B150,INDIRECT("'" &amp; A150 &amp; "'!G:G"),INDIRECT("'" &amp; A150 &amp; "'!H:H"),0,0,1)</f>
        <v>0</v>
      </c>
    </row>
    <row r="151" spans="1:3">
      <c r="A151" t="str" cm="1">
        <f t="array" ref="A151">INDEX('Table of Contents'!$B$5:$B$25, INT((ROW()-2)/COUNTA('Category Map'!$B$5:$B$25))+1)</f>
        <v>LiOH</v>
      </c>
      <c r="B151" t="str" cm="1">
        <f t="array" ref="B151">INDEX('Category Map'!$B$5:$B$25, MOD(ROW()-2, COUNTA('Category Map'!$B$5:$B$25))+1)</f>
        <v>Chemical Manufacturing</v>
      </c>
      <c r="C151" s="43" cm="1">
        <f t="array" aca="1" ref="C151" ca="1">_xlfn.XLOOKUP(B151,INDIRECT("'" &amp; A151 &amp; "'!G:G"),INDIRECT("'" &amp; A151 &amp; "'!H:H"),0,0,1)</f>
        <v>0</v>
      </c>
    </row>
    <row r="152" spans="1:3">
      <c r="A152" t="str" cm="1">
        <f t="array" ref="A152">INDEX('Table of Contents'!$B$5:$B$25, INT((ROW()-2)/COUNTA('Category Map'!$B$5:$B$25))+1)</f>
        <v>LiOH</v>
      </c>
      <c r="B152" t="str" cm="1">
        <f t="array" ref="B152">INDEX('Category Map'!$B$5:$B$25, MOD(ROW()-2, COUNTA('Category Map'!$B$5:$B$25))+1)</f>
        <v>Chloralkali Process</v>
      </c>
      <c r="C152" s="43" cm="1">
        <f t="array" aca="1" ref="C152" ca="1">_xlfn.XLOOKUP(B152,INDIRECT("'" &amp; A152 &amp; "'!G:G"),INDIRECT("'" &amp; A152 &amp; "'!H:H"),0,0,1)</f>
        <v>0</v>
      </c>
    </row>
    <row r="153" spans="1:3">
      <c r="A153" t="str" cm="1">
        <f t="array" ref="A153">INDEX('Table of Contents'!$B$5:$B$25, INT((ROW()-2)/COUNTA('Category Map'!$B$5:$B$25))+1)</f>
        <v>LiOH</v>
      </c>
      <c r="B153" t="str" cm="1">
        <f t="array" ref="B153">INDEX('Category Map'!$B$5:$B$25, MOD(ROW()-2, COUNTA('Category Map'!$B$5:$B$25))+1)</f>
        <v>Concrete</v>
      </c>
      <c r="C153" s="43" cm="1">
        <f t="array" aca="1" ref="C153" ca="1">_xlfn.XLOOKUP(B153,INDIRECT("'" &amp; A153 &amp; "'!G:G"),INDIRECT("'" &amp; A153 &amp; "'!H:H"),0,0,1)</f>
        <v>0</v>
      </c>
    </row>
    <row r="154" spans="1:3">
      <c r="A154" t="str" cm="1">
        <f t="array" ref="A154">INDEX('Table of Contents'!$B$5:$B$25, INT((ROW()-2)/COUNTA('Category Map'!$B$5:$B$25))+1)</f>
        <v>LiOH</v>
      </c>
      <c r="B154" t="str" cm="1">
        <f t="array" ref="B154">INDEX('Category Map'!$B$5:$B$25, MOD(ROW()-2, COUNTA('Category Map'!$B$5:$B$25))+1)</f>
        <v>Construction Aggregate</v>
      </c>
      <c r="C154" s="43" cm="1">
        <f t="array" aca="1" ref="C154" ca="1">_xlfn.XLOOKUP(B154,INDIRECT("'" &amp; A154 &amp; "'!G:G"),INDIRECT("'" &amp; A154 &amp; "'!H:H"),0,0,1)</f>
        <v>0</v>
      </c>
    </row>
    <row r="155" spans="1:3">
      <c r="A155" t="str" cm="1">
        <f t="array" ref="A155">INDEX('Table of Contents'!$B$5:$B$25, INT((ROW()-2)/COUNTA('Category Map'!$B$5:$B$25))+1)</f>
        <v>LiOH</v>
      </c>
      <c r="B155" t="str" cm="1">
        <f t="array" ref="B155">INDEX('Category Map'!$B$5:$B$25, MOD(ROW()-2, COUNTA('Category Map'!$B$5:$B$25))+1)</f>
        <v>Deicing</v>
      </c>
      <c r="C155" s="43" cm="1">
        <f t="array" aca="1" ref="C155" ca="1">_xlfn.XLOOKUP(B155,INDIRECT("'" &amp; A155 &amp; "'!G:G"),INDIRECT("'" &amp; A155 &amp; "'!H:H"),0,0,1)</f>
        <v>0</v>
      </c>
    </row>
    <row r="156" spans="1:3">
      <c r="A156" t="str" cm="1">
        <f t="array" ref="A156">INDEX('Table of Contents'!$B$5:$B$25, INT((ROW()-2)/COUNTA('Category Map'!$B$5:$B$25))+1)</f>
        <v>LiOH</v>
      </c>
      <c r="B156" t="str" cm="1">
        <f t="array" ref="B156">INDEX('Category Map'!$B$5:$B$25, MOD(ROW()-2, COUNTA('Category Map'!$B$5:$B$25))+1)</f>
        <v>Dust Control</v>
      </c>
      <c r="C156" s="43" cm="1">
        <f t="array" aca="1" ref="C156" ca="1">_xlfn.XLOOKUP(B156,INDIRECT("'" &amp; A156 &amp; "'!G:G"),INDIRECT("'" &amp; A156 &amp; "'!H:H"),0,0,1)</f>
        <v>0</v>
      </c>
    </row>
    <row r="157" spans="1:3">
      <c r="A157" t="str" cm="1">
        <f t="array" ref="A157">INDEX('Table of Contents'!$B$5:$B$25, INT((ROW()-2)/COUNTA('Category Map'!$B$5:$B$25))+1)</f>
        <v>LiOH</v>
      </c>
      <c r="B157" t="str" cm="1">
        <f t="array" ref="B157">INDEX('Category Map'!$B$5:$B$25, MOD(ROW()-2, COUNTA('Category Map'!$B$5:$B$25))+1)</f>
        <v>Fertilizer Manufacturing</v>
      </c>
      <c r="C157" s="43" cm="1">
        <f t="array" aca="1" ref="C157" ca="1">_xlfn.XLOOKUP(B157,INDIRECT("'" &amp; A157 &amp; "'!G:G"),INDIRECT("'" &amp; A157 &amp; "'!H:H"),0,0,1)</f>
        <v>0</v>
      </c>
    </row>
    <row r="158" spans="1:3">
      <c r="A158" t="str" cm="1">
        <f t="array" ref="A158">INDEX('Table of Contents'!$B$5:$B$25, INT((ROW()-2)/COUNTA('Category Map'!$B$5:$B$25))+1)</f>
        <v>LiOH</v>
      </c>
      <c r="B158" t="str" cm="1">
        <f t="array" ref="B158">INDEX('Category Map'!$B$5:$B$25, MOD(ROW()-2, COUNTA('Category Map'!$B$5:$B$25))+1)</f>
        <v>Flue Gas Desulfurization</v>
      </c>
      <c r="C158" s="43" cm="1">
        <f t="array" aca="1" ref="C158" ca="1">_xlfn.XLOOKUP(B158,INDIRECT("'" &amp; A158 &amp; "'!G:G"),INDIRECT("'" &amp; A158 &amp; "'!H:H"),0,0,1)</f>
        <v>0</v>
      </c>
    </row>
    <row r="159" spans="1:3">
      <c r="A159" t="str" cm="1">
        <f t="array" ref="A159">INDEX('Table of Contents'!$B$5:$B$25, INT((ROW()-2)/COUNTA('Category Map'!$B$5:$B$25))+1)</f>
        <v>LiOH</v>
      </c>
      <c r="B159" t="str" cm="1">
        <f t="array" ref="B159">INDEX('Category Map'!$B$5:$B$25, MOD(ROW()-2, COUNTA('Category Map'!$B$5:$B$25))+1)</f>
        <v>Glass Manufacturing</v>
      </c>
      <c r="C159" s="43" cm="1">
        <f t="array" aca="1" ref="C159" ca="1">_xlfn.XLOOKUP(B159,INDIRECT("'" &amp; A159 &amp; "'!G:G"),INDIRECT("'" &amp; A159 &amp; "'!H:H"),0,0,1)</f>
        <v>0.04</v>
      </c>
    </row>
    <row r="160" spans="1:3">
      <c r="A160" t="str" cm="1">
        <f t="array" ref="A160">INDEX('Table of Contents'!$B$5:$B$25, INT((ROW()-2)/COUNTA('Category Map'!$B$5:$B$25))+1)</f>
        <v>LiOH</v>
      </c>
      <c r="B160" t="str" cm="1">
        <f t="array" ref="B160">INDEX('Category Map'!$B$5:$B$25, MOD(ROW()-2, COUNTA('Category Map'!$B$5:$B$25))+1)</f>
        <v>Gypsum-Based Building Materials</v>
      </c>
      <c r="C160" s="43" cm="1">
        <f t="array" aca="1" ref="C160" ca="1">_xlfn.XLOOKUP(B160,INDIRECT("'" &amp; A160 &amp; "'!G:G"),INDIRECT("'" &amp; A160 &amp; "'!H:H"),0,0,1)</f>
        <v>0</v>
      </c>
    </row>
    <row r="161" spans="1:3">
      <c r="A161" t="str" cm="1">
        <f t="array" ref="A161">INDEX('Table of Contents'!$B$5:$B$25, INT((ROW()-2)/COUNTA('Category Map'!$B$5:$B$25))+1)</f>
        <v>LiOH</v>
      </c>
      <c r="B161" t="str" cm="1">
        <f t="array" ref="B161">INDEX('Category Map'!$B$5:$B$25, MOD(ROW()-2, COUNTA('Category Map'!$B$5:$B$25))+1)</f>
        <v>Lime Manufacturing</v>
      </c>
      <c r="C161" s="43" cm="1">
        <f t="array" aca="1" ref="C161" ca="1">_xlfn.XLOOKUP(B161,INDIRECT("'" &amp; A161 &amp; "'!G:G"),INDIRECT("'" &amp; A161 &amp; "'!H:H"),0,0,1)</f>
        <v>0</v>
      </c>
    </row>
    <row r="162" spans="1:3">
      <c r="A162" t="str" cm="1">
        <f t="array" ref="A162">INDEX('Table of Contents'!$B$5:$B$25, INT((ROW()-2)/COUNTA('Category Map'!$B$5:$B$25))+1)</f>
        <v>LiOH</v>
      </c>
      <c r="B162" t="str" cm="1">
        <f t="array" ref="B162">INDEX('Category Map'!$B$5:$B$25, MOD(ROW()-2, COUNTA('Category Map'!$B$5:$B$25))+1)</f>
        <v>Livestock</v>
      </c>
      <c r="C162" s="43" cm="1">
        <f t="array" aca="1" ref="C162" ca="1">_xlfn.XLOOKUP(B162,INDIRECT("'" &amp; A162 &amp; "'!G:G"),INDIRECT("'" &amp; A162 &amp; "'!H:H"),0,0,1)</f>
        <v>0</v>
      </c>
    </row>
    <row r="163" spans="1:3">
      <c r="A163" t="str" cm="1">
        <f t="array" ref="A163">INDEX('Table of Contents'!$B$5:$B$25, INT((ROW()-2)/COUNTA('Category Map'!$B$5:$B$25))+1)</f>
        <v>LiOH</v>
      </c>
      <c r="B163" t="str" cm="1">
        <f t="array" ref="B163">INDEX('Category Map'!$B$5:$B$25, MOD(ROW()-2, COUNTA('Category Map'!$B$5:$B$25))+1)</f>
        <v>Miscellaneous Agricultural</v>
      </c>
      <c r="C163" s="43" cm="1">
        <f t="array" aca="1" ref="C163" ca="1">_xlfn.XLOOKUP(B163,INDIRECT("'" &amp; A163 &amp; "'!G:G"),INDIRECT("'" &amp; A163 &amp; "'!H:H"),0,0,1)</f>
        <v>0</v>
      </c>
    </row>
    <row r="164" spans="1:3">
      <c r="A164" t="str" cm="1">
        <f t="array" ref="A164">INDEX('Table of Contents'!$B$5:$B$25, INT((ROW()-2)/COUNTA('Category Map'!$B$5:$B$25))+1)</f>
        <v>LiOH</v>
      </c>
      <c r="B164" t="str" cm="1">
        <f t="array" ref="B164">INDEX('Category Map'!$B$5:$B$25, MOD(ROW()-2, COUNTA('Category Map'!$B$5:$B$25))+1)</f>
        <v>Miscellaneous Industrial</v>
      </c>
      <c r="C164" s="43" cm="1">
        <f t="array" aca="1" ref="C164" ca="1">_xlfn.XLOOKUP(B164,INDIRECT("'" &amp; A164 &amp; "'!G:G"),INDIRECT("'" &amp; A164 &amp; "'!H:H"),0,0,1)</f>
        <v>0.03</v>
      </c>
    </row>
    <row r="165" spans="1:3">
      <c r="A165" t="str" cm="1">
        <f t="array" ref="A165">INDEX('Table of Contents'!$B$5:$B$25, INT((ROW()-2)/COUNTA('Category Map'!$B$5:$B$25))+1)</f>
        <v>LiOH</v>
      </c>
      <c r="B165" t="str" cm="1">
        <f t="array" ref="B165">INDEX('Category Map'!$B$5:$B$25, MOD(ROW()-2, COUNTA('Category Map'!$B$5:$B$25))+1)</f>
        <v>Oil and Gas</v>
      </c>
      <c r="C165" s="43" cm="1">
        <f t="array" aca="1" ref="C165" ca="1">_xlfn.XLOOKUP(B165,INDIRECT("'" &amp; A165 &amp; "'!G:G"),INDIRECT("'" &amp; A165 &amp; "'!H:H"),0,0,1)</f>
        <v>0</v>
      </c>
    </row>
    <row r="166" spans="1:3">
      <c r="A166" t="str" cm="1">
        <f t="array" ref="A166">INDEX('Table of Contents'!$B$5:$B$25, INT((ROW()-2)/COUNTA('Category Map'!$B$5:$B$25))+1)</f>
        <v>LiOH</v>
      </c>
      <c r="B166" t="str" cm="1">
        <f t="array" ref="B166">INDEX('Category Map'!$B$5:$B$25, MOD(ROW()-2, COUNTA('Category Map'!$B$5:$B$25))+1)</f>
        <v>Other</v>
      </c>
      <c r="C166" s="43" cm="1">
        <f t="array" aca="1" ref="C166" ca="1">_xlfn.XLOOKUP(B166,INDIRECT("'" &amp; A166 &amp; "'!G:G"),INDIRECT("'" &amp; A166 &amp; "'!H:H"),0,0,1)</f>
        <v>0.05</v>
      </c>
    </row>
    <row r="167" spans="1:3">
      <c r="A167" t="str" cm="1">
        <f t="array" ref="A167">INDEX('Table of Contents'!$B$5:$B$25, INT((ROW()-2)/COUNTA('Category Map'!$B$5:$B$25))+1)</f>
        <v>LiOH</v>
      </c>
      <c r="B167" t="str" cm="1">
        <f t="array" ref="B167">INDEX('Category Map'!$B$5:$B$25, MOD(ROW()-2, COUNTA('Category Map'!$B$5:$B$25))+1)</f>
        <v>Pulp and Paper</v>
      </c>
      <c r="C167" s="43" cm="1">
        <f t="array" aca="1" ref="C167" ca="1">_xlfn.XLOOKUP(B167,INDIRECT("'" &amp; A167 &amp; "'!G:G"),INDIRECT("'" &amp; A167 &amp; "'!H:H"),0,0,1)</f>
        <v>0</v>
      </c>
    </row>
    <row r="168" spans="1:3">
      <c r="A168" t="str" cm="1">
        <f t="array" ref="A168">INDEX('Table of Contents'!$B$5:$B$25, INT((ROW()-2)/COUNTA('Category Map'!$B$5:$B$25))+1)</f>
        <v>LiOH</v>
      </c>
      <c r="B168" t="str" cm="1">
        <f t="array" ref="B168">INDEX('Category Map'!$B$5:$B$25, MOD(ROW()-2, COUNTA('Category Map'!$B$5:$B$25))+1)</f>
        <v>Steel Pickling</v>
      </c>
      <c r="C168" s="43" cm="1">
        <f t="array" aca="1" ref="C168" ca="1">_xlfn.XLOOKUP(B168,INDIRECT("'" &amp; A168 &amp; "'!G:G"),INDIRECT("'" &amp; A168 &amp; "'!H:H"),0,0,1)</f>
        <v>0</v>
      </c>
    </row>
    <row r="169" spans="1:3">
      <c r="A169" t="str" cm="1">
        <f t="array" ref="A169">INDEX('Table of Contents'!$B$5:$B$25, INT((ROW()-2)/COUNTA('Category Map'!$B$5:$B$25))+1)</f>
        <v>LiOH</v>
      </c>
      <c r="B169" t="str" cm="1">
        <f t="array" ref="B169">INDEX('Category Map'!$B$5:$B$25, MOD(ROW()-2, COUNTA('Category Map'!$B$5:$B$25))+1)</f>
        <v>Water Treatment</v>
      </c>
      <c r="C169" s="43" cm="1">
        <f t="array" aca="1" ref="C169" ca="1">_xlfn.XLOOKUP(B169,INDIRECT("'" &amp; A169 &amp; "'!G:G"),INDIRECT("'" &amp; A169 &amp; "'!H:H"),0,0,1)</f>
        <v>0</v>
      </c>
    </row>
    <row r="170" spans="1:3">
      <c r="A170" t="str" cm="1">
        <f t="array" ref="A170">INDEX('Table of Contents'!$B$5:$B$25, INT((ROW()-2)/COUNTA('Category Map'!$B$5:$B$25))+1)</f>
        <v>MgCl2</v>
      </c>
      <c r="B170" t="str" cm="1">
        <f t="array" ref="B170">INDEX('Category Map'!$B$5:$B$25, MOD(ROW()-2, COUNTA('Category Map'!$B$5:$B$25))+1)</f>
        <v>Battery Manufacturing</v>
      </c>
      <c r="C170" s="43" cm="1">
        <f t="array" aca="1" ref="C170" ca="1">_xlfn.XLOOKUP(B170,INDIRECT("'" &amp; A170 &amp; "'!G:G"),INDIRECT("'" &amp; A170 &amp; "'!H:H"),0,0,1)</f>
        <v>0</v>
      </c>
    </row>
    <row r="171" spans="1:3">
      <c r="A171" t="str" cm="1">
        <f t="array" ref="A171">INDEX('Table of Contents'!$B$5:$B$25, INT((ROW()-2)/COUNTA('Category Map'!$B$5:$B$25))+1)</f>
        <v>MgCl2</v>
      </c>
      <c r="B171" t="str" cm="1">
        <f t="array" ref="B171">INDEX('Category Map'!$B$5:$B$25, MOD(ROW()-2, COUNTA('Category Map'!$B$5:$B$25))+1)</f>
        <v>Cement Manufacturing</v>
      </c>
      <c r="C171" s="43" cm="1">
        <f t="array" aca="1" ref="C171" ca="1">_xlfn.XLOOKUP(B171,INDIRECT("'" &amp; A171 &amp; "'!G:G"),INDIRECT("'" &amp; A171 &amp; "'!H:H"),0,0,1)</f>
        <v>0</v>
      </c>
    </row>
    <row r="172" spans="1:3">
      <c r="A172" t="str" cm="1">
        <f t="array" ref="A172">INDEX('Table of Contents'!$B$5:$B$25, INT((ROW()-2)/COUNTA('Category Map'!$B$5:$B$25))+1)</f>
        <v>MgCl2</v>
      </c>
      <c r="B172" t="str" cm="1">
        <f t="array" ref="B172">INDEX('Category Map'!$B$5:$B$25, MOD(ROW()-2, COUNTA('Category Map'!$B$5:$B$25))+1)</f>
        <v>Chemical Manufacturing</v>
      </c>
      <c r="C172" s="43" cm="1">
        <f t="array" aca="1" ref="C172" ca="1">_xlfn.XLOOKUP(B172,INDIRECT("'" &amp; A172 &amp; "'!G:G"),INDIRECT("'" &amp; A172 &amp; "'!H:H"),0,0,1)</f>
        <v>0</v>
      </c>
    </row>
    <row r="173" spans="1:3">
      <c r="A173" t="str" cm="1">
        <f t="array" ref="A173">INDEX('Table of Contents'!$B$5:$B$25, INT((ROW()-2)/COUNTA('Category Map'!$B$5:$B$25))+1)</f>
        <v>MgCl2</v>
      </c>
      <c r="B173" t="str" cm="1">
        <f t="array" ref="B173">INDEX('Category Map'!$B$5:$B$25, MOD(ROW()-2, COUNTA('Category Map'!$B$5:$B$25))+1)</f>
        <v>Chloralkali Process</v>
      </c>
      <c r="C173" s="43" cm="1">
        <f t="array" aca="1" ref="C173" ca="1">_xlfn.XLOOKUP(B173,INDIRECT("'" &amp; A173 &amp; "'!G:G"),INDIRECT("'" &amp; A173 &amp; "'!H:H"),0,0,1)</f>
        <v>0</v>
      </c>
    </row>
    <row r="174" spans="1:3">
      <c r="A174" t="str" cm="1">
        <f t="array" ref="A174">INDEX('Table of Contents'!$B$5:$B$25, INT((ROW()-2)/COUNTA('Category Map'!$B$5:$B$25))+1)</f>
        <v>MgCl2</v>
      </c>
      <c r="B174" t="str" cm="1">
        <f t="array" ref="B174">INDEX('Category Map'!$B$5:$B$25, MOD(ROW()-2, COUNTA('Category Map'!$B$5:$B$25))+1)</f>
        <v>Concrete</v>
      </c>
      <c r="C174" s="43" cm="1">
        <f t="array" aca="1" ref="C174" ca="1">_xlfn.XLOOKUP(B174,INDIRECT("'" &amp; A174 &amp; "'!G:G"),INDIRECT("'" &amp; A174 &amp; "'!H:H"),0,0,1)</f>
        <v>0</v>
      </c>
    </row>
    <row r="175" spans="1:3">
      <c r="A175" t="str" cm="1">
        <f t="array" ref="A175">INDEX('Table of Contents'!$B$5:$B$25, INT((ROW()-2)/COUNTA('Category Map'!$B$5:$B$25))+1)</f>
        <v>MgCl2</v>
      </c>
      <c r="B175" t="str" cm="1">
        <f t="array" ref="B175">INDEX('Category Map'!$B$5:$B$25, MOD(ROW()-2, COUNTA('Category Map'!$B$5:$B$25))+1)</f>
        <v>Construction Aggregate</v>
      </c>
      <c r="C175" s="43" cm="1">
        <f t="array" aca="1" ref="C175" ca="1">_xlfn.XLOOKUP(B175,INDIRECT("'" &amp; A175 &amp; "'!G:G"),INDIRECT("'" &amp; A175 &amp; "'!H:H"),0,0,1)</f>
        <v>0</v>
      </c>
    </row>
    <row r="176" spans="1:3">
      <c r="A176" t="str" cm="1">
        <f t="array" ref="A176">INDEX('Table of Contents'!$B$5:$B$25, INT((ROW()-2)/COUNTA('Category Map'!$B$5:$B$25))+1)</f>
        <v>MgCl2</v>
      </c>
      <c r="B176" t="str" cm="1">
        <f t="array" ref="B176">INDEX('Category Map'!$B$5:$B$25, MOD(ROW()-2, COUNTA('Category Map'!$B$5:$B$25))+1)</f>
        <v>Deicing</v>
      </c>
      <c r="C176" s="43" cm="1">
        <f t="array" aca="1" ref="C176" ca="1">_xlfn.XLOOKUP(B176,INDIRECT("'" &amp; A176 &amp; "'!G:G"),INDIRECT("'" &amp; A176 &amp; "'!H:H"),0,0,1)</f>
        <v>1</v>
      </c>
    </row>
    <row r="177" spans="1:3">
      <c r="A177" t="str" cm="1">
        <f t="array" ref="A177">INDEX('Table of Contents'!$B$5:$B$25, INT((ROW()-2)/COUNTA('Category Map'!$B$5:$B$25))+1)</f>
        <v>MgCl2</v>
      </c>
      <c r="B177" t="str" cm="1">
        <f t="array" ref="B177">INDEX('Category Map'!$B$5:$B$25, MOD(ROW()-2, COUNTA('Category Map'!$B$5:$B$25))+1)</f>
        <v>Dust Control</v>
      </c>
      <c r="C177" s="43" cm="1">
        <f t="array" aca="1" ref="C177" ca="1">_xlfn.XLOOKUP(B177,INDIRECT("'" &amp; A177 &amp; "'!G:G"),INDIRECT("'" &amp; A177 &amp; "'!H:H"),0,0,1)</f>
        <v>0</v>
      </c>
    </row>
    <row r="178" spans="1:3">
      <c r="A178" t="str" cm="1">
        <f t="array" ref="A178">INDEX('Table of Contents'!$B$5:$B$25, INT((ROW()-2)/COUNTA('Category Map'!$B$5:$B$25))+1)</f>
        <v>MgCl2</v>
      </c>
      <c r="B178" t="str" cm="1">
        <f t="array" ref="B178">INDEX('Category Map'!$B$5:$B$25, MOD(ROW()-2, COUNTA('Category Map'!$B$5:$B$25))+1)</f>
        <v>Fertilizer Manufacturing</v>
      </c>
      <c r="C178" s="43" cm="1">
        <f t="array" aca="1" ref="C178" ca="1">_xlfn.XLOOKUP(B178,INDIRECT("'" &amp; A178 &amp; "'!G:G"),INDIRECT("'" &amp; A178 &amp; "'!H:H"),0,0,1)</f>
        <v>0</v>
      </c>
    </row>
    <row r="179" spans="1:3">
      <c r="A179" t="str" cm="1">
        <f t="array" ref="A179">INDEX('Table of Contents'!$B$5:$B$25, INT((ROW()-2)/COUNTA('Category Map'!$B$5:$B$25))+1)</f>
        <v>MgCl2</v>
      </c>
      <c r="B179" t="str" cm="1">
        <f t="array" ref="B179">INDEX('Category Map'!$B$5:$B$25, MOD(ROW()-2, COUNTA('Category Map'!$B$5:$B$25))+1)</f>
        <v>Flue Gas Desulfurization</v>
      </c>
      <c r="C179" s="43" cm="1">
        <f t="array" aca="1" ref="C179" ca="1">_xlfn.XLOOKUP(B179,INDIRECT("'" &amp; A179 &amp; "'!G:G"),INDIRECT("'" &amp; A179 &amp; "'!H:H"),0,0,1)</f>
        <v>0</v>
      </c>
    </row>
    <row r="180" spans="1:3">
      <c r="A180" t="str" cm="1">
        <f t="array" ref="A180">INDEX('Table of Contents'!$B$5:$B$25, INT((ROW()-2)/COUNTA('Category Map'!$B$5:$B$25))+1)</f>
        <v>MgCl2</v>
      </c>
      <c r="B180" t="str" cm="1">
        <f t="array" ref="B180">INDEX('Category Map'!$B$5:$B$25, MOD(ROW()-2, COUNTA('Category Map'!$B$5:$B$25))+1)</f>
        <v>Glass Manufacturing</v>
      </c>
      <c r="C180" s="43" cm="1">
        <f t="array" aca="1" ref="C180" ca="1">_xlfn.XLOOKUP(B180,INDIRECT("'" &amp; A180 &amp; "'!G:G"),INDIRECT("'" &amp; A180 &amp; "'!H:H"),0,0,1)</f>
        <v>0</v>
      </c>
    </row>
    <row r="181" spans="1:3">
      <c r="A181" t="str" cm="1">
        <f t="array" ref="A181">INDEX('Table of Contents'!$B$5:$B$25, INT((ROW()-2)/COUNTA('Category Map'!$B$5:$B$25))+1)</f>
        <v>MgCl2</v>
      </c>
      <c r="B181" t="str" cm="1">
        <f t="array" ref="B181">INDEX('Category Map'!$B$5:$B$25, MOD(ROW()-2, COUNTA('Category Map'!$B$5:$B$25))+1)</f>
        <v>Gypsum-Based Building Materials</v>
      </c>
      <c r="C181" s="43" cm="1">
        <f t="array" aca="1" ref="C181" ca="1">_xlfn.XLOOKUP(B181,INDIRECT("'" &amp; A181 &amp; "'!G:G"),INDIRECT("'" &amp; A181 &amp; "'!H:H"),0,0,1)</f>
        <v>0</v>
      </c>
    </row>
    <row r="182" spans="1:3">
      <c r="A182" t="str" cm="1">
        <f t="array" ref="A182">INDEX('Table of Contents'!$B$5:$B$25, INT((ROW()-2)/COUNTA('Category Map'!$B$5:$B$25))+1)</f>
        <v>MgCl2</v>
      </c>
      <c r="B182" t="str" cm="1">
        <f t="array" ref="B182">INDEX('Category Map'!$B$5:$B$25, MOD(ROW()-2, COUNTA('Category Map'!$B$5:$B$25))+1)</f>
        <v>Lime Manufacturing</v>
      </c>
      <c r="C182" s="43" cm="1">
        <f t="array" aca="1" ref="C182" ca="1">_xlfn.XLOOKUP(B182,INDIRECT("'" &amp; A182 &amp; "'!G:G"),INDIRECT("'" &amp; A182 &amp; "'!H:H"),0,0,1)</f>
        <v>0</v>
      </c>
    </row>
    <row r="183" spans="1:3">
      <c r="A183" t="str" cm="1">
        <f t="array" ref="A183">INDEX('Table of Contents'!$B$5:$B$25, INT((ROW()-2)/COUNTA('Category Map'!$B$5:$B$25))+1)</f>
        <v>MgCl2</v>
      </c>
      <c r="B183" t="str" cm="1">
        <f t="array" ref="B183">INDEX('Category Map'!$B$5:$B$25, MOD(ROW()-2, COUNTA('Category Map'!$B$5:$B$25))+1)</f>
        <v>Livestock</v>
      </c>
      <c r="C183" s="43" cm="1">
        <f t="array" aca="1" ref="C183" ca="1">_xlfn.XLOOKUP(B183,INDIRECT("'" &amp; A183 &amp; "'!G:G"),INDIRECT("'" &amp; A183 &amp; "'!H:H"),0,0,1)</f>
        <v>0</v>
      </c>
    </row>
    <row r="184" spans="1:3">
      <c r="A184" t="str" cm="1">
        <f t="array" ref="A184">INDEX('Table of Contents'!$B$5:$B$25, INT((ROW()-2)/COUNTA('Category Map'!$B$5:$B$25))+1)</f>
        <v>MgCl2</v>
      </c>
      <c r="B184" t="str" cm="1">
        <f t="array" ref="B184">INDEX('Category Map'!$B$5:$B$25, MOD(ROW()-2, COUNTA('Category Map'!$B$5:$B$25))+1)</f>
        <v>Miscellaneous Agricultural</v>
      </c>
      <c r="C184" s="43" cm="1">
        <f t="array" aca="1" ref="C184" ca="1">_xlfn.XLOOKUP(B184,INDIRECT("'" &amp; A184 &amp; "'!G:G"),INDIRECT("'" &amp; A184 &amp; "'!H:H"),0,0,1)</f>
        <v>0</v>
      </c>
    </row>
    <row r="185" spans="1:3">
      <c r="A185" t="str" cm="1">
        <f t="array" ref="A185">INDEX('Table of Contents'!$B$5:$B$25, INT((ROW()-2)/COUNTA('Category Map'!$B$5:$B$25))+1)</f>
        <v>MgCl2</v>
      </c>
      <c r="B185" t="str" cm="1">
        <f t="array" ref="B185">INDEX('Category Map'!$B$5:$B$25, MOD(ROW()-2, COUNTA('Category Map'!$B$5:$B$25))+1)</f>
        <v>Miscellaneous Industrial</v>
      </c>
      <c r="C185" s="43" cm="1">
        <f t="array" aca="1" ref="C185" ca="1">_xlfn.XLOOKUP(B185,INDIRECT("'" &amp; A185 &amp; "'!G:G"),INDIRECT("'" &amp; A185 &amp; "'!H:H"),0,0,1)</f>
        <v>0</v>
      </c>
    </row>
    <row r="186" spans="1:3">
      <c r="A186" t="str" cm="1">
        <f t="array" ref="A186">INDEX('Table of Contents'!$B$5:$B$25, INT((ROW()-2)/COUNTA('Category Map'!$B$5:$B$25))+1)</f>
        <v>MgCl2</v>
      </c>
      <c r="B186" t="str" cm="1">
        <f t="array" ref="B186">INDEX('Category Map'!$B$5:$B$25, MOD(ROW()-2, COUNTA('Category Map'!$B$5:$B$25))+1)</f>
        <v>Oil and Gas</v>
      </c>
      <c r="C186" s="43" cm="1">
        <f t="array" aca="1" ref="C186" ca="1">_xlfn.XLOOKUP(B186,INDIRECT("'" &amp; A186 &amp; "'!G:G"),INDIRECT("'" &amp; A186 &amp; "'!H:H"),0,0,1)</f>
        <v>0</v>
      </c>
    </row>
    <row r="187" spans="1:3">
      <c r="A187" t="str" cm="1">
        <f t="array" ref="A187">INDEX('Table of Contents'!$B$5:$B$25, INT((ROW()-2)/COUNTA('Category Map'!$B$5:$B$25))+1)</f>
        <v>MgCl2</v>
      </c>
      <c r="B187" t="str" cm="1">
        <f t="array" ref="B187">INDEX('Category Map'!$B$5:$B$25, MOD(ROW()-2, COUNTA('Category Map'!$B$5:$B$25))+1)</f>
        <v>Other</v>
      </c>
      <c r="C187" s="43" cm="1">
        <f t="array" aca="1" ref="C187" ca="1">_xlfn.XLOOKUP(B187,INDIRECT("'" &amp; A187 &amp; "'!G:G"),INDIRECT("'" &amp; A187 &amp; "'!H:H"),0,0,1)</f>
        <v>0</v>
      </c>
    </row>
    <row r="188" spans="1:3">
      <c r="A188" t="str" cm="1">
        <f t="array" ref="A188">INDEX('Table of Contents'!$B$5:$B$25, INT((ROW()-2)/COUNTA('Category Map'!$B$5:$B$25))+1)</f>
        <v>MgCl2</v>
      </c>
      <c r="B188" t="str" cm="1">
        <f t="array" ref="B188">INDEX('Category Map'!$B$5:$B$25, MOD(ROW()-2, COUNTA('Category Map'!$B$5:$B$25))+1)</f>
        <v>Pulp and Paper</v>
      </c>
      <c r="C188" s="43" cm="1">
        <f t="array" aca="1" ref="C188" ca="1">_xlfn.XLOOKUP(B188,INDIRECT("'" &amp; A188 &amp; "'!G:G"),INDIRECT("'" &amp; A188 &amp; "'!H:H"),0,0,1)</f>
        <v>0</v>
      </c>
    </row>
    <row r="189" spans="1:3">
      <c r="A189" t="str" cm="1">
        <f t="array" ref="A189">INDEX('Table of Contents'!$B$5:$B$25, INT((ROW()-2)/COUNTA('Category Map'!$B$5:$B$25))+1)</f>
        <v>MgCl2</v>
      </c>
      <c r="B189" t="str" cm="1">
        <f t="array" ref="B189">INDEX('Category Map'!$B$5:$B$25, MOD(ROW()-2, COUNTA('Category Map'!$B$5:$B$25))+1)</f>
        <v>Steel Pickling</v>
      </c>
      <c r="C189" s="43" cm="1">
        <f t="array" aca="1" ref="C189" ca="1">_xlfn.XLOOKUP(B189,INDIRECT("'" &amp; A189 &amp; "'!G:G"),INDIRECT("'" &amp; A189 &amp; "'!H:H"),0,0,1)</f>
        <v>0</v>
      </c>
    </row>
    <row r="190" spans="1:3">
      <c r="A190" t="str" cm="1">
        <f t="array" ref="A190">INDEX('Table of Contents'!$B$5:$B$25, INT((ROW()-2)/COUNTA('Category Map'!$B$5:$B$25))+1)</f>
        <v>MgCl2</v>
      </c>
      <c r="B190" t="str" cm="1">
        <f t="array" ref="B190">INDEX('Category Map'!$B$5:$B$25, MOD(ROW()-2, COUNTA('Category Map'!$B$5:$B$25))+1)</f>
        <v>Water Treatment</v>
      </c>
      <c r="C190" s="43" cm="1">
        <f t="array" aca="1" ref="C190" ca="1">_xlfn.XLOOKUP(B190,INDIRECT("'" &amp; A190 &amp; "'!G:G"),INDIRECT("'" &amp; A190 &amp; "'!H:H"),0,0,1)</f>
        <v>0</v>
      </c>
    </row>
    <row r="191" spans="1:3">
      <c r="A191" t="str" cm="1">
        <f t="array" ref="A191">INDEX('Table of Contents'!$B$5:$B$25, INT((ROW()-2)/COUNTA('Category Map'!$B$5:$B$25))+1)</f>
        <v>MgSO4</v>
      </c>
      <c r="B191" t="str" cm="1">
        <f t="array" ref="B191">INDEX('Category Map'!$B$5:$B$25, MOD(ROW()-2, COUNTA('Category Map'!$B$5:$B$25))+1)</f>
        <v>Battery Manufacturing</v>
      </c>
      <c r="C191" s="43" cm="1">
        <f t="array" aca="1" ref="C191" ca="1">_xlfn.XLOOKUP(B191,INDIRECT("'" &amp; A191 &amp; "'!G:G"),INDIRECT("'" &amp; A191 &amp; "'!H:H"),0,0,1)</f>
        <v>0</v>
      </c>
    </row>
    <row r="192" spans="1:3">
      <c r="A192" t="str" cm="1">
        <f t="array" ref="A192">INDEX('Table of Contents'!$B$5:$B$25, INT((ROW()-2)/COUNTA('Category Map'!$B$5:$B$25))+1)</f>
        <v>MgSO4</v>
      </c>
      <c r="B192" t="str" cm="1">
        <f t="array" ref="B192">INDEX('Category Map'!$B$5:$B$25, MOD(ROW()-2, COUNTA('Category Map'!$B$5:$B$25))+1)</f>
        <v>Cement Manufacturing</v>
      </c>
      <c r="C192" s="43" cm="1">
        <f t="array" aca="1" ref="C192" ca="1">_xlfn.XLOOKUP(B192,INDIRECT("'" &amp; A192 &amp; "'!G:G"),INDIRECT("'" &amp; A192 &amp; "'!H:H"),0,0,1)</f>
        <v>0</v>
      </c>
    </row>
    <row r="193" spans="1:3">
      <c r="A193" t="str" cm="1">
        <f t="array" ref="A193">INDEX('Table of Contents'!$B$5:$B$25, INT((ROW()-2)/COUNTA('Category Map'!$B$5:$B$25))+1)</f>
        <v>MgSO4</v>
      </c>
      <c r="B193" t="str" cm="1">
        <f t="array" ref="B193">INDEX('Category Map'!$B$5:$B$25, MOD(ROW()-2, COUNTA('Category Map'!$B$5:$B$25))+1)</f>
        <v>Chemical Manufacturing</v>
      </c>
      <c r="C193" s="43" cm="1">
        <f t="array" aca="1" ref="C193" ca="1">_xlfn.XLOOKUP(B193,INDIRECT("'" &amp; A193 &amp; "'!G:G"),INDIRECT("'" &amp; A193 &amp; "'!H:H"),0,0,1)</f>
        <v>0.22</v>
      </c>
    </row>
    <row r="194" spans="1:3">
      <c r="A194" t="str" cm="1">
        <f t="array" ref="A194">INDEX('Table of Contents'!$B$5:$B$25, INT((ROW()-2)/COUNTA('Category Map'!$B$5:$B$25))+1)</f>
        <v>MgSO4</v>
      </c>
      <c r="B194" t="str" cm="1">
        <f t="array" ref="B194">INDEX('Category Map'!$B$5:$B$25, MOD(ROW()-2, COUNTA('Category Map'!$B$5:$B$25))+1)</f>
        <v>Chloralkali Process</v>
      </c>
      <c r="C194" s="43" cm="1">
        <f t="array" aca="1" ref="C194" ca="1">_xlfn.XLOOKUP(B194,INDIRECT("'" &amp; A194 &amp; "'!G:G"),INDIRECT("'" &amp; A194 &amp; "'!H:H"),0,0,1)</f>
        <v>0</v>
      </c>
    </row>
    <row r="195" spans="1:3">
      <c r="A195" t="str" cm="1">
        <f t="array" ref="A195">INDEX('Table of Contents'!$B$5:$B$25, INT((ROW()-2)/COUNTA('Category Map'!$B$5:$B$25))+1)</f>
        <v>MgSO4</v>
      </c>
      <c r="B195" t="str" cm="1">
        <f t="array" ref="B195">INDEX('Category Map'!$B$5:$B$25, MOD(ROW()-2, COUNTA('Category Map'!$B$5:$B$25))+1)</f>
        <v>Concrete</v>
      </c>
      <c r="C195" s="43" cm="1">
        <f t="array" aca="1" ref="C195" ca="1">_xlfn.XLOOKUP(B195,INDIRECT("'" &amp; A195 &amp; "'!G:G"),INDIRECT("'" &amp; A195 &amp; "'!H:H"),0,0,1)</f>
        <v>0</v>
      </c>
    </row>
    <row r="196" spans="1:3">
      <c r="A196" t="str" cm="1">
        <f t="array" ref="A196">INDEX('Table of Contents'!$B$5:$B$25, INT((ROW()-2)/COUNTA('Category Map'!$B$5:$B$25))+1)</f>
        <v>MgSO4</v>
      </c>
      <c r="B196" t="str" cm="1">
        <f t="array" ref="B196">INDEX('Category Map'!$B$5:$B$25, MOD(ROW()-2, COUNTA('Category Map'!$B$5:$B$25))+1)</f>
        <v>Construction Aggregate</v>
      </c>
      <c r="C196" s="43" cm="1">
        <f t="array" aca="1" ref="C196" ca="1">_xlfn.XLOOKUP(B196,INDIRECT("'" &amp; A196 &amp; "'!G:G"),INDIRECT("'" &amp; A196 &amp; "'!H:H"),0,0,1)</f>
        <v>0</v>
      </c>
    </row>
    <row r="197" spans="1:3">
      <c r="A197" t="str" cm="1">
        <f t="array" ref="A197">INDEX('Table of Contents'!$B$5:$B$25, INT((ROW()-2)/COUNTA('Category Map'!$B$5:$B$25))+1)</f>
        <v>MgSO4</v>
      </c>
      <c r="B197" t="str" cm="1">
        <f t="array" ref="B197">INDEX('Category Map'!$B$5:$B$25, MOD(ROW()-2, COUNTA('Category Map'!$B$5:$B$25))+1)</f>
        <v>Deicing</v>
      </c>
      <c r="C197" s="43" cm="1">
        <f t="array" aca="1" ref="C197" ca="1">_xlfn.XLOOKUP(B197,INDIRECT("'" &amp; A197 &amp; "'!G:G"),INDIRECT("'" &amp; A197 &amp; "'!H:H"),0,0,1)</f>
        <v>0</v>
      </c>
    </row>
    <row r="198" spans="1:3">
      <c r="A198" t="str" cm="1">
        <f t="array" ref="A198">INDEX('Table of Contents'!$B$5:$B$25, INT((ROW()-2)/COUNTA('Category Map'!$B$5:$B$25))+1)</f>
        <v>MgSO4</v>
      </c>
      <c r="B198" t="str" cm="1">
        <f t="array" ref="B198">INDEX('Category Map'!$B$5:$B$25, MOD(ROW()-2, COUNTA('Category Map'!$B$5:$B$25))+1)</f>
        <v>Dust Control</v>
      </c>
      <c r="C198" s="43" cm="1">
        <f t="array" aca="1" ref="C198" ca="1">_xlfn.XLOOKUP(B198,INDIRECT("'" &amp; A198 &amp; "'!G:G"),INDIRECT("'" &amp; A198 &amp; "'!H:H"),0,0,1)</f>
        <v>0</v>
      </c>
    </row>
    <row r="199" spans="1:3">
      <c r="A199" t="str" cm="1">
        <f t="array" ref="A199">INDEX('Table of Contents'!$B$5:$B$25, INT((ROW()-2)/COUNTA('Category Map'!$B$5:$B$25))+1)</f>
        <v>MgSO4</v>
      </c>
      <c r="B199" t="str" cm="1">
        <f t="array" ref="B199">INDEX('Category Map'!$B$5:$B$25, MOD(ROW()-2, COUNTA('Category Map'!$B$5:$B$25))+1)</f>
        <v>Fertilizer Manufacturing</v>
      </c>
      <c r="C199" s="43" cm="1">
        <f t="array" aca="1" ref="C199" ca="1">_xlfn.XLOOKUP(B199,INDIRECT("'" &amp; A199 &amp; "'!G:G"),INDIRECT("'" &amp; A199 &amp; "'!H:H"),0,0,1)</f>
        <v>0.1</v>
      </c>
    </row>
    <row r="200" spans="1:3">
      <c r="A200" t="str" cm="1">
        <f t="array" ref="A200">INDEX('Table of Contents'!$B$5:$B$25, INT((ROW()-2)/COUNTA('Category Map'!$B$5:$B$25))+1)</f>
        <v>MgSO4</v>
      </c>
      <c r="B200" t="str" cm="1">
        <f t="array" ref="B200">INDEX('Category Map'!$B$5:$B$25, MOD(ROW()-2, COUNTA('Category Map'!$B$5:$B$25))+1)</f>
        <v>Flue Gas Desulfurization</v>
      </c>
      <c r="C200" s="43" cm="1">
        <f t="array" aca="1" ref="C200" ca="1">_xlfn.XLOOKUP(B200,INDIRECT("'" &amp; A200 &amp; "'!G:G"),INDIRECT("'" &amp; A200 &amp; "'!H:H"),0,0,1)</f>
        <v>0</v>
      </c>
    </row>
    <row r="201" spans="1:3">
      <c r="A201" t="str" cm="1">
        <f t="array" ref="A201">INDEX('Table of Contents'!$B$5:$B$25, INT((ROW()-2)/COUNTA('Category Map'!$B$5:$B$25))+1)</f>
        <v>MgSO4</v>
      </c>
      <c r="B201" t="str" cm="1">
        <f t="array" ref="B201">INDEX('Category Map'!$B$5:$B$25, MOD(ROW()-2, COUNTA('Category Map'!$B$5:$B$25))+1)</f>
        <v>Glass Manufacturing</v>
      </c>
      <c r="C201" s="43" cm="1">
        <f t="array" aca="1" ref="C201" ca="1">_xlfn.XLOOKUP(B201,INDIRECT("'" &amp; A201 &amp; "'!G:G"),INDIRECT("'" &amp; A201 &amp; "'!H:H"),0,0,1)</f>
        <v>0</v>
      </c>
    </row>
    <row r="202" spans="1:3">
      <c r="A202" t="str" cm="1">
        <f t="array" ref="A202">INDEX('Table of Contents'!$B$5:$B$25, INT((ROW()-2)/COUNTA('Category Map'!$B$5:$B$25))+1)</f>
        <v>MgSO4</v>
      </c>
      <c r="B202" t="str" cm="1">
        <f t="array" ref="B202">INDEX('Category Map'!$B$5:$B$25, MOD(ROW()-2, COUNTA('Category Map'!$B$5:$B$25))+1)</f>
        <v>Gypsum-Based Building Materials</v>
      </c>
      <c r="C202" s="43" cm="1">
        <f t="array" aca="1" ref="C202" ca="1">_xlfn.XLOOKUP(B202,INDIRECT("'" &amp; A202 &amp; "'!G:G"),INDIRECT("'" &amp; A202 &amp; "'!H:H"),0,0,1)</f>
        <v>0</v>
      </c>
    </row>
    <row r="203" spans="1:3">
      <c r="A203" t="str" cm="1">
        <f t="array" ref="A203">INDEX('Table of Contents'!$B$5:$B$25, INT((ROW()-2)/COUNTA('Category Map'!$B$5:$B$25))+1)</f>
        <v>MgSO4</v>
      </c>
      <c r="B203" t="str" cm="1">
        <f t="array" ref="B203">INDEX('Category Map'!$B$5:$B$25, MOD(ROW()-2, COUNTA('Category Map'!$B$5:$B$25))+1)</f>
        <v>Lime Manufacturing</v>
      </c>
      <c r="C203" s="43" cm="1">
        <f t="array" aca="1" ref="C203" ca="1">_xlfn.XLOOKUP(B203,INDIRECT("'" &amp; A203 &amp; "'!G:G"),INDIRECT("'" &amp; A203 &amp; "'!H:H"),0,0,1)</f>
        <v>0</v>
      </c>
    </row>
    <row r="204" spans="1:3">
      <c r="A204" t="str" cm="1">
        <f t="array" ref="A204">INDEX('Table of Contents'!$B$5:$B$25, INT((ROW()-2)/COUNTA('Category Map'!$B$5:$B$25))+1)</f>
        <v>MgSO4</v>
      </c>
      <c r="B204" t="str" cm="1">
        <f t="array" ref="B204">INDEX('Category Map'!$B$5:$B$25, MOD(ROW()-2, COUNTA('Category Map'!$B$5:$B$25))+1)</f>
        <v>Livestock</v>
      </c>
      <c r="C204" s="43" cm="1">
        <f t="array" aca="1" ref="C204" ca="1">_xlfn.XLOOKUP(B204,INDIRECT("'" &amp; A204 &amp; "'!G:G"),INDIRECT("'" &amp; A204 &amp; "'!H:H"),0,0,1)</f>
        <v>0</v>
      </c>
    </row>
    <row r="205" spans="1:3">
      <c r="A205" t="str" cm="1">
        <f t="array" ref="A205">INDEX('Table of Contents'!$B$5:$B$25, INT((ROW()-2)/COUNTA('Category Map'!$B$5:$B$25))+1)</f>
        <v>MgSO4</v>
      </c>
      <c r="B205" t="str" cm="1">
        <f t="array" ref="B205">INDEX('Category Map'!$B$5:$B$25, MOD(ROW()-2, COUNTA('Category Map'!$B$5:$B$25))+1)</f>
        <v>Miscellaneous Agricultural</v>
      </c>
      <c r="C205" s="43" cm="1">
        <f t="array" aca="1" ref="C205" ca="1">_xlfn.XLOOKUP(B205,INDIRECT("'" &amp; A205 &amp; "'!G:G"),INDIRECT("'" &amp; A205 &amp; "'!H:H"),0,0,1)</f>
        <v>0</v>
      </c>
    </row>
    <row r="206" spans="1:3">
      <c r="A206" t="str" cm="1">
        <f t="array" ref="A206">INDEX('Table of Contents'!$B$5:$B$25, INT((ROW()-2)/COUNTA('Category Map'!$B$5:$B$25))+1)</f>
        <v>MgSO4</v>
      </c>
      <c r="B206" t="str" cm="1">
        <f t="array" ref="B206">INDEX('Category Map'!$B$5:$B$25, MOD(ROW()-2, COUNTA('Category Map'!$B$5:$B$25))+1)</f>
        <v>Miscellaneous Industrial</v>
      </c>
      <c r="C206" s="43" cm="1">
        <f t="array" aca="1" ref="C206" ca="1">_xlfn.XLOOKUP(B206,INDIRECT("'" &amp; A206 &amp; "'!G:G"),INDIRECT("'" &amp; A206 &amp; "'!H:H"),0,0,1)</f>
        <v>0.48</v>
      </c>
    </row>
    <row r="207" spans="1:3">
      <c r="A207" t="str" cm="1">
        <f t="array" ref="A207">INDEX('Table of Contents'!$B$5:$B$25, INT((ROW()-2)/COUNTA('Category Map'!$B$5:$B$25))+1)</f>
        <v>MgSO4</v>
      </c>
      <c r="B207" t="str" cm="1">
        <f t="array" ref="B207">INDEX('Category Map'!$B$5:$B$25, MOD(ROW()-2, COUNTA('Category Map'!$B$5:$B$25))+1)</f>
        <v>Oil and Gas</v>
      </c>
      <c r="C207" s="43" cm="1">
        <f t="array" aca="1" ref="C207" ca="1">_xlfn.XLOOKUP(B207,INDIRECT("'" &amp; A207 &amp; "'!G:G"),INDIRECT("'" &amp; A207 &amp; "'!H:H"),0,0,1)</f>
        <v>0</v>
      </c>
    </row>
    <row r="208" spans="1:3">
      <c r="A208" t="str" cm="1">
        <f t="array" ref="A208">INDEX('Table of Contents'!$B$5:$B$25, INT((ROW()-2)/COUNTA('Category Map'!$B$5:$B$25))+1)</f>
        <v>MgSO4</v>
      </c>
      <c r="B208" t="str" cm="1">
        <f t="array" ref="B208">INDEX('Category Map'!$B$5:$B$25, MOD(ROW()-2, COUNTA('Category Map'!$B$5:$B$25))+1)</f>
        <v>Other</v>
      </c>
      <c r="C208" s="43" cm="1">
        <f t="array" aca="1" ref="C208" ca="1">_xlfn.XLOOKUP(B208,INDIRECT("'" &amp; A208 &amp; "'!G:G"),INDIRECT("'" &amp; A208 &amp; "'!H:H"),0,0,1)</f>
        <v>0.08</v>
      </c>
    </row>
    <row r="209" spans="1:3">
      <c r="A209" t="str" cm="1">
        <f t="array" ref="A209">INDEX('Table of Contents'!$B$5:$B$25, INT((ROW()-2)/COUNTA('Category Map'!$B$5:$B$25))+1)</f>
        <v>MgSO4</v>
      </c>
      <c r="B209" t="str" cm="1">
        <f t="array" ref="B209">INDEX('Category Map'!$B$5:$B$25, MOD(ROW()-2, COUNTA('Category Map'!$B$5:$B$25))+1)</f>
        <v>Pulp and Paper</v>
      </c>
      <c r="C209" s="43" cm="1">
        <f t="array" aca="1" ref="C209" ca="1">_xlfn.XLOOKUP(B209,INDIRECT("'" &amp; A209 &amp; "'!G:G"),INDIRECT("'" &amp; A209 &amp; "'!H:H"),0,0,1)</f>
        <v>0.12</v>
      </c>
    </row>
    <row r="210" spans="1:3">
      <c r="A210" t="str" cm="1">
        <f t="array" ref="A210">INDEX('Table of Contents'!$B$5:$B$25, INT((ROW()-2)/COUNTA('Category Map'!$B$5:$B$25))+1)</f>
        <v>MgSO4</v>
      </c>
      <c r="B210" t="str" cm="1">
        <f t="array" ref="B210">INDEX('Category Map'!$B$5:$B$25, MOD(ROW()-2, COUNTA('Category Map'!$B$5:$B$25))+1)</f>
        <v>Steel Pickling</v>
      </c>
      <c r="C210" s="43" cm="1">
        <f t="array" aca="1" ref="C210" ca="1">_xlfn.XLOOKUP(B210,INDIRECT("'" &amp; A210 &amp; "'!G:G"),INDIRECT("'" &amp; A210 &amp; "'!H:H"),0,0,1)</f>
        <v>0</v>
      </c>
    </row>
    <row r="211" spans="1:3">
      <c r="A211" t="str" cm="1">
        <f t="array" ref="A211">INDEX('Table of Contents'!$B$5:$B$25, INT((ROW()-2)/COUNTA('Category Map'!$B$5:$B$25))+1)</f>
        <v>MgSO4</v>
      </c>
      <c r="B211" t="str" cm="1">
        <f t="array" ref="B211">INDEX('Category Map'!$B$5:$B$25, MOD(ROW()-2, COUNTA('Category Map'!$B$5:$B$25))+1)</f>
        <v>Water Treatment</v>
      </c>
      <c r="C211" s="43" cm="1">
        <f t="array" aca="1" ref="C211" ca="1">_xlfn.XLOOKUP(B211,INDIRECT("'" &amp; A211 &amp; "'!G:G"),INDIRECT("'" &amp; A211 &amp; "'!H:H"),0,0,1)</f>
        <v>0</v>
      </c>
    </row>
    <row r="212" spans="1:3">
      <c r="A212" t="str" cm="1">
        <f t="array" ref="A212">INDEX('Table of Contents'!$B$5:$B$25, INT((ROW()-2)/COUNTA('Category Map'!$B$5:$B$25))+1)</f>
        <v>Mg(OH)2</v>
      </c>
      <c r="B212" t="str" cm="1">
        <f t="array" ref="B212">INDEX('Category Map'!$B$5:$B$25, MOD(ROW()-2, COUNTA('Category Map'!$B$5:$B$25))+1)</f>
        <v>Battery Manufacturing</v>
      </c>
      <c r="C212" s="43" cm="1">
        <f t="array" aca="1" ref="C212" ca="1">_xlfn.XLOOKUP(B212,INDIRECT("'" &amp; A212 &amp; "'!G:G"),INDIRECT("'" &amp; A212 &amp; "'!H:H"),0,0,1)</f>
        <v>0</v>
      </c>
    </row>
    <row r="213" spans="1:3">
      <c r="A213" t="str" cm="1">
        <f t="array" ref="A213">INDEX('Table of Contents'!$B$5:$B$25, INT((ROW()-2)/COUNTA('Category Map'!$B$5:$B$25))+1)</f>
        <v>Mg(OH)2</v>
      </c>
      <c r="B213" t="str" cm="1">
        <f t="array" ref="B213">INDEX('Category Map'!$B$5:$B$25, MOD(ROW()-2, COUNTA('Category Map'!$B$5:$B$25))+1)</f>
        <v>Cement Manufacturing</v>
      </c>
      <c r="C213" s="43" cm="1">
        <f t="array" aca="1" ref="C213" ca="1">_xlfn.XLOOKUP(B213,INDIRECT("'" &amp; A213 &amp; "'!G:G"),INDIRECT("'" &amp; A213 &amp; "'!H:H"),0,0,1)</f>
        <v>0</v>
      </c>
    </row>
    <row r="214" spans="1:3">
      <c r="A214" t="str" cm="1">
        <f t="array" ref="A214">INDEX('Table of Contents'!$B$5:$B$25, INT((ROW()-2)/COUNTA('Category Map'!$B$5:$B$25))+1)</f>
        <v>Mg(OH)2</v>
      </c>
      <c r="B214" t="str" cm="1">
        <f t="array" ref="B214">INDEX('Category Map'!$B$5:$B$25, MOD(ROW()-2, COUNTA('Category Map'!$B$5:$B$25))+1)</f>
        <v>Chemical Manufacturing</v>
      </c>
      <c r="C214" s="43" cm="1">
        <f t="array" aca="1" ref="C214" ca="1">_xlfn.XLOOKUP(B214,INDIRECT("'" &amp; A214 &amp; "'!G:G"),INDIRECT("'" &amp; A214 &amp; "'!H:H"),0,0,1)</f>
        <v>0.11</v>
      </c>
    </row>
    <row r="215" spans="1:3">
      <c r="A215" t="str" cm="1">
        <f t="array" ref="A215">INDEX('Table of Contents'!$B$5:$B$25, INT((ROW()-2)/COUNTA('Category Map'!$B$5:$B$25))+1)</f>
        <v>Mg(OH)2</v>
      </c>
      <c r="B215" t="str" cm="1">
        <f t="array" ref="B215">INDEX('Category Map'!$B$5:$B$25, MOD(ROW()-2, COUNTA('Category Map'!$B$5:$B$25))+1)</f>
        <v>Chloralkali Process</v>
      </c>
      <c r="C215" s="43" cm="1">
        <f t="array" aca="1" ref="C215" ca="1">_xlfn.XLOOKUP(B215,INDIRECT("'" &amp; A215 &amp; "'!G:G"),INDIRECT("'" &amp; A215 &amp; "'!H:H"),0,0,1)</f>
        <v>0</v>
      </c>
    </row>
    <row r="216" spans="1:3">
      <c r="A216" t="str" cm="1">
        <f t="array" ref="A216">INDEX('Table of Contents'!$B$5:$B$25, INT((ROW()-2)/COUNTA('Category Map'!$B$5:$B$25))+1)</f>
        <v>Mg(OH)2</v>
      </c>
      <c r="B216" t="str" cm="1">
        <f t="array" ref="B216">INDEX('Category Map'!$B$5:$B$25, MOD(ROW()-2, COUNTA('Category Map'!$B$5:$B$25))+1)</f>
        <v>Concrete</v>
      </c>
      <c r="C216" s="43" cm="1">
        <f t="array" aca="1" ref="C216" ca="1">_xlfn.XLOOKUP(B216,INDIRECT("'" &amp; A216 &amp; "'!G:G"),INDIRECT("'" &amp; A216 &amp; "'!H:H"),0,0,1)</f>
        <v>0</v>
      </c>
    </row>
    <row r="217" spans="1:3">
      <c r="A217" t="str" cm="1">
        <f t="array" ref="A217">INDEX('Table of Contents'!$B$5:$B$25, INT((ROW()-2)/COUNTA('Category Map'!$B$5:$B$25))+1)</f>
        <v>Mg(OH)2</v>
      </c>
      <c r="B217" t="str" cm="1">
        <f t="array" ref="B217">INDEX('Category Map'!$B$5:$B$25, MOD(ROW()-2, COUNTA('Category Map'!$B$5:$B$25))+1)</f>
        <v>Construction Aggregate</v>
      </c>
      <c r="C217" s="43" cm="1">
        <f t="array" aca="1" ref="C217" ca="1">_xlfn.XLOOKUP(B217,INDIRECT("'" &amp; A217 &amp; "'!G:G"),INDIRECT("'" &amp; A217 &amp; "'!H:H"),0,0,1)</f>
        <v>0</v>
      </c>
    </row>
    <row r="218" spans="1:3">
      <c r="A218" t="str" cm="1">
        <f t="array" ref="A218">INDEX('Table of Contents'!$B$5:$B$25, INT((ROW()-2)/COUNTA('Category Map'!$B$5:$B$25))+1)</f>
        <v>Mg(OH)2</v>
      </c>
      <c r="B218" t="str" cm="1">
        <f t="array" ref="B218">INDEX('Category Map'!$B$5:$B$25, MOD(ROW()-2, COUNTA('Category Map'!$B$5:$B$25))+1)</f>
        <v>Deicing</v>
      </c>
      <c r="C218" s="43" cm="1">
        <f t="array" aca="1" ref="C218" ca="1">_xlfn.XLOOKUP(B218,INDIRECT("'" &amp; A218 &amp; "'!G:G"),INDIRECT("'" &amp; A218 &amp; "'!H:H"),0,0,1)</f>
        <v>0</v>
      </c>
    </row>
    <row r="219" spans="1:3">
      <c r="A219" t="str" cm="1">
        <f t="array" ref="A219">INDEX('Table of Contents'!$B$5:$B$25, INT((ROW()-2)/COUNTA('Category Map'!$B$5:$B$25))+1)</f>
        <v>Mg(OH)2</v>
      </c>
      <c r="B219" t="str" cm="1">
        <f t="array" ref="B219">INDEX('Category Map'!$B$5:$B$25, MOD(ROW()-2, COUNTA('Category Map'!$B$5:$B$25))+1)</f>
        <v>Dust Control</v>
      </c>
      <c r="C219" s="43" cm="1">
        <f t="array" aca="1" ref="C219" ca="1">_xlfn.XLOOKUP(B219,INDIRECT("'" &amp; A219 &amp; "'!G:G"),INDIRECT("'" &amp; A219 &amp; "'!H:H"),0,0,1)</f>
        <v>0</v>
      </c>
    </row>
    <row r="220" spans="1:3">
      <c r="A220" t="str" cm="1">
        <f t="array" ref="A220">INDEX('Table of Contents'!$B$5:$B$25, INT((ROW()-2)/COUNTA('Category Map'!$B$5:$B$25))+1)</f>
        <v>Mg(OH)2</v>
      </c>
      <c r="B220" t="str" cm="1">
        <f t="array" ref="B220">INDEX('Category Map'!$B$5:$B$25, MOD(ROW()-2, COUNTA('Category Map'!$B$5:$B$25))+1)</f>
        <v>Fertilizer Manufacturing</v>
      </c>
      <c r="C220" s="43" cm="1">
        <f t="array" aca="1" ref="C220" ca="1">_xlfn.XLOOKUP(B220,INDIRECT("'" &amp; A220 &amp; "'!G:G"),INDIRECT("'" &amp; A220 &amp; "'!H:H"),0,0,1)</f>
        <v>0</v>
      </c>
    </row>
    <row r="221" spans="1:3">
      <c r="A221" t="str" cm="1">
        <f t="array" ref="A221">INDEX('Table of Contents'!$B$5:$B$25, INT((ROW()-2)/COUNTA('Category Map'!$B$5:$B$25))+1)</f>
        <v>Mg(OH)2</v>
      </c>
      <c r="B221" t="str" cm="1">
        <f t="array" ref="B221">INDEX('Category Map'!$B$5:$B$25, MOD(ROW()-2, COUNTA('Category Map'!$B$5:$B$25))+1)</f>
        <v>Flue Gas Desulfurization</v>
      </c>
      <c r="C221" s="43" cm="1">
        <f t="array" aca="1" ref="C221" ca="1">_xlfn.XLOOKUP(B221,INDIRECT("'" &amp; A221 &amp; "'!G:G"),INDIRECT("'" &amp; A221 &amp; "'!H:H"),0,0,1)</f>
        <v>0</v>
      </c>
    </row>
    <row r="222" spans="1:3">
      <c r="A222" t="str" cm="1">
        <f t="array" ref="A222">INDEX('Table of Contents'!$B$5:$B$25, INT((ROW()-2)/COUNTA('Category Map'!$B$5:$B$25))+1)</f>
        <v>Mg(OH)2</v>
      </c>
      <c r="B222" t="str" cm="1">
        <f t="array" ref="B222">INDEX('Category Map'!$B$5:$B$25, MOD(ROW()-2, COUNTA('Category Map'!$B$5:$B$25))+1)</f>
        <v>Glass Manufacturing</v>
      </c>
      <c r="C222" s="43" cm="1">
        <f t="array" aca="1" ref="C222" ca="1">_xlfn.XLOOKUP(B222,INDIRECT("'" &amp; A222 &amp; "'!G:G"),INDIRECT("'" &amp; A222 &amp; "'!H:H"),0,0,1)</f>
        <v>0</v>
      </c>
    </row>
    <row r="223" spans="1:3">
      <c r="A223" t="str" cm="1">
        <f t="array" ref="A223">INDEX('Table of Contents'!$B$5:$B$25, INT((ROW()-2)/COUNTA('Category Map'!$B$5:$B$25))+1)</f>
        <v>Mg(OH)2</v>
      </c>
      <c r="B223" t="str" cm="1">
        <f t="array" ref="B223">INDEX('Category Map'!$B$5:$B$25, MOD(ROW()-2, COUNTA('Category Map'!$B$5:$B$25))+1)</f>
        <v>Gypsum-Based Building Materials</v>
      </c>
      <c r="C223" s="43" cm="1">
        <f t="array" aca="1" ref="C223" ca="1">_xlfn.XLOOKUP(B223,INDIRECT("'" &amp; A223 &amp; "'!G:G"),INDIRECT("'" &amp; A223 &amp; "'!H:H"),0,0,1)</f>
        <v>0</v>
      </c>
    </row>
    <row r="224" spans="1:3">
      <c r="A224" t="str" cm="1">
        <f t="array" ref="A224">INDEX('Table of Contents'!$B$5:$B$25, INT((ROW()-2)/COUNTA('Category Map'!$B$5:$B$25))+1)</f>
        <v>Mg(OH)2</v>
      </c>
      <c r="B224" t="str" cm="1">
        <f t="array" ref="B224">INDEX('Category Map'!$B$5:$B$25, MOD(ROW()-2, COUNTA('Category Map'!$B$5:$B$25))+1)</f>
        <v>Lime Manufacturing</v>
      </c>
      <c r="C224" s="43" cm="1">
        <f t="array" aca="1" ref="C224" ca="1">_xlfn.XLOOKUP(B224,INDIRECT("'" &amp; A224 &amp; "'!G:G"),INDIRECT("'" &amp; A224 &amp; "'!H:H"),0,0,1)</f>
        <v>0</v>
      </c>
    </row>
    <row r="225" spans="1:3">
      <c r="A225" t="str" cm="1">
        <f t="array" ref="A225">INDEX('Table of Contents'!$B$5:$B$25, INT((ROW()-2)/COUNTA('Category Map'!$B$5:$B$25))+1)</f>
        <v>Mg(OH)2</v>
      </c>
      <c r="B225" t="str" cm="1">
        <f t="array" ref="B225">INDEX('Category Map'!$B$5:$B$25, MOD(ROW()-2, COUNTA('Category Map'!$B$5:$B$25))+1)</f>
        <v>Livestock</v>
      </c>
      <c r="C225" s="43" cm="1">
        <f t="array" aca="1" ref="C225" ca="1">_xlfn.XLOOKUP(B225,INDIRECT("'" &amp; A225 &amp; "'!G:G"),INDIRECT("'" &amp; A225 &amp; "'!H:H"),0,0,1)</f>
        <v>0</v>
      </c>
    </row>
    <row r="226" spans="1:3">
      <c r="A226" t="str" cm="1">
        <f t="array" ref="A226">INDEX('Table of Contents'!$B$5:$B$25, INT((ROW()-2)/COUNTA('Category Map'!$B$5:$B$25))+1)</f>
        <v>Mg(OH)2</v>
      </c>
      <c r="B226" t="str" cm="1">
        <f t="array" ref="B226">INDEX('Category Map'!$B$5:$B$25, MOD(ROW()-2, COUNTA('Category Map'!$B$5:$B$25))+1)</f>
        <v>Miscellaneous Agricultural</v>
      </c>
      <c r="C226" s="43" cm="1">
        <f t="array" aca="1" ref="C226" ca="1">_xlfn.XLOOKUP(B226,INDIRECT("'" &amp; A226 &amp; "'!G:G"),INDIRECT("'" &amp; A226 &amp; "'!H:H"),0,0,1)</f>
        <v>0</v>
      </c>
    </row>
    <row r="227" spans="1:3">
      <c r="A227" t="str" cm="1">
        <f t="array" ref="A227">INDEX('Table of Contents'!$B$5:$B$25, INT((ROW()-2)/COUNTA('Category Map'!$B$5:$B$25))+1)</f>
        <v>Mg(OH)2</v>
      </c>
      <c r="B227" t="str" cm="1">
        <f t="array" ref="B227">INDEX('Category Map'!$B$5:$B$25, MOD(ROW()-2, COUNTA('Category Map'!$B$5:$B$25))+1)</f>
        <v>Miscellaneous Industrial</v>
      </c>
      <c r="C227" s="43" cm="1">
        <f t="array" aca="1" ref="C227" ca="1">_xlfn.XLOOKUP(B227,INDIRECT("'" &amp; A227 &amp; "'!G:G"),INDIRECT("'" &amp; A227 &amp; "'!H:H"),0,0,1)</f>
        <v>0</v>
      </c>
    </row>
    <row r="228" spans="1:3">
      <c r="A228" t="str" cm="1">
        <f t="array" ref="A228">INDEX('Table of Contents'!$B$5:$B$25, INT((ROW()-2)/COUNTA('Category Map'!$B$5:$B$25))+1)</f>
        <v>Mg(OH)2</v>
      </c>
      <c r="B228" t="str" cm="1">
        <f t="array" ref="B228">INDEX('Category Map'!$B$5:$B$25, MOD(ROW()-2, COUNTA('Category Map'!$B$5:$B$25))+1)</f>
        <v>Oil and Gas</v>
      </c>
      <c r="C228" s="43" cm="1">
        <f t="array" aca="1" ref="C228" ca="1">_xlfn.XLOOKUP(B228,INDIRECT("'" &amp; A228 &amp; "'!G:G"),INDIRECT("'" &amp; A228 &amp; "'!H:H"),0,0,1)</f>
        <v>0</v>
      </c>
    </row>
    <row r="229" spans="1:3">
      <c r="A229" t="str" cm="1">
        <f t="array" ref="A229">INDEX('Table of Contents'!$B$5:$B$25, INT((ROW()-2)/COUNTA('Category Map'!$B$5:$B$25))+1)</f>
        <v>Mg(OH)2</v>
      </c>
      <c r="B229" t="str" cm="1">
        <f t="array" ref="B229">INDEX('Category Map'!$B$5:$B$25, MOD(ROW()-2, COUNTA('Category Map'!$B$5:$B$25))+1)</f>
        <v>Other</v>
      </c>
      <c r="C229" s="43" cm="1">
        <f t="array" aca="1" ref="C229" ca="1">_xlfn.XLOOKUP(B229,INDIRECT("'" &amp; A229 &amp; "'!G:G"),INDIRECT("'" &amp; A229 &amp; "'!H:H"),0,0,1)</f>
        <v>0.09</v>
      </c>
    </row>
    <row r="230" spans="1:3">
      <c r="A230" t="str" cm="1">
        <f t="array" ref="A230">INDEX('Table of Contents'!$B$5:$B$25, INT((ROW()-2)/COUNTA('Category Map'!$B$5:$B$25))+1)</f>
        <v>Mg(OH)2</v>
      </c>
      <c r="B230" t="str" cm="1">
        <f t="array" ref="B230">INDEX('Category Map'!$B$5:$B$25, MOD(ROW()-2, COUNTA('Category Map'!$B$5:$B$25))+1)</f>
        <v>Pulp and Paper</v>
      </c>
      <c r="C230" s="43" cm="1">
        <f t="array" aca="1" ref="C230" ca="1">_xlfn.XLOOKUP(B230,INDIRECT("'" &amp; A230 &amp; "'!G:G"),INDIRECT("'" &amp; A230 &amp; "'!H:H"),0,0,1)</f>
        <v>0</v>
      </c>
    </row>
    <row r="231" spans="1:3">
      <c r="A231" t="str" cm="1">
        <f t="array" ref="A231">INDEX('Table of Contents'!$B$5:$B$25, INT((ROW()-2)/COUNTA('Category Map'!$B$5:$B$25))+1)</f>
        <v>Mg(OH)2</v>
      </c>
      <c r="B231" t="str" cm="1">
        <f t="array" ref="B231">INDEX('Category Map'!$B$5:$B$25, MOD(ROW()-2, COUNTA('Category Map'!$B$5:$B$25))+1)</f>
        <v>Steel Pickling</v>
      </c>
      <c r="C231" s="43" cm="1">
        <f t="array" aca="1" ref="C231" ca="1">_xlfn.XLOOKUP(B231,INDIRECT("'" &amp; A231 &amp; "'!G:G"),INDIRECT("'" &amp; A231 &amp; "'!H:H"),0,0,1)</f>
        <v>0</v>
      </c>
    </row>
    <row r="232" spans="1:3">
      <c r="A232" t="str" cm="1">
        <f t="array" ref="A232">INDEX('Table of Contents'!$B$5:$B$25, INT((ROW()-2)/COUNTA('Category Map'!$B$5:$B$25))+1)</f>
        <v>Mg(OH)2</v>
      </c>
      <c r="B232" t="str" cm="1">
        <f t="array" ref="B232">INDEX('Category Map'!$B$5:$B$25, MOD(ROW()-2, COUNTA('Category Map'!$B$5:$B$25))+1)</f>
        <v>Water Treatment</v>
      </c>
      <c r="C232" s="43" cm="1">
        <f t="array" aca="1" ref="C232" ca="1">_xlfn.XLOOKUP(B232,INDIRECT("'" &amp; A232 &amp; "'!G:G"),INDIRECT("'" &amp; A232 &amp; "'!H:H"),0,0,1)</f>
        <v>0.8</v>
      </c>
    </row>
    <row r="233" spans="1:3">
      <c r="A233" t="str" cm="1">
        <f t="array" ref="A233">INDEX('Table of Contents'!$B$5:$B$25, INT((ROW()-2)/COUNTA('Category Map'!$B$5:$B$25))+1)</f>
        <v>NaCl</v>
      </c>
      <c r="B233" t="str" cm="1">
        <f t="array" ref="B233">INDEX('Category Map'!$B$5:$B$25, MOD(ROW()-2, COUNTA('Category Map'!$B$5:$B$25))+1)</f>
        <v>Battery Manufacturing</v>
      </c>
      <c r="C233" s="43" cm="1">
        <f t="array" aca="1" ref="C233" ca="1">_xlfn.XLOOKUP(B233,INDIRECT("'" &amp; A233 &amp; "'!G:G"),INDIRECT("'" &amp; A233 &amp; "'!H:H"),0,0,1)</f>
        <v>0</v>
      </c>
    </row>
    <row r="234" spans="1:3">
      <c r="A234" t="str" cm="1">
        <f t="array" ref="A234">INDEX('Table of Contents'!$B$5:$B$25, INT((ROW()-2)/COUNTA('Category Map'!$B$5:$B$25))+1)</f>
        <v>NaCl</v>
      </c>
      <c r="B234" t="str" cm="1">
        <f t="array" ref="B234">INDEX('Category Map'!$B$5:$B$25, MOD(ROW()-2, COUNTA('Category Map'!$B$5:$B$25))+1)</f>
        <v>Cement Manufacturing</v>
      </c>
      <c r="C234" s="43" cm="1">
        <f t="array" aca="1" ref="C234" ca="1">_xlfn.XLOOKUP(B234,INDIRECT("'" &amp; A234 &amp; "'!G:G"),INDIRECT("'" &amp; A234 &amp; "'!H:H"),0,0,1)</f>
        <v>0</v>
      </c>
    </row>
    <row r="235" spans="1:3">
      <c r="A235" t="str" cm="1">
        <f t="array" ref="A235">INDEX('Table of Contents'!$B$5:$B$25, INT((ROW()-2)/COUNTA('Category Map'!$B$5:$B$25))+1)</f>
        <v>NaCl</v>
      </c>
      <c r="B235" t="str" cm="1">
        <f t="array" ref="B235">INDEX('Category Map'!$B$5:$B$25, MOD(ROW()-2, COUNTA('Category Map'!$B$5:$B$25))+1)</f>
        <v>Chemical Manufacturing</v>
      </c>
      <c r="C235" s="43" cm="1">
        <f t="array" aca="1" ref="C235" ca="1">_xlfn.XLOOKUP(B235,INDIRECT("'" &amp; A235 &amp; "'!G:G"),INDIRECT("'" &amp; A235 &amp; "'!H:H"),0,0,1)</f>
        <v>3.2414071046116648E-2</v>
      </c>
    </row>
    <row r="236" spans="1:3">
      <c r="A236" t="str" cm="1">
        <f t="array" ref="A236">INDEX('Table of Contents'!$B$5:$B$25, INT((ROW()-2)/COUNTA('Category Map'!$B$5:$B$25))+1)</f>
        <v>NaCl</v>
      </c>
      <c r="B236" t="str" cm="1">
        <f t="array" ref="B236">INDEX('Category Map'!$B$5:$B$25, MOD(ROW()-2, COUNTA('Category Map'!$B$5:$B$25))+1)</f>
        <v>Chloralkali Process</v>
      </c>
      <c r="C236" s="43" cm="1">
        <f t="array" aca="1" ref="C236" ca="1">_xlfn.XLOOKUP(B236,INDIRECT("'" &amp; A236 &amp; "'!G:G"),INDIRECT("'" &amp; A236 &amp; "'!H:H"),0,0,1)</f>
        <v>0.96724048592319645</v>
      </c>
    </row>
    <row r="237" spans="1:3">
      <c r="A237" t="str" cm="1">
        <f t="array" ref="A237">INDEX('Table of Contents'!$B$5:$B$25, INT((ROW()-2)/COUNTA('Category Map'!$B$5:$B$25))+1)</f>
        <v>NaCl</v>
      </c>
      <c r="B237" t="str" cm="1">
        <f t="array" ref="B237">INDEX('Category Map'!$B$5:$B$25, MOD(ROW()-2, COUNTA('Category Map'!$B$5:$B$25))+1)</f>
        <v>Concrete</v>
      </c>
      <c r="C237" s="43" cm="1">
        <f t="array" aca="1" ref="C237" ca="1">_xlfn.XLOOKUP(B237,INDIRECT("'" &amp; A237 &amp; "'!G:G"),INDIRECT("'" &amp; A237 &amp; "'!H:H"),0,0,1)</f>
        <v>0</v>
      </c>
    </row>
    <row r="238" spans="1:3">
      <c r="A238" t="str" cm="1">
        <f t="array" ref="A238">INDEX('Table of Contents'!$B$5:$B$25, INT((ROW()-2)/COUNTA('Category Map'!$B$5:$B$25))+1)</f>
        <v>NaCl</v>
      </c>
      <c r="B238" t="str" cm="1">
        <f t="array" ref="B238">INDEX('Category Map'!$B$5:$B$25, MOD(ROW()-2, COUNTA('Category Map'!$B$5:$B$25))+1)</f>
        <v>Construction Aggregate</v>
      </c>
      <c r="C238" s="43" cm="1">
        <f t="array" aca="1" ref="C238" ca="1">_xlfn.XLOOKUP(B238,INDIRECT("'" &amp; A238 &amp; "'!G:G"),INDIRECT("'" &amp; A238 &amp; "'!H:H"),0,0,1)</f>
        <v>0</v>
      </c>
    </row>
    <row r="239" spans="1:3">
      <c r="A239" t="str" cm="1">
        <f t="array" ref="A239">INDEX('Table of Contents'!$B$5:$B$25, INT((ROW()-2)/COUNTA('Category Map'!$B$5:$B$25))+1)</f>
        <v>NaCl</v>
      </c>
      <c r="B239" t="str" cm="1">
        <f t="array" ref="B239">INDEX('Category Map'!$B$5:$B$25, MOD(ROW()-2, COUNTA('Category Map'!$B$5:$B$25))+1)</f>
        <v>Deicing</v>
      </c>
      <c r="C239" s="43" cm="1">
        <f t="array" aca="1" ref="C239" ca="1">_xlfn.XLOOKUP(B239,INDIRECT("'" &amp; A239 &amp; "'!G:G"),INDIRECT("'" &amp; A239 &amp; "'!H:H"),0,0,1)</f>
        <v>0</v>
      </c>
    </row>
    <row r="240" spans="1:3">
      <c r="A240" t="str" cm="1">
        <f t="array" ref="A240">INDEX('Table of Contents'!$B$5:$B$25, INT((ROW()-2)/COUNTA('Category Map'!$B$5:$B$25))+1)</f>
        <v>NaCl</v>
      </c>
      <c r="B240" t="str" cm="1">
        <f t="array" ref="B240">INDEX('Category Map'!$B$5:$B$25, MOD(ROW()-2, COUNTA('Category Map'!$B$5:$B$25))+1)</f>
        <v>Dust Control</v>
      </c>
      <c r="C240" s="43" cm="1">
        <f t="array" aca="1" ref="C240" ca="1">_xlfn.XLOOKUP(B240,INDIRECT("'" &amp; A240 &amp; "'!G:G"),INDIRECT("'" &amp; A240 &amp; "'!H:H"),0,0,1)</f>
        <v>0</v>
      </c>
    </row>
    <row r="241" spans="1:3">
      <c r="A241" t="str" cm="1">
        <f t="array" ref="A241">INDEX('Table of Contents'!$B$5:$B$25, INT((ROW()-2)/COUNTA('Category Map'!$B$5:$B$25))+1)</f>
        <v>NaCl</v>
      </c>
      <c r="B241" t="str" cm="1">
        <f t="array" ref="B241">INDEX('Category Map'!$B$5:$B$25, MOD(ROW()-2, COUNTA('Category Map'!$B$5:$B$25))+1)</f>
        <v>Fertilizer Manufacturing</v>
      </c>
      <c r="C241" s="43" cm="1">
        <f t="array" aca="1" ref="C241" ca="1">_xlfn.XLOOKUP(B241,INDIRECT("'" &amp; A241 &amp; "'!G:G"),INDIRECT("'" &amp; A241 &amp; "'!H:H"),0,0,1)</f>
        <v>0</v>
      </c>
    </row>
    <row r="242" spans="1:3">
      <c r="A242" t="str" cm="1">
        <f t="array" ref="A242">INDEX('Table of Contents'!$B$5:$B$25, INT((ROW()-2)/COUNTA('Category Map'!$B$5:$B$25))+1)</f>
        <v>NaCl</v>
      </c>
      <c r="B242" t="str" cm="1">
        <f t="array" ref="B242">INDEX('Category Map'!$B$5:$B$25, MOD(ROW()-2, COUNTA('Category Map'!$B$5:$B$25))+1)</f>
        <v>Flue Gas Desulfurization</v>
      </c>
      <c r="C242" s="43" cm="1">
        <f t="array" aca="1" ref="C242" ca="1">_xlfn.XLOOKUP(B242,INDIRECT("'" &amp; A242 &amp; "'!G:G"),INDIRECT("'" &amp; A242 &amp; "'!H:H"),0,0,1)</f>
        <v>0</v>
      </c>
    </row>
    <row r="243" spans="1:3">
      <c r="A243" t="str" cm="1">
        <f t="array" ref="A243">INDEX('Table of Contents'!$B$5:$B$25, INT((ROW()-2)/COUNTA('Category Map'!$B$5:$B$25))+1)</f>
        <v>NaCl</v>
      </c>
      <c r="B243" t="str" cm="1">
        <f t="array" ref="B243">INDEX('Category Map'!$B$5:$B$25, MOD(ROW()-2, COUNTA('Category Map'!$B$5:$B$25))+1)</f>
        <v>Glass Manufacturing</v>
      </c>
      <c r="C243" s="43" cm="1">
        <f t="array" aca="1" ref="C243" ca="1">_xlfn.XLOOKUP(B243,INDIRECT("'" &amp; A243 &amp; "'!G:G"),INDIRECT("'" &amp; A243 &amp; "'!H:H"),0,0,1)</f>
        <v>0</v>
      </c>
    </row>
    <row r="244" spans="1:3">
      <c r="A244" t="str" cm="1">
        <f t="array" ref="A244">INDEX('Table of Contents'!$B$5:$B$25, INT((ROW()-2)/COUNTA('Category Map'!$B$5:$B$25))+1)</f>
        <v>NaCl</v>
      </c>
      <c r="B244" t="str" cm="1">
        <f t="array" ref="B244">INDEX('Category Map'!$B$5:$B$25, MOD(ROW()-2, COUNTA('Category Map'!$B$5:$B$25))+1)</f>
        <v>Gypsum-Based Building Materials</v>
      </c>
      <c r="C244" s="43" cm="1">
        <f t="array" aca="1" ref="C244" ca="1">_xlfn.XLOOKUP(B244,INDIRECT("'" &amp; A244 &amp; "'!G:G"),INDIRECT("'" &amp; A244 &amp; "'!H:H"),0,0,1)</f>
        <v>0</v>
      </c>
    </row>
    <row r="245" spans="1:3">
      <c r="A245" t="str" cm="1">
        <f t="array" ref="A245">INDEX('Table of Contents'!$B$5:$B$25, INT((ROW()-2)/COUNTA('Category Map'!$B$5:$B$25))+1)</f>
        <v>NaCl</v>
      </c>
      <c r="B245" t="str" cm="1">
        <f t="array" ref="B245">INDEX('Category Map'!$B$5:$B$25, MOD(ROW()-2, COUNTA('Category Map'!$B$5:$B$25))+1)</f>
        <v>Lime Manufacturing</v>
      </c>
      <c r="C245" s="43" cm="1">
        <f t="array" aca="1" ref="C245" ca="1">_xlfn.XLOOKUP(B245,INDIRECT("'" &amp; A245 &amp; "'!G:G"),INDIRECT("'" &amp; A245 &amp; "'!H:H"),0,0,1)</f>
        <v>0</v>
      </c>
    </row>
    <row r="246" spans="1:3">
      <c r="A246" t="str" cm="1">
        <f t="array" ref="A246">INDEX('Table of Contents'!$B$5:$B$25, INT((ROW()-2)/COUNTA('Category Map'!$B$5:$B$25))+1)</f>
        <v>NaCl</v>
      </c>
      <c r="B246" t="str" cm="1">
        <f t="array" ref="B246">INDEX('Category Map'!$B$5:$B$25, MOD(ROW()-2, COUNTA('Category Map'!$B$5:$B$25))+1)</f>
        <v>Livestock</v>
      </c>
      <c r="C246" s="43" cm="1">
        <f t="array" aca="1" ref="C246" ca="1">_xlfn.XLOOKUP(B246,INDIRECT("'" &amp; A246 &amp; "'!G:G"),INDIRECT("'" &amp; A246 &amp; "'!H:H"),0,0,1)</f>
        <v>0</v>
      </c>
    </row>
    <row r="247" spans="1:3">
      <c r="A247" t="str" cm="1">
        <f t="array" ref="A247">INDEX('Table of Contents'!$B$5:$B$25, INT((ROW()-2)/COUNTA('Category Map'!$B$5:$B$25))+1)</f>
        <v>NaCl</v>
      </c>
      <c r="B247" t="str" cm="1">
        <f t="array" ref="B247">INDEX('Category Map'!$B$5:$B$25, MOD(ROW()-2, COUNTA('Category Map'!$B$5:$B$25))+1)</f>
        <v>Miscellaneous Agricultural</v>
      </c>
      <c r="C247" s="43" cm="1">
        <f t="array" aca="1" ref="C247" ca="1">_xlfn.XLOOKUP(B247,INDIRECT("'" &amp; A247 &amp; "'!G:G"),INDIRECT("'" &amp; A247 &amp; "'!H:H"),0,0,1)</f>
        <v>0</v>
      </c>
    </row>
    <row r="248" spans="1:3">
      <c r="A248" t="str" cm="1">
        <f t="array" ref="A248">INDEX('Table of Contents'!$B$5:$B$25, INT((ROW()-2)/COUNTA('Category Map'!$B$5:$B$25))+1)</f>
        <v>NaCl</v>
      </c>
      <c r="B248" t="str" cm="1">
        <f t="array" ref="B248">INDEX('Category Map'!$B$5:$B$25, MOD(ROW()-2, COUNTA('Category Map'!$B$5:$B$25))+1)</f>
        <v>Miscellaneous Industrial</v>
      </c>
      <c r="C248" s="43" cm="1">
        <f t="array" aca="1" ref="C248" ca="1">_xlfn.XLOOKUP(B248,INDIRECT("'" &amp; A248 &amp; "'!G:G"),INDIRECT("'" &amp; A248 &amp; "'!H:H"),0,0,1)</f>
        <v>0</v>
      </c>
    </row>
    <row r="249" spans="1:3">
      <c r="A249" t="str" cm="1">
        <f t="array" ref="A249">INDEX('Table of Contents'!$B$5:$B$25, INT((ROW()-2)/COUNTA('Category Map'!$B$5:$B$25))+1)</f>
        <v>NaCl</v>
      </c>
      <c r="B249" t="str" cm="1">
        <f t="array" ref="B249">INDEX('Category Map'!$B$5:$B$25, MOD(ROW()-2, COUNTA('Category Map'!$B$5:$B$25))+1)</f>
        <v>Oil and Gas</v>
      </c>
      <c r="C249" s="43" cm="1">
        <f t="array" aca="1" ref="C249" ca="1">_xlfn.XLOOKUP(B249,INDIRECT("'" &amp; A249 &amp; "'!G:G"),INDIRECT("'" &amp; A249 &amp; "'!H:H"),0,0,1)</f>
        <v>2.8786919223904657E-4</v>
      </c>
    </row>
    <row r="250" spans="1:3">
      <c r="A250" t="str" cm="1">
        <f t="array" ref="A250">INDEX('Table of Contents'!$B$5:$B$25, INT((ROW()-2)/COUNTA('Category Map'!$B$5:$B$25))+1)</f>
        <v>NaCl</v>
      </c>
      <c r="B250" t="str" cm="1">
        <f t="array" ref="B250">INDEX('Category Map'!$B$5:$B$25, MOD(ROW()-2, COUNTA('Category Map'!$B$5:$B$25))+1)</f>
        <v>Other</v>
      </c>
      <c r="C250" s="43" cm="1">
        <f t="array" aca="1" ref="C250" ca="1">_xlfn.XLOOKUP(B250,INDIRECT("'" &amp; A250 &amp; "'!G:G"),INDIRECT("'" &amp; A250 &amp; "'!H:H"),0,0,1)</f>
        <v>0</v>
      </c>
    </row>
    <row r="251" spans="1:3">
      <c r="A251" t="str" cm="1">
        <f t="array" ref="A251">INDEX('Table of Contents'!$B$5:$B$25, INT((ROW()-2)/COUNTA('Category Map'!$B$5:$B$25))+1)</f>
        <v>NaCl</v>
      </c>
      <c r="B251" t="str" cm="1">
        <f t="array" ref="B251">INDEX('Category Map'!$B$5:$B$25, MOD(ROW()-2, COUNTA('Category Map'!$B$5:$B$25))+1)</f>
        <v>Pulp and Paper</v>
      </c>
      <c r="C251" s="43" cm="1">
        <f t="array" aca="1" ref="C251" ca="1">_xlfn.XLOOKUP(B251,INDIRECT("'" &amp; A251 &amp; "'!G:G"),INDIRECT("'" &amp; A251 &amp; "'!H:H"),0,0,1)</f>
        <v>0</v>
      </c>
    </row>
    <row r="252" spans="1:3">
      <c r="A252" t="str" cm="1">
        <f t="array" ref="A252">INDEX('Table of Contents'!$B$5:$B$25, INT((ROW()-2)/COUNTA('Category Map'!$B$5:$B$25))+1)</f>
        <v>NaCl</v>
      </c>
      <c r="B252" t="str" cm="1">
        <f t="array" ref="B252">INDEX('Category Map'!$B$5:$B$25, MOD(ROW()-2, COUNTA('Category Map'!$B$5:$B$25))+1)</f>
        <v>Steel Pickling</v>
      </c>
      <c r="C252" s="43" cm="1">
        <f t="array" aca="1" ref="C252" ca="1">_xlfn.XLOOKUP(B252,INDIRECT("'" &amp; A252 &amp; "'!G:G"),INDIRECT("'" &amp; A252 &amp; "'!H:H"),0,0,1)</f>
        <v>0</v>
      </c>
    </row>
    <row r="253" spans="1:3">
      <c r="A253" t="str" cm="1">
        <f t="array" ref="A253">INDEX('Table of Contents'!$B$5:$B$25, INT((ROW()-2)/COUNTA('Category Map'!$B$5:$B$25))+1)</f>
        <v>NaCl</v>
      </c>
      <c r="B253" t="str" cm="1">
        <f t="array" ref="B253">INDEX('Category Map'!$B$5:$B$25, MOD(ROW()-2, COUNTA('Category Map'!$B$5:$B$25))+1)</f>
        <v>Water Treatment</v>
      </c>
      <c r="C253" s="43" cm="1">
        <f t="array" aca="1" ref="C253" ca="1">_xlfn.XLOOKUP(B253,INDIRECT("'" &amp; A253 &amp; "'!G:G"),INDIRECT("'" &amp; A253 &amp; "'!H:H"),0,0,1)</f>
        <v>5.7573838447809316E-5</v>
      </c>
    </row>
    <row r="254" spans="1:3">
      <c r="A254" t="str" cm="1">
        <f t="array" ref="A254">INDEX('Table of Contents'!$B$5:$B$25, INT((ROW()-2)/COUNTA('Category Map'!$B$5:$B$25))+1)</f>
        <v>Na2CO3</v>
      </c>
      <c r="B254" t="str" cm="1">
        <f t="array" ref="B254">INDEX('Category Map'!$B$5:$B$25, MOD(ROW()-2, COUNTA('Category Map'!$B$5:$B$25))+1)</f>
        <v>Battery Manufacturing</v>
      </c>
      <c r="C254" s="43" cm="1">
        <f t="array" aca="1" ref="C254" ca="1">_xlfn.XLOOKUP(B254,INDIRECT("'" &amp; A254 &amp; "'!G:G"),INDIRECT("'" &amp; A254 &amp; "'!H:H"),0,0,1)</f>
        <v>0</v>
      </c>
    </row>
    <row r="255" spans="1:3">
      <c r="A255" t="str" cm="1">
        <f t="array" ref="A255">INDEX('Table of Contents'!$B$5:$B$25, INT((ROW()-2)/COUNTA('Category Map'!$B$5:$B$25))+1)</f>
        <v>Na2CO3</v>
      </c>
      <c r="B255" t="str" cm="1">
        <f t="array" ref="B255">INDEX('Category Map'!$B$5:$B$25, MOD(ROW()-2, COUNTA('Category Map'!$B$5:$B$25))+1)</f>
        <v>Cement Manufacturing</v>
      </c>
      <c r="C255" s="43" cm="1">
        <f t="array" aca="1" ref="C255" ca="1">_xlfn.XLOOKUP(B255,INDIRECT("'" &amp; A255 &amp; "'!G:G"),INDIRECT("'" &amp; A255 &amp; "'!H:H"),0,0,1)</f>
        <v>0</v>
      </c>
    </row>
    <row r="256" spans="1:3">
      <c r="A256" t="str" cm="1">
        <f t="array" ref="A256">INDEX('Table of Contents'!$B$5:$B$25, INT((ROW()-2)/COUNTA('Category Map'!$B$5:$B$25))+1)</f>
        <v>Na2CO3</v>
      </c>
      <c r="B256" t="str" cm="1">
        <f t="array" ref="B256">INDEX('Category Map'!$B$5:$B$25, MOD(ROW()-2, COUNTA('Category Map'!$B$5:$B$25))+1)</f>
        <v>Chemical Manufacturing</v>
      </c>
      <c r="C256" s="43" cm="1">
        <f t="array" aca="1" ref="C256" ca="1">_xlfn.XLOOKUP(B256,INDIRECT("'" &amp; A256 &amp; "'!G:G"),INDIRECT("'" &amp; A256 &amp; "'!H:H"),0,0,1)</f>
        <v>0.33</v>
      </c>
    </row>
    <row r="257" spans="1:3">
      <c r="A257" t="str" cm="1">
        <f t="array" ref="A257">INDEX('Table of Contents'!$B$5:$B$25, INT((ROW()-2)/COUNTA('Category Map'!$B$5:$B$25))+1)</f>
        <v>Na2CO3</v>
      </c>
      <c r="B257" t="str" cm="1">
        <f t="array" ref="B257">INDEX('Category Map'!$B$5:$B$25, MOD(ROW()-2, COUNTA('Category Map'!$B$5:$B$25))+1)</f>
        <v>Chloralkali Process</v>
      </c>
      <c r="C257" s="43" cm="1">
        <f t="array" aca="1" ref="C257" ca="1">_xlfn.XLOOKUP(B257,INDIRECT("'" &amp; A257 &amp; "'!G:G"),INDIRECT("'" &amp; A257 &amp; "'!H:H"),0,0,1)</f>
        <v>0</v>
      </c>
    </row>
    <row r="258" spans="1:3">
      <c r="A258" t="str" cm="1">
        <f t="array" ref="A258">INDEX('Table of Contents'!$B$5:$B$25, INT((ROW()-2)/COUNTA('Category Map'!$B$5:$B$25))+1)</f>
        <v>Na2CO3</v>
      </c>
      <c r="B258" t="str" cm="1">
        <f t="array" ref="B258">INDEX('Category Map'!$B$5:$B$25, MOD(ROW()-2, COUNTA('Category Map'!$B$5:$B$25))+1)</f>
        <v>Concrete</v>
      </c>
      <c r="C258" s="43" cm="1">
        <f t="array" aca="1" ref="C258" ca="1">_xlfn.XLOOKUP(B258,INDIRECT("'" &amp; A258 &amp; "'!G:G"),INDIRECT("'" &amp; A258 &amp; "'!H:H"),0,0,1)</f>
        <v>0</v>
      </c>
    </row>
    <row r="259" spans="1:3">
      <c r="A259" t="str" cm="1">
        <f t="array" ref="A259">INDEX('Table of Contents'!$B$5:$B$25, INT((ROW()-2)/COUNTA('Category Map'!$B$5:$B$25))+1)</f>
        <v>Na2CO3</v>
      </c>
      <c r="B259" t="str" cm="1">
        <f t="array" ref="B259">INDEX('Category Map'!$B$5:$B$25, MOD(ROW()-2, COUNTA('Category Map'!$B$5:$B$25))+1)</f>
        <v>Construction Aggregate</v>
      </c>
      <c r="C259" s="43" cm="1">
        <f t="array" aca="1" ref="C259" ca="1">_xlfn.XLOOKUP(B259,INDIRECT("'" &amp; A259 &amp; "'!G:G"),INDIRECT("'" &amp; A259 &amp; "'!H:H"),0,0,1)</f>
        <v>0</v>
      </c>
    </row>
    <row r="260" spans="1:3">
      <c r="A260" t="str" cm="1">
        <f t="array" ref="A260">INDEX('Table of Contents'!$B$5:$B$25, INT((ROW()-2)/COUNTA('Category Map'!$B$5:$B$25))+1)</f>
        <v>Na2CO3</v>
      </c>
      <c r="B260" t="str" cm="1">
        <f t="array" ref="B260">INDEX('Category Map'!$B$5:$B$25, MOD(ROW()-2, COUNTA('Category Map'!$B$5:$B$25))+1)</f>
        <v>Deicing</v>
      </c>
      <c r="C260" s="43" cm="1">
        <f t="array" aca="1" ref="C260" ca="1">_xlfn.XLOOKUP(B260,INDIRECT("'" &amp; A260 &amp; "'!G:G"),INDIRECT("'" &amp; A260 &amp; "'!H:H"),0,0,1)</f>
        <v>0</v>
      </c>
    </row>
    <row r="261" spans="1:3">
      <c r="A261" t="str" cm="1">
        <f t="array" ref="A261">INDEX('Table of Contents'!$B$5:$B$25, INT((ROW()-2)/COUNTA('Category Map'!$B$5:$B$25))+1)</f>
        <v>Na2CO3</v>
      </c>
      <c r="B261" t="str" cm="1">
        <f t="array" ref="B261">INDEX('Category Map'!$B$5:$B$25, MOD(ROW()-2, COUNTA('Category Map'!$B$5:$B$25))+1)</f>
        <v>Dust Control</v>
      </c>
      <c r="C261" s="43" cm="1">
        <f t="array" aca="1" ref="C261" ca="1">_xlfn.XLOOKUP(B261,INDIRECT("'" &amp; A261 &amp; "'!G:G"),INDIRECT("'" &amp; A261 &amp; "'!H:H"),0,0,1)</f>
        <v>0</v>
      </c>
    </row>
    <row r="262" spans="1:3">
      <c r="A262" t="str" cm="1">
        <f t="array" ref="A262">INDEX('Table of Contents'!$B$5:$B$25, INT((ROW()-2)/COUNTA('Category Map'!$B$5:$B$25))+1)</f>
        <v>Na2CO3</v>
      </c>
      <c r="B262" t="str" cm="1">
        <f t="array" ref="B262">INDEX('Category Map'!$B$5:$B$25, MOD(ROW()-2, COUNTA('Category Map'!$B$5:$B$25))+1)</f>
        <v>Fertilizer Manufacturing</v>
      </c>
      <c r="C262" s="43" cm="1">
        <f t="array" aca="1" ref="C262" ca="1">_xlfn.XLOOKUP(B262,INDIRECT("'" &amp; A262 &amp; "'!G:G"),INDIRECT("'" &amp; A262 &amp; "'!H:H"),0,0,1)</f>
        <v>0</v>
      </c>
    </row>
    <row r="263" spans="1:3">
      <c r="A263" t="str" cm="1">
        <f t="array" ref="A263">INDEX('Table of Contents'!$B$5:$B$25, INT((ROW()-2)/COUNTA('Category Map'!$B$5:$B$25))+1)</f>
        <v>Na2CO3</v>
      </c>
      <c r="B263" t="str" cm="1">
        <f t="array" ref="B263">INDEX('Category Map'!$B$5:$B$25, MOD(ROW()-2, COUNTA('Category Map'!$B$5:$B$25))+1)</f>
        <v>Flue Gas Desulfurization</v>
      </c>
      <c r="C263" s="43" cm="1">
        <f t="array" aca="1" ref="C263" ca="1">_xlfn.XLOOKUP(B263,INDIRECT("'" &amp; A263 &amp; "'!G:G"),INDIRECT("'" &amp; A263 &amp; "'!H:H"),0,0,1)</f>
        <v>0.04</v>
      </c>
    </row>
    <row r="264" spans="1:3">
      <c r="A264" t="str" cm="1">
        <f t="array" ref="A264">INDEX('Table of Contents'!$B$5:$B$25, INT((ROW()-2)/COUNTA('Category Map'!$B$5:$B$25))+1)</f>
        <v>Na2CO3</v>
      </c>
      <c r="B264" t="str" cm="1">
        <f t="array" ref="B264">INDEX('Category Map'!$B$5:$B$25, MOD(ROW()-2, COUNTA('Category Map'!$B$5:$B$25))+1)</f>
        <v>Glass Manufacturing</v>
      </c>
      <c r="C264" s="43" cm="1">
        <f t="array" aca="1" ref="C264" ca="1">_xlfn.XLOOKUP(B264,INDIRECT("'" &amp; A264 &amp; "'!G:G"),INDIRECT("'" &amp; A264 &amp; "'!H:H"),0,0,1)</f>
        <v>0.45</v>
      </c>
    </row>
    <row r="265" spans="1:3">
      <c r="A265" t="str" cm="1">
        <f t="array" ref="A265">INDEX('Table of Contents'!$B$5:$B$25, INT((ROW()-2)/COUNTA('Category Map'!$B$5:$B$25))+1)</f>
        <v>Na2CO3</v>
      </c>
      <c r="B265" t="str" cm="1">
        <f t="array" ref="B265">INDEX('Category Map'!$B$5:$B$25, MOD(ROW()-2, COUNTA('Category Map'!$B$5:$B$25))+1)</f>
        <v>Gypsum-Based Building Materials</v>
      </c>
      <c r="C265" s="43" cm="1">
        <f t="array" aca="1" ref="C265" ca="1">_xlfn.XLOOKUP(B265,INDIRECT("'" &amp; A265 &amp; "'!G:G"),INDIRECT("'" &amp; A265 &amp; "'!H:H"),0,0,1)</f>
        <v>0</v>
      </c>
    </row>
    <row r="266" spans="1:3">
      <c r="A266" t="str" cm="1">
        <f t="array" ref="A266">INDEX('Table of Contents'!$B$5:$B$25, INT((ROW()-2)/COUNTA('Category Map'!$B$5:$B$25))+1)</f>
        <v>Na2CO3</v>
      </c>
      <c r="B266" t="str" cm="1">
        <f t="array" ref="B266">INDEX('Category Map'!$B$5:$B$25, MOD(ROW()-2, COUNTA('Category Map'!$B$5:$B$25))+1)</f>
        <v>Lime Manufacturing</v>
      </c>
      <c r="C266" s="43" cm="1">
        <f t="array" aca="1" ref="C266" ca="1">_xlfn.XLOOKUP(B266,INDIRECT("'" &amp; A266 &amp; "'!G:G"),INDIRECT("'" &amp; A266 &amp; "'!H:H"),0,0,1)</f>
        <v>0</v>
      </c>
    </row>
    <row r="267" spans="1:3">
      <c r="A267" t="str" cm="1">
        <f t="array" ref="A267">INDEX('Table of Contents'!$B$5:$B$25, INT((ROW()-2)/COUNTA('Category Map'!$B$5:$B$25))+1)</f>
        <v>Na2CO3</v>
      </c>
      <c r="B267" t="str" cm="1">
        <f t="array" ref="B267">INDEX('Category Map'!$B$5:$B$25, MOD(ROW()-2, COUNTA('Category Map'!$B$5:$B$25))+1)</f>
        <v>Livestock</v>
      </c>
      <c r="C267" s="43" cm="1">
        <f t="array" aca="1" ref="C267" ca="1">_xlfn.XLOOKUP(B267,INDIRECT("'" &amp; A267 &amp; "'!G:G"),INDIRECT("'" &amp; A267 &amp; "'!H:H"),0,0,1)</f>
        <v>0</v>
      </c>
    </row>
    <row r="268" spans="1:3">
      <c r="A268" t="str" cm="1">
        <f t="array" ref="A268">INDEX('Table of Contents'!$B$5:$B$25, INT((ROW()-2)/COUNTA('Category Map'!$B$5:$B$25))+1)</f>
        <v>Na2CO3</v>
      </c>
      <c r="B268" t="str" cm="1">
        <f t="array" ref="B268">INDEX('Category Map'!$B$5:$B$25, MOD(ROW()-2, COUNTA('Category Map'!$B$5:$B$25))+1)</f>
        <v>Miscellaneous Agricultural</v>
      </c>
      <c r="C268" s="43" cm="1">
        <f t="array" aca="1" ref="C268" ca="1">_xlfn.XLOOKUP(B268,INDIRECT("'" &amp; A268 &amp; "'!G:G"),INDIRECT("'" &amp; A268 &amp; "'!H:H"),0,0,1)</f>
        <v>0</v>
      </c>
    </row>
    <row r="269" spans="1:3">
      <c r="A269" t="str" cm="1">
        <f t="array" ref="A269">INDEX('Table of Contents'!$B$5:$B$25, INT((ROW()-2)/COUNTA('Category Map'!$B$5:$B$25))+1)</f>
        <v>Na2CO3</v>
      </c>
      <c r="B269" t="str" cm="1">
        <f t="array" ref="B269">INDEX('Category Map'!$B$5:$B$25, MOD(ROW()-2, COUNTA('Category Map'!$B$5:$B$25))+1)</f>
        <v>Miscellaneous Industrial</v>
      </c>
      <c r="C269" s="43" cm="1">
        <f t="array" aca="1" ref="C269" ca="1">_xlfn.XLOOKUP(B269,INDIRECT("'" &amp; A269 &amp; "'!G:G"),INDIRECT("'" &amp; A269 &amp; "'!H:H"),0,0,1)</f>
        <v>0</v>
      </c>
    </row>
    <row r="270" spans="1:3">
      <c r="A270" t="str" cm="1">
        <f t="array" ref="A270">INDEX('Table of Contents'!$B$5:$B$25, INT((ROW()-2)/COUNTA('Category Map'!$B$5:$B$25))+1)</f>
        <v>Na2CO3</v>
      </c>
      <c r="B270" t="str" cm="1">
        <f t="array" ref="B270">INDEX('Category Map'!$B$5:$B$25, MOD(ROW()-2, COUNTA('Category Map'!$B$5:$B$25))+1)</f>
        <v>Oil and Gas</v>
      </c>
      <c r="C270" s="43" cm="1">
        <f t="array" aca="1" ref="C270" ca="1">_xlfn.XLOOKUP(B270,INDIRECT("'" &amp; A270 &amp; "'!G:G"),INDIRECT("'" &amp; A270 &amp; "'!H:H"),0,0,1)</f>
        <v>0</v>
      </c>
    </row>
    <row r="271" spans="1:3">
      <c r="A271" t="str" cm="1">
        <f t="array" ref="A271">INDEX('Table of Contents'!$B$5:$B$25, INT((ROW()-2)/COUNTA('Category Map'!$B$5:$B$25))+1)</f>
        <v>Na2CO3</v>
      </c>
      <c r="B271" t="str" cm="1">
        <f t="array" ref="B271">INDEX('Category Map'!$B$5:$B$25, MOD(ROW()-2, COUNTA('Category Map'!$B$5:$B$25))+1)</f>
        <v>Other</v>
      </c>
      <c r="C271" s="43" cm="1">
        <f t="array" aca="1" ref="C271" ca="1">_xlfn.XLOOKUP(B271,INDIRECT("'" &amp; A271 &amp; "'!G:G"),INDIRECT("'" &amp; A271 &amp; "'!H:H"),0,0,1)</f>
        <v>0.16</v>
      </c>
    </row>
    <row r="272" spans="1:3">
      <c r="A272" t="str" cm="1">
        <f t="array" ref="A272">INDEX('Table of Contents'!$B$5:$B$25, INT((ROW()-2)/COUNTA('Category Map'!$B$5:$B$25))+1)</f>
        <v>Na2CO3</v>
      </c>
      <c r="B272" t="str" cm="1">
        <f t="array" ref="B272">INDEX('Category Map'!$B$5:$B$25, MOD(ROW()-2, COUNTA('Category Map'!$B$5:$B$25))+1)</f>
        <v>Pulp and Paper</v>
      </c>
      <c r="C272" s="43" cm="1">
        <f t="array" aca="1" ref="C272" ca="1">_xlfn.XLOOKUP(B272,INDIRECT("'" &amp; A272 &amp; "'!G:G"),INDIRECT("'" &amp; A272 &amp; "'!H:H"),0,0,1)</f>
        <v>0.01</v>
      </c>
    </row>
    <row r="273" spans="1:3">
      <c r="A273" t="str" cm="1">
        <f t="array" ref="A273">INDEX('Table of Contents'!$B$5:$B$25, INT((ROW()-2)/COUNTA('Category Map'!$B$5:$B$25))+1)</f>
        <v>Na2CO3</v>
      </c>
      <c r="B273" t="str" cm="1">
        <f t="array" ref="B273">INDEX('Category Map'!$B$5:$B$25, MOD(ROW()-2, COUNTA('Category Map'!$B$5:$B$25))+1)</f>
        <v>Steel Pickling</v>
      </c>
      <c r="C273" s="43" cm="1">
        <f t="array" aca="1" ref="C273" ca="1">_xlfn.XLOOKUP(B273,INDIRECT("'" &amp; A273 &amp; "'!G:G"),INDIRECT("'" &amp; A273 &amp; "'!H:H"),0,0,1)</f>
        <v>0</v>
      </c>
    </row>
    <row r="274" spans="1:3">
      <c r="A274" t="str" cm="1">
        <f t="array" ref="A274">INDEX('Table of Contents'!$B$5:$B$25, INT((ROW()-2)/COUNTA('Category Map'!$B$5:$B$25))+1)</f>
        <v>Na2CO3</v>
      </c>
      <c r="B274" t="str" cm="1">
        <f t="array" ref="B274">INDEX('Category Map'!$B$5:$B$25, MOD(ROW()-2, COUNTA('Category Map'!$B$5:$B$25))+1)</f>
        <v>Water Treatment</v>
      </c>
      <c r="C274" s="43" cm="1">
        <f t="array" aca="1" ref="C274" ca="1">_xlfn.XLOOKUP(B274,INDIRECT("'" &amp; A274 &amp; "'!G:G"),INDIRECT("'" &amp; A274 &amp; "'!H:H"),0,0,1)</f>
        <v>0.01</v>
      </c>
    </row>
    <row r="275" spans="1:3">
      <c r="A275" t="str" cm="1">
        <f t="array" ref="A275">INDEX('Table of Contents'!$B$5:$B$25, INT((ROW()-2)/COUNTA('Category Map'!$B$5:$B$25))+1)</f>
        <v>NaHCO3</v>
      </c>
      <c r="B275" t="str" cm="1">
        <f t="array" ref="B275">INDEX('Category Map'!$B$5:$B$25, MOD(ROW()-2, COUNTA('Category Map'!$B$5:$B$25))+1)</f>
        <v>Battery Manufacturing</v>
      </c>
      <c r="C275" s="43" cm="1">
        <f t="array" aca="1" ref="C275" ca="1">_xlfn.XLOOKUP(B275,INDIRECT("'" &amp; A275 &amp; "'!G:G"),INDIRECT("'" &amp; A275 &amp; "'!H:H"),0,0,1)</f>
        <v>0</v>
      </c>
    </row>
    <row r="276" spans="1:3">
      <c r="A276" t="str" cm="1">
        <f t="array" ref="A276">INDEX('Table of Contents'!$B$5:$B$25, INT((ROW()-2)/COUNTA('Category Map'!$B$5:$B$25))+1)</f>
        <v>NaHCO3</v>
      </c>
      <c r="B276" t="str" cm="1">
        <f t="array" ref="B276">INDEX('Category Map'!$B$5:$B$25, MOD(ROW()-2, COUNTA('Category Map'!$B$5:$B$25))+1)</f>
        <v>Cement Manufacturing</v>
      </c>
      <c r="C276" s="43" cm="1">
        <f t="array" aca="1" ref="C276" ca="1">_xlfn.XLOOKUP(B276,INDIRECT("'" &amp; A276 &amp; "'!G:G"),INDIRECT("'" &amp; A276 &amp; "'!H:H"),0,0,1)</f>
        <v>0</v>
      </c>
    </row>
    <row r="277" spans="1:3">
      <c r="A277" t="str" cm="1">
        <f t="array" ref="A277">INDEX('Table of Contents'!$B$5:$B$25, INT((ROW()-2)/COUNTA('Category Map'!$B$5:$B$25))+1)</f>
        <v>NaHCO3</v>
      </c>
      <c r="B277" t="str" cm="1">
        <f t="array" ref="B277">INDEX('Category Map'!$B$5:$B$25, MOD(ROW()-2, COUNTA('Category Map'!$B$5:$B$25))+1)</f>
        <v>Chemical Manufacturing</v>
      </c>
      <c r="C277" s="43" cm="1">
        <f t="array" aca="1" ref="C277" ca="1">_xlfn.XLOOKUP(B277,INDIRECT("'" &amp; A277 &amp; "'!G:G"),INDIRECT("'" &amp; A277 &amp; "'!H:H"),0,0,1)</f>
        <v>4.1666666666666664E-2</v>
      </c>
    </row>
    <row r="278" spans="1:3">
      <c r="A278" t="str" cm="1">
        <f t="array" ref="A278">INDEX('Table of Contents'!$B$5:$B$25, INT((ROW()-2)/COUNTA('Category Map'!$B$5:$B$25))+1)</f>
        <v>NaHCO3</v>
      </c>
      <c r="B278" t="str" cm="1">
        <f t="array" ref="B278">INDEX('Category Map'!$B$5:$B$25, MOD(ROW()-2, COUNTA('Category Map'!$B$5:$B$25))+1)</f>
        <v>Chloralkali Process</v>
      </c>
      <c r="C278" s="43" cm="1">
        <f t="array" aca="1" ref="C278" ca="1">_xlfn.XLOOKUP(B278,INDIRECT("'" &amp; A278 &amp; "'!G:G"),INDIRECT("'" &amp; A278 &amp; "'!H:H"),0,0,1)</f>
        <v>0</v>
      </c>
    </row>
    <row r="279" spans="1:3">
      <c r="A279" t="str" cm="1">
        <f t="array" ref="A279">INDEX('Table of Contents'!$B$5:$B$25, INT((ROW()-2)/COUNTA('Category Map'!$B$5:$B$25))+1)</f>
        <v>NaHCO3</v>
      </c>
      <c r="B279" t="str" cm="1">
        <f t="array" ref="B279">INDEX('Category Map'!$B$5:$B$25, MOD(ROW()-2, COUNTA('Category Map'!$B$5:$B$25))+1)</f>
        <v>Concrete</v>
      </c>
      <c r="C279" s="43" cm="1">
        <f t="array" aca="1" ref="C279" ca="1">_xlfn.XLOOKUP(B279,INDIRECT("'" &amp; A279 &amp; "'!G:G"),INDIRECT("'" &amp; A279 &amp; "'!H:H"),0,0,1)</f>
        <v>0</v>
      </c>
    </row>
    <row r="280" spans="1:3">
      <c r="A280" t="str" cm="1">
        <f t="array" ref="A280">INDEX('Table of Contents'!$B$5:$B$25, INT((ROW()-2)/COUNTA('Category Map'!$B$5:$B$25))+1)</f>
        <v>NaHCO3</v>
      </c>
      <c r="B280" t="str" cm="1">
        <f t="array" ref="B280">INDEX('Category Map'!$B$5:$B$25, MOD(ROW()-2, COUNTA('Category Map'!$B$5:$B$25))+1)</f>
        <v>Construction Aggregate</v>
      </c>
      <c r="C280" s="43" cm="1">
        <f t="array" aca="1" ref="C280" ca="1">_xlfn.XLOOKUP(B280,INDIRECT("'" &amp; A280 &amp; "'!G:G"),INDIRECT("'" &amp; A280 &amp; "'!H:H"),0,0,1)</f>
        <v>0</v>
      </c>
    </row>
    <row r="281" spans="1:3">
      <c r="A281" t="str" cm="1">
        <f t="array" ref="A281">INDEX('Table of Contents'!$B$5:$B$25, INT((ROW()-2)/COUNTA('Category Map'!$B$5:$B$25))+1)</f>
        <v>NaHCO3</v>
      </c>
      <c r="B281" t="str" cm="1">
        <f t="array" ref="B281">INDEX('Category Map'!$B$5:$B$25, MOD(ROW()-2, COUNTA('Category Map'!$B$5:$B$25))+1)</f>
        <v>Deicing</v>
      </c>
      <c r="C281" s="43" cm="1">
        <f t="array" aca="1" ref="C281" ca="1">_xlfn.XLOOKUP(B281,INDIRECT("'" &amp; A281 &amp; "'!G:G"),INDIRECT("'" &amp; A281 &amp; "'!H:H"),0,0,1)</f>
        <v>0</v>
      </c>
    </row>
    <row r="282" spans="1:3">
      <c r="A282" t="str" cm="1">
        <f t="array" ref="A282">INDEX('Table of Contents'!$B$5:$B$25, INT((ROW()-2)/COUNTA('Category Map'!$B$5:$B$25))+1)</f>
        <v>NaHCO3</v>
      </c>
      <c r="B282" t="str" cm="1">
        <f t="array" ref="B282">INDEX('Category Map'!$B$5:$B$25, MOD(ROW()-2, COUNTA('Category Map'!$B$5:$B$25))+1)</f>
        <v>Dust Control</v>
      </c>
      <c r="C282" s="43" cm="1">
        <f t="array" aca="1" ref="C282" ca="1">_xlfn.XLOOKUP(B282,INDIRECT("'" &amp; A282 &amp; "'!G:G"),INDIRECT("'" &amp; A282 &amp; "'!H:H"),0,0,1)</f>
        <v>0</v>
      </c>
    </row>
    <row r="283" spans="1:3">
      <c r="A283" t="str" cm="1">
        <f t="array" ref="A283">INDEX('Table of Contents'!$B$5:$B$25, INT((ROW()-2)/COUNTA('Category Map'!$B$5:$B$25))+1)</f>
        <v>NaHCO3</v>
      </c>
      <c r="B283" t="str" cm="1">
        <f t="array" ref="B283">INDEX('Category Map'!$B$5:$B$25, MOD(ROW()-2, COUNTA('Category Map'!$B$5:$B$25))+1)</f>
        <v>Fertilizer Manufacturing</v>
      </c>
      <c r="C283" s="43" cm="1">
        <f t="array" aca="1" ref="C283" ca="1">_xlfn.XLOOKUP(B283,INDIRECT("'" &amp; A283 &amp; "'!G:G"),INDIRECT("'" &amp; A283 &amp; "'!H:H"),0,0,1)</f>
        <v>0</v>
      </c>
    </row>
    <row r="284" spans="1:3">
      <c r="A284" t="str" cm="1">
        <f t="array" ref="A284">INDEX('Table of Contents'!$B$5:$B$25, INT((ROW()-2)/COUNTA('Category Map'!$B$5:$B$25))+1)</f>
        <v>NaHCO3</v>
      </c>
      <c r="B284" t="str" cm="1">
        <f t="array" ref="B284">INDEX('Category Map'!$B$5:$B$25, MOD(ROW()-2, COUNTA('Category Map'!$B$5:$B$25))+1)</f>
        <v>Flue Gas Desulfurization</v>
      </c>
      <c r="C284" s="43" cm="1">
        <f t="array" aca="1" ref="C284" ca="1">_xlfn.XLOOKUP(B284,INDIRECT("'" &amp; A284 &amp; "'!G:G"),INDIRECT("'" &amp; A284 &amp; "'!H:H"),0,0,1)</f>
        <v>0.09</v>
      </c>
    </row>
    <row r="285" spans="1:3">
      <c r="A285" t="str" cm="1">
        <f t="array" ref="A285">INDEX('Table of Contents'!$B$5:$B$25, INT((ROW()-2)/COUNTA('Category Map'!$B$5:$B$25))+1)</f>
        <v>NaHCO3</v>
      </c>
      <c r="B285" t="str" cm="1">
        <f t="array" ref="B285">INDEX('Category Map'!$B$5:$B$25, MOD(ROW()-2, COUNTA('Category Map'!$B$5:$B$25))+1)</f>
        <v>Glass Manufacturing</v>
      </c>
      <c r="C285" s="43" cm="1">
        <f t="array" aca="1" ref="C285" ca="1">_xlfn.XLOOKUP(B285,INDIRECT("'" &amp; A285 &amp; "'!G:G"),INDIRECT("'" &amp; A285 &amp; "'!H:H"),0,0,1)</f>
        <v>0</v>
      </c>
    </row>
    <row r="286" spans="1:3">
      <c r="A286" t="str" cm="1">
        <f t="array" ref="A286">INDEX('Table of Contents'!$B$5:$B$25, INT((ROW()-2)/COUNTA('Category Map'!$B$5:$B$25))+1)</f>
        <v>NaHCO3</v>
      </c>
      <c r="B286" t="str" cm="1">
        <f t="array" ref="B286">INDEX('Category Map'!$B$5:$B$25, MOD(ROW()-2, COUNTA('Category Map'!$B$5:$B$25))+1)</f>
        <v>Gypsum-Based Building Materials</v>
      </c>
      <c r="C286" s="43" cm="1">
        <f t="array" aca="1" ref="C286" ca="1">_xlfn.XLOOKUP(B286,INDIRECT("'" &amp; A286 &amp; "'!G:G"),INDIRECT("'" &amp; A286 &amp; "'!H:H"),0,0,1)</f>
        <v>0</v>
      </c>
    </row>
    <row r="287" spans="1:3">
      <c r="A287" t="str" cm="1">
        <f t="array" ref="A287">INDEX('Table of Contents'!$B$5:$B$25, INT((ROW()-2)/COUNTA('Category Map'!$B$5:$B$25))+1)</f>
        <v>NaHCO3</v>
      </c>
      <c r="B287" t="str" cm="1">
        <f t="array" ref="B287">INDEX('Category Map'!$B$5:$B$25, MOD(ROW()-2, COUNTA('Category Map'!$B$5:$B$25))+1)</f>
        <v>Lime Manufacturing</v>
      </c>
      <c r="C287" s="43" cm="1">
        <f t="array" aca="1" ref="C287" ca="1">_xlfn.XLOOKUP(B287,INDIRECT("'" &amp; A287 &amp; "'!G:G"),INDIRECT("'" &amp; A287 &amp; "'!H:H"),0,0,1)</f>
        <v>0</v>
      </c>
    </row>
    <row r="288" spans="1:3">
      <c r="A288" t="str" cm="1">
        <f t="array" ref="A288">INDEX('Table of Contents'!$B$5:$B$25, INT((ROW()-2)/COUNTA('Category Map'!$B$5:$B$25))+1)</f>
        <v>NaHCO3</v>
      </c>
      <c r="B288" t="str" cm="1">
        <f t="array" ref="B288">INDEX('Category Map'!$B$5:$B$25, MOD(ROW()-2, COUNTA('Category Map'!$B$5:$B$25))+1)</f>
        <v>Livestock</v>
      </c>
      <c r="C288" s="43" cm="1">
        <f t="array" aca="1" ref="C288" ca="1">_xlfn.XLOOKUP(B288,INDIRECT("'" &amp; A288 &amp; "'!G:G"),INDIRECT("'" &amp; A288 &amp; "'!H:H"),0,0,1)</f>
        <v>0.27</v>
      </c>
    </row>
    <row r="289" spans="1:3">
      <c r="A289" t="str" cm="1">
        <f t="array" ref="A289">INDEX('Table of Contents'!$B$5:$B$25, INT((ROW()-2)/COUNTA('Category Map'!$B$5:$B$25))+1)</f>
        <v>NaHCO3</v>
      </c>
      <c r="B289" t="str" cm="1">
        <f t="array" ref="B289">INDEX('Category Map'!$B$5:$B$25, MOD(ROW()-2, COUNTA('Category Map'!$B$5:$B$25))+1)</f>
        <v>Miscellaneous Agricultural</v>
      </c>
      <c r="C289" s="43" cm="1">
        <f t="array" aca="1" ref="C289" ca="1">_xlfn.XLOOKUP(B289,INDIRECT("'" &amp; A289 &amp; "'!G:G"),INDIRECT("'" &amp; A289 &amp; "'!H:H"),0,0,1)</f>
        <v>0.05</v>
      </c>
    </row>
    <row r="290" spans="1:3">
      <c r="A290" t="str" cm="1">
        <f t="array" ref="A290">INDEX('Table of Contents'!$B$5:$B$25, INT((ROW()-2)/COUNTA('Category Map'!$B$5:$B$25))+1)</f>
        <v>NaHCO3</v>
      </c>
      <c r="B290" t="str" cm="1">
        <f t="array" ref="B290">INDEX('Category Map'!$B$5:$B$25, MOD(ROW()-2, COUNTA('Category Map'!$B$5:$B$25))+1)</f>
        <v>Miscellaneous Industrial</v>
      </c>
      <c r="C290" s="43" cm="1">
        <f t="array" aca="1" ref="C290" ca="1">_xlfn.XLOOKUP(B290,INDIRECT("'" &amp; A290 &amp; "'!G:G"),INDIRECT("'" &amp; A290 &amp; "'!H:H"),0,0,1)</f>
        <v>0.4</v>
      </c>
    </row>
    <row r="291" spans="1:3">
      <c r="A291" t="str" cm="1">
        <f t="array" ref="A291">INDEX('Table of Contents'!$B$5:$B$25, INT((ROW()-2)/COUNTA('Category Map'!$B$5:$B$25))+1)</f>
        <v>NaHCO3</v>
      </c>
      <c r="B291" t="str" cm="1">
        <f t="array" ref="B291">INDEX('Category Map'!$B$5:$B$25, MOD(ROW()-2, COUNTA('Category Map'!$B$5:$B$25))+1)</f>
        <v>Oil and Gas</v>
      </c>
      <c r="C291" s="43" cm="1">
        <f t="array" aca="1" ref="C291" ca="1">_xlfn.XLOOKUP(B291,INDIRECT("'" &amp; A291 &amp; "'!G:G"),INDIRECT("'" &amp; A291 &amp; "'!H:H"),0,0,1)</f>
        <v>0</v>
      </c>
    </row>
    <row r="292" spans="1:3">
      <c r="A292" t="str" cm="1">
        <f t="array" ref="A292">INDEX('Table of Contents'!$B$5:$B$25, INT((ROW()-2)/COUNTA('Category Map'!$B$5:$B$25))+1)</f>
        <v>NaHCO3</v>
      </c>
      <c r="B292" t="str" cm="1">
        <f t="array" ref="B292">INDEX('Category Map'!$B$5:$B$25, MOD(ROW()-2, COUNTA('Category Map'!$B$5:$B$25))+1)</f>
        <v>Other</v>
      </c>
      <c r="C292" s="43" cm="1">
        <f t="array" aca="1" ref="C292" ca="1">_xlfn.XLOOKUP(B292,INDIRECT("'" &amp; A292 &amp; "'!G:G"),INDIRECT("'" &amp; A292 &amp; "'!H:H"),0,0,1)</f>
        <v>0.12</v>
      </c>
    </row>
    <row r="293" spans="1:3">
      <c r="A293" t="str" cm="1">
        <f t="array" ref="A293">INDEX('Table of Contents'!$B$5:$B$25, INT((ROW()-2)/COUNTA('Category Map'!$B$5:$B$25))+1)</f>
        <v>NaHCO3</v>
      </c>
      <c r="B293" t="str" cm="1">
        <f t="array" ref="B293">INDEX('Category Map'!$B$5:$B$25, MOD(ROW()-2, COUNTA('Category Map'!$B$5:$B$25))+1)</f>
        <v>Pulp and Paper</v>
      </c>
      <c r="C293" s="43" cm="1">
        <f t="array" aca="1" ref="C293" ca="1">_xlfn.XLOOKUP(B293,INDIRECT("'" &amp; A293 &amp; "'!G:G"),INDIRECT("'" &amp; A293 &amp; "'!H:H"),0,0,1)</f>
        <v>0</v>
      </c>
    </row>
    <row r="294" spans="1:3">
      <c r="A294" t="str" cm="1">
        <f t="array" ref="A294">INDEX('Table of Contents'!$B$5:$B$25, INT((ROW()-2)/COUNTA('Category Map'!$B$5:$B$25))+1)</f>
        <v>NaHCO3</v>
      </c>
      <c r="B294" t="str" cm="1">
        <f t="array" ref="B294">INDEX('Category Map'!$B$5:$B$25, MOD(ROW()-2, COUNTA('Category Map'!$B$5:$B$25))+1)</f>
        <v>Steel Pickling</v>
      </c>
      <c r="C294" s="43" cm="1">
        <f t="array" aca="1" ref="C294" ca="1">_xlfn.XLOOKUP(B294,INDIRECT("'" &amp; A294 &amp; "'!G:G"),INDIRECT("'" &amp; A294 &amp; "'!H:H"),0,0,1)</f>
        <v>0</v>
      </c>
    </row>
    <row r="295" spans="1:3">
      <c r="A295" t="str" cm="1">
        <f t="array" ref="A295">INDEX('Table of Contents'!$B$5:$B$25, INT((ROW()-2)/COUNTA('Category Map'!$B$5:$B$25))+1)</f>
        <v>NaHCO3</v>
      </c>
      <c r="B295" t="str" cm="1">
        <f t="array" ref="B295">INDEX('Category Map'!$B$5:$B$25, MOD(ROW()-2, COUNTA('Category Map'!$B$5:$B$25))+1)</f>
        <v>Water Treatment</v>
      </c>
      <c r="C295" s="43" cm="1">
        <f t="array" aca="1" ref="C295" ca="1">_xlfn.XLOOKUP(B295,INDIRECT("'" &amp; A295 &amp; "'!G:G"),INDIRECT("'" &amp; A295 &amp; "'!H:H"),0,0,1)</f>
        <v>0.03</v>
      </c>
    </row>
    <row r="296" spans="1:3">
      <c r="A296" t="str" cm="1">
        <f t="array" ref="A296">INDEX('Table of Contents'!$B$5:$B$25, INT((ROW()-2)/COUNTA('Category Map'!$B$5:$B$25))+1)</f>
        <v>Na2SO4</v>
      </c>
      <c r="B296" t="str" cm="1">
        <f t="array" ref="B296">INDEX('Category Map'!$B$5:$B$25, MOD(ROW()-2, COUNTA('Category Map'!$B$5:$B$25))+1)</f>
        <v>Battery Manufacturing</v>
      </c>
      <c r="C296" s="43" cm="1">
        <f t="array" aca="1" ref="C296" ca="1">_xlfn.XLOOKUP(B296,INDIRECT("'" &amp; A296 &amp; "'!G:G"),INDIRECT("'" &amp; A296 &amp; "'!H:H"),0,0,1)</f>
        <v>0</v>
      </c>
    </row>
    <row r="297" spans="1:3">
      <c r="A297" t="str" cm="1">
        <f t="array" ref="A297">INDEX('Table of Contents'!$B$5:$B$25, INT((ROW()-2)/COUNTA('Category Map'!$B$5:$B$25))+1)</f>
        <v>Na2SO4</v>
      </c>
      <c r="B297" t="str" cm="1">
        <f t="array" ref="B297">INDEX('Category Map'!$B$5:$B$25, MOD(ROW()-2, COUNTA('Category Map'!$B$5:$B$25))+1)</f>
        <v>Cement Manufacturing</v>
      </c>
      <c r="C297" s="43" cm="1">
        <f t="array" aca="1" ref="C297" ca="1">_xlfn.XLOOKUP(B297,INDIRECT("'" &amp; A297 &amp; "'!G:G"),INDIRECT("'" &amp; A297 &amp; "'!H:H"),0,0,1)</f>
        <v>0</v>
      </c>
    </row>
    <row r="298" spans="1:3">
      <c r="A298" t="str" cm="1">
        <f t="array" ref="A298">INDEX('Table of Contents'!$B$5:$B$25, INT((ROW()-2)/COUNTA('Category Map'!$B$5:$B$25))+1)</f>
        <v>Na2SO4</v>
      </c>
      <c r="B298" t="str" cm="1">
        <f t="array" ref="B298">INDEX('Category Map'!$B$5:$B$25, MOD(ROW()-2, COUNTA('Category Map'!$B$5:$B$25))+1)</f>
        <v>Chemical Manufacturing</v>
      </c>
      <c r="C298" s="43" cm="1">
        <f t="array" aca="1" ref="C298" ca="1">_xlfn.XLOOKUP(B298,INDIRECT("'" &amp; A298 &amp; "'!G:G"),INDIRECT("'" &amp; A298 &amp; "'!H:H"),0,0,1)</f>
        <v>0.35</v>
      </c>
    </row>
    <row r="299" spans="1:3">
      <c r="A299" t="str" cm="1">
        <f t="array" ref="A299">INDEX('Table of Contents'!$B$5:$B$25, INT((ROW()-2)/COUNTA('Category Map'!$B$5:$B$25))+1)</f>
        <v>Na2SO4</v>
      </c>
      <c r="B299" t="str" cm="1">
        <f t="array" ref="B299">INDEX('Category Map'!$B$5:$B$25, MOD(ROW()-2, COUNTA('Category Map'!$B$5:$B$25))+1)</f>
        <v>Chloralkali Process</v>
      </c>
      <c r="C299" s="43" cm="1">
        <f t="array" aca="1" ref="C299" ca="1">_xlfn.XLOOKUP(B299,INDIRECT("'" &amp; A299 &amp; "'!G:G"),INDIRECT("'" &amp; A299 &amp; "'!H:H"),0,0,1)</f>
        <v>0</v>
      </c>
    </row>
    <row r="300" spans="1:3">
      <c r="A300" t="str" cm="1">
        <f t="array" ref="A300">INDEX('Table of Contents'!$B$5:$B$25, INT((ROW()-2)/COUNTA('Category Map'!$B$5:$B$25))+1)</f>
        <v>Na2SO4</v>
      </c>
      <c r="B300" t="str" cm="1">
        <f t="array" ref="B300">INDEX('Category Map'!$B$5:$B$25, MOD(ROW()-2, COUNTA('Category Map'!$B$5:$B$25))+1)</f>
        <v>Concrete</v>
      </c>
      <c r="C300" s="43" cm="1">
        <f t="array" aca="1" ref="C300" ca="1">_xlfn.XLOOKUP(B300,INDIRECT("'" &amp; A300 &amp; "'!G:G"),INDIRECT("'" &amp; A300 &amp; "'!H:H"),0,0,1)</f>
        <v>0</v>
      </c>
    </row>
    <row r="301" spans="1:3">
      <c r="A301" t="str" cm="1">
        <f t="array" ref="A301">INDEX('Table of Contents'!$B$5:$B$25, INT((ROW()-2)/COUNTA('Category Map'!$B$5:$B$25))+1)</f>
        <v>Na2SO4</v>
      </c>
      <c r="B301" t="str" cm="1">
        <f t="array" ref="B301">INDEX('Category Map'!$B$5:$B$25, MOD(ROW()-2, COUNTA('Category Map'!$B$5:$B$25))+1)</f>
        <v>Construction Aggregate</v>
      </c>
      <c r="C301" s="43" cm="1">
        <f t="array" aca="1" ref="C301" ca="1">_xlfn.XLOOKUP(B301,INDIRECT("'" &amp; A301 &amp; "'!G:G"),INDIRECT("'" &amp; A301 &amp; "'!H:H"),0,0,1)</f>
        <v>0</v>
      </c>
    </row>
    <row r="302" spans="1:3">
      <c r="A302" t="str" cm="1">
        <f t="array" ref="A302">INDEX('Table of Contents'!$B$5:$B$25, INT((ROW()-2)/COUNTA('Category Map'!$B$5:$B$25))+1)</f>
        <v>Na2SO4</v>
      </c>
      <c r="B302" t="str" cm="1">
        <f t="array" ref="B302">INDEX('Category Map'!$B$5:$B$25, MOD(ROW()-2, COUNTA('Category Map'!$B$5:$B$25))+1)</f>
        <v>Deicing</v>
      </c>
      <c r="C302" s="43" cm="1">
        <f t="array" aca="1" ref="C302" ca="1">_xlfn.XLOOKUP(B302,INDIRECT("'" &amp; A302 &amp; "'!G:G"),INDIRECT("'" &amp; A302 &amp; "'!H:H"),0,0,1)</f>
        <v>0</v>
      </c>
    </row>
    <row r="303" spans="1:3">
      <c r="A303" t="str" cm="1">
        <f t="array" ref="A303">INDEX('Table of Contents'!$B$5:$B$25, INT((ROW()-2)/COUNTA('Category Map'!$B$5:$B$25))+1)</f>
        <v>Na2SO4</v>
      </c>
      <c r="B303" t="str" cm="1">
        <f t="array" ref="B303">INDEX('Category Map'!$B$5:$B$25, MOD(ROW()-2, COUNTA('Category Map'!$B$5:$B$25))+1)</f>
        <v>Dust Control</v>
      </c>
      <c r="C303" s="43" cm="1">
        <f t="array" aca="1" ref="C303" ca="1">_xlfn.XLOOKUP(B303,INDIRECT("'" &amp; A303 &amp; "'!G:G"),INDIRECT("'" &amp; A303 &amp; "'!H:H"),0,0,1)</f>
        <v>0</v>
      </c>
    </row>
    <row r="304" spans="1:3">
      <c r="A304" t="str" cm="1">
        <f t="array" ref="A304">INDEX('Table of Contents'!$B$5:$B$25, INT((ROW()-2)/COUNTA('Category Map'!$B$5:$B$25))+1)</f>
        <v>Na2SO4</v>
      </c>
      <c r="B304" t="str" cm="1">
        <f t="array" ref="B304">INDEX('Category Map'!$B$5:$B$25, MOD(ROW()-2, COUNTA('Category Map'!$B$5:$B$25))+1)</f>
        <v>Fertilizer Manufacturing</v>
      </c>
      <c r="C304" s="43" cm="1">
        <f t="array" aca="1" ref="C304" ca="1">_xlfn.XLOOKUP(B304,INDIRECT("'" &amp; A304 &amp; "'!G:G"),INDIRECT("'" &amp; A304 &amp; "'!H:H"),0,0,1)</f>
        <v>0</v>
      </c>
    </row>
    <row r="305" spans="1:3">
      <c r="A305" t="str" cm="1">
        <f t="array" ref="A305">INDEX('Table of Contents'!$B$5:$B$25, INT((ROW()-2)/COUNTA('Category Map'!$B$5:$B$25))+1)</f>
        <v>Na2SO4</v>
      </c>
      <c r="B305" t="str" cm="1">
        <f t="array" ref="B305">INDEX('Category Map'!$B$5:$B$25, MOD(ROW()-2, COUNTA('Category Map'!$B$5:$B$25))+1)</f>
        <v>Flue Gas Desulfurization</v>
      </c>
      <c r="C305" s="43" cm="1">
        <f t="array" aca="1" ref="C305" ca="1">_xlfn.XLOOKUP(B305,INDIRECT("'" &amp; A305 &amp; "'!G:G"),INDIRECT("'" &amp; A305 &amp; "'!H:H"),0,0,1)</f>
        <v>0</v>
      </c>
    </row>
    <row r="306" spans="1:3">
      <c r="A306" t="str" cm="1">
        <f t="array" ref="A306">INDEX('Table of Contents'!$B$5:$B$25, INT((ROW()-2)/COUNTA('Category Map'!$B$5:$B$25))+1)</f>
        <v>Na2SO4</v>
      </c>
      <c r="B306" t="str" cm="1">
        <f t="array" ref="B306">INDEX('Category Map'!$B$5:$B$25, MOD(ROW()-2, COUNTA('Category Map'!$B$5:$B$25))+1)</f>
        <v>Glass Manufacturing</v>
      </c>
      <c r="C306" s="43" cm="1">
        <f t="array" aca="1" ref="C306" ca="1">_xlfn.XLOOKUP(B306,INDIRECT("'" &amp; A306 &amp; "'!G:G"),INDIRECT("'" &amp; A306 &amp; "'!H:H"),0,0,1)</f>
        <v>0.18</v>
      </c>
    </row>
    <row r="307" spans="1:3">
      <c r="A307" t="str" cm="1">
        <f t="array" ref="A307">INDEX('Table of Contents'!$B$5:$B$25, INT((ROW()-2)/COUNTA('Category Map'!$B$5:$B$25))+1)</f>
        <v>Na2SO4</v>
      </c>
      <c r="B307" t="str" cm="1">
        <f t="array" ref="B307">INDEX('Category Map'!$B$5:$B$25, MOD(ROW()-2, COUNTA('Category Map'!$B$5:$B$25))+1)</f>
        <v>Gypsum-Based Building Materials</v>
      </c>
      <c r="C307" s="43" cm="1">
        <f t="array" aca="1" ref="C307" ca="1">_xlfn.XLOOKUP(B307,INDIRECT("'" &amp; A307 &amp; "'!G:G"),INDIRECT("'" &amp; A307 &amp; "'!H:H"),0,0,1)</f>
        <v>0</v>
      </c>
    </row>
    <row r="308" spans="1:3">
      <c r="A308" t="str" cm="1">
        <f t="array" ref="A308">INDEX('Table of Contents'!$B$5:$B$25, INT((ROW()-2)/COUNTA('Category Map'!$B$5:$B$25))+1)</f>
        <v>Na2SO4</v>
      </c>
      <c r="B308" t="str" cm="1">
        <f t="array" ref="B308">INDEX('Category Map'!$B$5:$B$25, MOD(ROW()-2, COUNTA('Category Map'!$B$5:$B$25))+1)</f>
        <v>Lime Manufacturing</v>
      </c>
      <c r="C308" s="43" cm="1">
        <f t="array" aca="1" ref="C308" ca="1">_xlfn.XLOOKUP(B308,INDIRECT("'" &amp; A308 &amp; "'!G:G"),INDIRECT("'" &amp; A308 &amp; "'!H:H"),0,0,1)</f>
        <v>0</v>
      </c>
    </row>
    <row r="309" spans="1:3">
      <c r="A309" t="str" cm="1">
        <f t="array" ref="A309">INDEX('Table of Contents'!$B$5:$B$25, INT((ROW()-2)/COUNTA('Category Map'!$B$5:$B$25))+1)</f>
        <v>Na2SO4</v>
      </c>
      <c r="B309" t="str" cm="1">
        <f t="array" ref="B309">INDEX('Category Map'!$B$5:$B$25, MOD(ROW()-2, COUNTA('Category Map'!$B$5:$B$25))+1)</f>
        <v>Livestock</v>
      </c>
      <c r="C309" s="43" cm="1">
        <f t="array" aca="1" ref="C309" ca="1">_xlfn.XLOOKUP(B309,INDIRECT("'" &amp; A309 &amp; "'!G:G"),INDIRECT("'" &amp; A309 &amp; "'!H:H"),0,0,1)</f>
        <v>0</v>
      </c>
    </row>
    <row r="310" spans="1:3">
      <c r="A310" t="str" cm="1">
        <f t="array" ref="A310">INDEX('Table of Contents'!$B$5:$B$25, INT((ROW()-2)/COUNTA('Category Map'!$B$5:$B$25))+1)</f>
        <v>Na2SO4</v>
      </c>
      <c r="B310" t="str" cm="1">
        <f t="array" ref="B310">INDEX('Category Map'!$B$5:$B$25, MOD(ROW()-2, COUNTA('Category Map'!$B$5:$B$25))+1)</f>
        <v>Miscellaneous Agricultural</v>
      </c>
      <c r="C310" s="43" cm="1">
        <f t="array" aca="1" ref="C310" ca="1">_xlfn.XLOOKUP(B310,INDIRECT("'" &amp; A310 &amp; "'!G:G"),INDIRECT("'" &amp; A310 &amp; "'!H:H"),0,0,1)</f>
        <v>0</v>
      </c>
    </row>
    <row r="311" spans="1:3">
      <c r="A311" t="str" cm="1">
        <f t="array" ref="A311">INDEX('Table of Contents'!$B$5:$B$25, INT((ROW()-2)/COUNTA('Category Map'!$B$5:$B$25))+1)</f>
        <v>Na2SO4</v>
      </c>
      <c r="B311" t="str" cm="1">
        <f t="array" ref="B311">INDEX('Category Map'!$B$5:$B$25, MOD(ROW()-2, COUNTA('Category Map'!$B$5:$B$25))+1)</f>
        <v>Miscellaneous Industrial</v>
      </c>
      <c r="C311" s="43" cm="1">
        <f t="array" aca="1" ref="C311" ca="1">_xlfn.XLOOKUP(B311,INDIRECT("'" &amp; A311 &amp; "'!G:G"),INDIRECT("'" &amp; A311 &amp; "'!H:H"),0,0,1)</f>
        <v>0.08</v>
      </c>
    </row>
    <row r="312" spans="1:3">
      <c r="A312" t="str" cm="1">
        <f t="array" ref="A312">INDEX('Table of Contents'!$B$5:$B$25, INT((ROW()-2)/COUNTA('Category Map'!$B$5:$B$25))+1)</f>
        <v>Na2SO4</v>
      </c>
      <c r="B312" t="str" cm="1">
        <f t="array" ref="B312">INDEX('Category Map'!$B$5:$B$25, MOD(ROW()-2, COUNTA('Category Map'!$B$5:$B$25))+1)</f>
        <v>Oil and Gas</v>
      </c>
      <c r="C312" s="43" cm="1">
        <f t="array" aca="1" ref="C312" ca="1">_xlfn.XLOOKUP(B312,INDIRECT("'" &amp; A312 &amp; "'!G:G"),INDIRECT("'" &amp; A312 &amp; "'!H:H"),0,0,1)</f>
        <v>0</v>
      </c>
    </row>
    <row r="313" spans="1:3">
      <c r="A313" t="str" cm="1">
        <f t="array" ref="A313">INDEX('Table of Contents'!$B$5:$B$25, INT((ROW()-2)/COUNTA('Category Map'!$B$5:$B$25))+1)</f>
        <v>Na2SO4</v>
      </c>
      <c r="B313" t="str" cm="1">
        <f t="array" ref="B313">INDEX('Category Map'!$B$5:$B$25, MOD(ROW()-2, COUNTA('Category Map'!$B$5:$B$25))+1)</f>
        <v>Other</v>
      </c>
      <c r="C313" s="43" cm="1">
        <f t="array" aca="1" ref="C313" ca="1">_xlfn.XLOOKUP(B313,INDIRECT("'" &amp; A313 &amp; "'!G:G"),INDIRECT("'" &amp; A313 &amp; "'!H:H"),0,0,1)</f>
        <v>0</v>
      </c>
    </row>
    <row r="314" spans="1:3">
      <c r="A314" t="str" cm="1">
        <f t="array" ref="A314">INDEX('Table of Contents'!$B$5:$B$25, INT((ROW()-2)/COUNTA('Category Map'!$B$5:$B$25))+1)</f>
        <v>Na2SO4</v>
      </c>
      <c r="B314" t="str" cm="1">
        <f t="array" ref="B314">INDEX('Category Map'!$B$5:$B$25, MOD(ROW()-2, COUNTA('Category Map'!$B$5:$B$25))+1)</f>
        <v>Pulp and Paper</v>
      </c>
      <c r="C314" s="43" cm="1">
        <f t="array" aca="1" ref="C314" ca="1">_xlfn.XLOOKUP(B314,INDIRECT("'" &amp; A314 &amp; "'!G:G"),INDIRECT("'" &amp; A314 &amp; "'!H:H"),0,0,1)</f>
        <v>0.15</v>
      </c>
    </row>
    <row r="315" spans="1:3">
      <c r="A315" t="str" cm="1">
        <f t="array" ref="A315">INDEX('Table of Contents'!$B$5:$B$25, INT((ROW()-2)/COUNTA('Category Map'!$B$5:$B$25))+1)</f>
        <v>Na2SO4</v>
      </c>
      <c r="B315" t="str" cm="1">
        <f t="array" ref="B315">INDEX('Category Map'!$B$5:$B$25, MOD(ROW()-2, COUNTA('Category Map'!$B$5:$B$25))+1)</f>
        <v>Steel Pickling</v>
      </c>
      <c r="C315" s="43" cm="1">
        <f t="array" aca="1" ref="C315" ca="1">_xlfn.XLOOKUP(B315,INDIRECT("'" &amp; A315 &amp; "'!G:G"),INDIRECT("'" &amp; A315 &amp; "'!H:H"),0,0,1)</f>
        <v>0</v>
      </c>
    </row>
    <row r="316" spans="1:3">
      <c r="A316" t="str" cm="1">
        <f t="array" ref="A316">INDEX('Table of Contents'!$B$5:$B$25, INT((ROW()-2)/COUNTA('Category Map'!$B$5:$B$25))+1)</f>
        <v>Na2SO4</v>
      </c>
      <c r="B316" t="str" cm="1">
        <f t="array" ref="B316">INDEX('Category Map'!$B$5:$B$25, MOD(ROW()-2, COUNTA('Category Map'!$B$5:$B$25))+1)</f>
        <v>Water Treatment</v>
      </c>
      <c r="C316" s="43" cm="1">
        <f t="array" aca="1" ref="C316" ca="1">_xlfn.XLOOKUP(B316,INDIRECT("'" &amp; A316 &amp; "'!G:G"),INDIRECT("'" &amp; A316 &amp; "'!H:H"),0,0,1)</f>
        <v>0</v>
      </c>
    </row>
    <row r="317" spans="1:3">
      <c r="A317" t="str" cm="1">
        <f t="array" ref="A317">INDEX('Table of Contents'!$B$5:$B$25, INT((ROW()-2)/COUNTA('Category Map'!$B$5:$B$25))+1)</f>
        <v>NaOH</v>
      </c>
      <c r="B317" t="str" cm="1">
        <f t="array" ref="B317">INDEX('Category Map'!$B$5:$B$25, MOD(ROW()-2, COUNTA('Category Map'!$B$5:$B$25))+1)</f>
        <v>Battery Manufacturing</v>
      </c>
      <c r="C317" s="43" cm="1">
        <f t="array" aca="1" ref="C317" ca="1">_xlfn.XLOOKUP(B317,INDIRECT("'" &amp; A317 &amp; "'!G:G"),INDIRECT("'" &amp; A317 &amp; "'!H:H"),0,0,1)</f>
        <v>0</v>
      </c>
    </row>
    <row r="318" spans="1:3">
      <c r="A318" t="str" cm="1">
        <f t="array" ref="A318">INDEX('Table of Contents'!$B$5:$B$25, INT((ROW()-2)/COUNTA('Category Map'!$B$5:$B$25))+1)</f>
        <v>NaOH</v>
      </c>
      <c r="B318" t="str" cm="1">
        <f t="array" ref="B318">INDEX('Category Map'!$B$5:$B$25, MOD(ROW()-2, COUNTA('Category Map'!$B$5:$B$25))+1)</f>
        <v>Cement Manufacturing</v>
      </c>
      <c r="C318" s="43" cm="1">
        <f t="array" aca="1" ref="C318" ca="1">_xlfn.XLOOKUP(B318,INDIRECT("'" &amp; A318 &amp; "'!G:G"),INDIRECT("'" &amp; A318 &amp; "'!H:H"),0,0,1)</f>
        <v>0</v>
      </c>
    </row>
    <row r="319" spans="1:3">
      <c r="A319" t="str" cm="1">
        <f t="array" ref="A319">INDEX('Table of Contents'!$B$5:$B$25, INT((ROW()-2)/COUNTA('Category Map'!$B$5:$B$25))+1)</f>
        <v>NaOH</v>
      </c>
      <c r="B319" t="str" cm="1">
        <f t="array" ref="B319">INDEX('Category Map'!$B$5:$B$25, MOD(ROW()-2, COUNTA('Category Map'!$B$5:$B$25))+1)</f>
        <v>Chemical Manufacturing</v>
      </c>
      <c r="C319" s="43" cm="1">
        <f t="array" aca="1" ref="C319" ca="1">_xlfn.XLOOKUP(B319,INDIRECT("'" &amp; A319 &amp; "'!G:G"),INDIRECT("'" &amp; A319 &amp; "'!H:H"),0,0,1)</f>
        <v>0.58000000000000007</v>
      </c>
    </row>
    <row r="320" spans="1:3">
      <c r="A320" t="str" cm="1">
        <f t="array" ref="A320">INDEX('Table of Contents'!$B$5:$B$25, INT((ROW()-2)/COUNTA('Category Map'!$B$5:$B$25))+1)</f>
        <v>NaOH</v>
      </c>
      <c r="B320" t="str" cm="1">
        <f t="array" ref="B320">INDEX('Category Map'!$B$5:$B$25, MOD(ROW()-2, COUNTA('Category Map'!$B$5:$B$25))+1)</f>
        <v>Chloralkali Process</v>
      </c>
      <c r="C320" s="43" cm="1">
        <f t="array" aca="1" ref="C320" ca="1">_xlfn.XLOOKUP(B320,INDIRECT("'" &amp; A320 &amp; "'!G:G"),INDIRECT("'" &amp; A320 &amp; "'!H:H"),0,0,1)</f>
        <v>0</v>
      </c>
    </row>
    <row r="321" spans="1:3">
      <c r="A321" t="str" cm="1">
        <f t="array" ref="A321">INDEX('Table of Contents'!$B$5:$B$25, INT((ROW()-2)/COUNTA('Category Map'!$B$5:$B$25))+1)</f>
        <v>NaOH</v>
      </c>
      <c r="B321" t="str" cm="1">
        <f t="array" ref="B321">INDEX('Category Map'!$B$5:$B$25, MOD(ROW()-2, COUNTA('Category Map'!$B$5:$B$25))+1)</f>
        <v>Concrete</v>
      </c>
      <c r="C321" s="43" cm="1">
        <f t="array" aca="1" ref="C321" ca="1">_xlfn.XLOOKUP(B321,INDIRECT("'" &amp; A321 &amp; "'!G:G"),INDIRECT("'" &amp; A321 &amp; "'!H:H"),0,0,1)</f>
        <v>0</v>
      </c>
    </row>
    <row r="322" spans="1:3">
      <c r="A322" t="str" cm="1">
        <f t="array" ref="A322">INDEX('Table of Contents'!$B$5:$B$25, INT((ROW()-2)/COUNTA('Category Map'!$B$5:$B$25))+1)</f>
        <v>NaOH</v>
      </c>
      <c r="B322" t="str" cm="1">
        <f t="array" ref="B322">INDEX('Category Map'!$B$5:$B$25, MOD(ROW()-2, COUNTA('Category Map'!$B$5:$B$25))+1)</f>
        <v>Construction Aggregate</v>
      </c>
      <c r="C322" s="43" cm="1">
        <f t="array" aca="1" ref="C322" ca="1">_xlfn.XLOOKUP(B322,INDIRECT("'" &amp; A322 &amp; "'!G:G"),INDIRECT("'" &amp; A322 &amp; "'!H:H"),0,0,1)</f>
        <v>0</v>
      </c>
    </row>
    <row r="323" spans="1:3">
      <c r="A323" t="str" cm="1">
        <f t="array" ref="A323">INDEX('Table of Contents'!$B$5:$B$25, INT((ROW()-2)/COUNTA('Category Map'!$B$5:$B$25))+1)</f>
        <v>NaOH</v>
      </c>
      <c r="B323" t="str" cm="1">
        <f t="array" ref="B323">INDEX('Category Map'!$B$5:$B$25, MOD(ROW()-2, COUNTA('Category Map'!$B$5:$B$25))+1)</f>
        <v>Deicing</v>
      </c>
      <c r="C323" s="43" cm="1">
        <f t="array" aca="1" ref="C323" ca="1">_xlfn.XLOOKUP(B323,INDIRECT("'" &amp; A323 &amp; "'!G:G"),INDIRECT("'" &amp; A323 &amp; "'!H:H"),0,0,1)</f>
        <v>0</v>
      </c>
    </row>
    <row r="324" spans="1:3">
      <c r="A324" t="str" cm="1">
        <f t="array" ref="A324">INDEX('Table of Contents'!$B$5:$B$25, INT((ROW()-2)/COUNTA('Category Map'!$B$5:$B$25))+1)</f>
        <v>NaOH</v>
      </c>
      <c r="B324" t="str" cm="1">
        <f t="array" ref="B324">INDEX('Category Map'!$B$5:$B$25, MOD(ROW()-2, COUNTA('Category Map'!$B$5:$B$25))+1)</f>
        <v>Dust Control</v>
      </c>
      <c r="C324" s="43" cm="1">
        <f t="array" aca="1" ref="C324" ca="1">_xlfn.XLOOKUP(B324,INDIRECT("'" &amp; A324 &amp; "'!G:G"),INDIRECT("'" &amp; A324 &amp; "'!H:H"),0,0,1)</f>
        <v>0</v>
      </c>
    </row>
    <row r="325" spans="1:3">
      <c r="A325" t="str" cm="1">
        <f t="array" ref="A325">INDEX('Table of Contents'!$B$5:$B$25, INT((ROW()-2)/COUNTA('Category Map'!$B$5:$B$25))+1)</f>
        <v>NaOH</v>
      </c>
      <c r="B325" t="str" cm="1">
        <f t="array" ref="B325">INDEX('Category Map'!$B$5:$B$25, MOD(ROW()-2, COUNTA('Category Map'!$B$5:$B$25))+1)</f>
        <v>Fertilizer Manufacturing</v>
      </c>
      <c r="C325" s="43" cm="1">
        <f t="array" aca="1" ref="C325" ca="1">_xlfn.XLOOKUP(B325,INDIRECT("'" &amp; A325 &amp; "'!G:G"),INDIRECT("'" &amp; A325 &amp; "'!H:H"),0,0,1)</f>
        <v>0</v>
      </c>
    </row>
    <row r="326" spans="1:3">
      <c r="A326" t="str" cm="1">
        <f t="array" ref="A326">INDEX('Table of Contents'!$B$5:$B$25, INT((ROW()-2)/COUNTA('Category Map'!$B$5:$B$25))+1)</f>
        <v>NaOH</v>
      </c>
      <c r="B326" t="str" cm="1">
        <f t="array" ref="B326">INDEX('Category Map'!$B$5:$B$25, MOD(ROW()-2, COUNTA('Category Map'!$B$5:$B$25))+1)</f>
        <v>Flue Gas Desulfurization</v>
      </c>
      <c r="C326" s="43" cm="1">
        <f t="array" aca="1" ref="C326" ca="1">_xlfn.XLOOKUP(B326,INDIRECT("'" &amp; A326 &amp; "'!G:G"),INDIRECT("'" &amp; A326 &amp; "'!H:H"),0,0,1)</f>
        <v>0</v>
      </c>
    </row>
    <row r="327" spans="1:3">
      <c r="A327" t="str" cm="1">
        <f t="array" ref="A327">INDEX('Table of Contents'!$B$5:$B$25, INT((ROW()-2)/COUNTA('Category Map'!$B$5:$B$25))+1)</f>
        <v>NaOH</v>
      </c>
      <c r="B327" t="str" cm="1">
        <f t="array" ref="B327">INDEX('Category Map'!$B$5:$B$25, MOD(ROW()-2, COUNTA('Category Map'!$B$5:$B$25))+1)</f>
        <v>Glass Manufacturing</v>
      </c>
      <c r="C327" s="43" cm="1">
        <f t="array" aca="1" ref="C327" ca="1">_xlfn.XLOOKUP(B327,INDIRECT("'" &amp; A327 &amp; "'!G:G"),INDIRECT("'" &amp; A327 &amp; "'!H:H"),0,0,1)</f>
        <v>0</v>
      </c>
    </row>
    <row r="328" spans="1:3">
      <c r="A328" t="str" cm="1">
        <f t="array" ref="A328">INDEX('Table of Contents'!$B$5:$B$25, INT((ROW()-2)/COUNTA('Category Map'!$B$5:$B$25))+1)</f>
        <v>NaOH</v>
      </c>
      <c r="B328" t="str" cm="1">
        <f t="array" ref="B328">INDEX('Category Map'!$B$5:$B$25, MOD(ROW()-2, COUNTA('Category Map'!$B$5:$B$25))+1)</f>
        <v>Gypsum-Based Building Materials</v>
      </c>
      <c r="C328" s="43" cm="1">
        <f t="array" aca="1" ref="C328" ca="1">_xlfn.XLOOKUP(B328,INDIRECT("'" &amp; A328 &amp; "'!G:G"),INDIRECT("'" &amp; A328 &amp; "'!H:H"),0,0,1)</f>
        <v>0</v>
      </c>
    </row>
    <row r="329" spans="1:3">
      <c r="A329" t="str" cm="1">
        <f t="array" ref="A329">INDEX('Table of Contents'!$B$5:$B$25, INT((ROW()-2)/COUNTA('Category Map'!$B$5:$B$25))+1)</f>
        <v>NaOH</v>
      </c>
      <c r="B329" t="str" cm="1">
        <f t="array" ref="B329">INDEX('Category Map'!$B$5:$B$25, MOD(ROW()-2, COUNTA('Category Map'!$B$5:$B$25))+1)</f>
        <v>Lime Manufacturing</v>
      </c>
      <c r="C329" s="43" cm="1">
        <f t="array" aca="1" ref="C329" ca="1">_xlfn.XLOOKUP(B329,INDIRECT("'" &amp; A329 &amp; "'!G:G"),INDIRECT("'" &amp; A329 &amp; "'!H:H"),0,0,1)</f>
        <v>0</v>
      </c>
    </row>
    <row r="330" spans="1:3">
      <c r="A330" t="str" cm="1">
        <f t="array" ref="A330">INDEX('Table of Contents'!$B$5:$B$25, INT((ROW()-2)/COUNTA('Category Map'!$B$5:$B$25))+1)</f>
        <v>NaOH</v>
      </c>
      <c r="B330" t="str" cm="1">
        <f t="array" ref="B330">INDEX('Category Map'!$B$5:$B$25, MOD(ROW()-2, COUNTA('Category Map'!$B$5:$B$25))+1)</f>
        <v>Livestock</v>
      </c>
      <c r="C330" s="43" cm="1">
        <f t="array" aca="1" ref="C330" ca="1">_xlfn.XLOOKUP(B330,INDIRECT("'" &amp; A330 &amp; "'!G:G"),INDIRECT("'" &amp; A330 &amp; "'!H:H"),0,0,1)</f>
        <v>0</v>
      </c>
    </row>
    <row r="331" spans="1:3">
      <c r="A331" t="str" cm="1">
        <f t="array" ref="A331">INDEX('Table of Contents'!$B$5:$B$25, INT((ROW()-2)/COUNTA('Category Map'!$B$5:$B$25))+1)</f>
        <v>NaOH</v>
      </c>
      <c r="B331" t="str" cm="1">
        <f t="array" ref="B331">INDEX('Category Map'!$B$5:$B$25, MOD(ROW()-2, COUNTA('Category Map'!$B$5:$B$25))+1)</f>
        <v>Miscellaneous Agricultural</v>
      </c>
      <c r="C331" s="43" cm="1">
        <f t="array" aca="1" ref="C331" ca="1">_xlfn.XLOOKUP(B331,INDIRECT("'" &amp; A331 &amp; "'!G:G"),INDIRECT("'" &amp; A331 &amp; "'!H:H"),0,0,1)</f>
        <v>0</v>
      </c>
    </row>
    <row r="332" spans="1:3">
      <c r="A332" t="str" cm="1">
        <f t="array" ref="A332">INDEX('Table of Contents'!$B$5:$B$25, INT((ROW()-2)/COUNTA('Category Map'!$B$5:$B$25))+1)</f>
        <v>NaOH</v>
      </c>
      <c r="B332" t="str" cm="1">
        <f t="array" ref="B332">INDEX('Category Map'!$B$5:$B$25, MOD(ROW()-2, COUNTA('Category Map'!$B$5:$B$25))+1)</f>
        <v>Miscellaneous Industrial</v>
      </c>
      <c r="C332" s="43" cm="1">
        <f t="array" aca="1" ref="C332" ca="1">_xlfn.XLOOKUP(B332,INDIRECT("'" &amp; A332 &amp; "'!G:G"),INDIRECT("'" &amp; A332 &amp; "'!H:H"),0,0,1)</f>
        <v>0.03</v>
      </c>
    </row>
    <row r="333" spans="1:3">
      <c r="A333" t="str" cm="1">
        <f t="array" ref="A333">INDEX('Table of Contents'!$B$5:$B$25, INT((ROW()-2)/COUNTA('Category Map'!$B$5:$B$25))+1)</f>
        <v>NaOH</v>
      </c>
      <c r="B333" t="str" cm="1">
        <f t="array" ref="B333">INDEX('Category Map'!$B$5:$B$25, MOD(ROW()-2, COUNTA('Category Map'!$B$5:$B$25))+1)</f>
        <v>Oil and Gas</v>
      </c>
      <c r="C333" s="43" cm="1">
        <f t="array" aca="1" ref="C333" ca="1">_xlfn.XLOOKUP(B333,INDIRECT("'" &amp; A333 &amp; "'!G:G"),INDIRECT("'" &amp; A333 &amp; "'!H:H"),0,0,1)</f>
        <v>0</v>
      </c>
    </row>
    <row r="334" spans="1:3">
      <c r="A334" t="str" cm="1">
        <f t="array" ref="A334">INDEX('Table of Contents'!$B$5:$B$25, INT((ROW()-2)/COUNTA('Category Map'!$B$5:$B$25))+1)</f>
        <v>NaOH</v>
      </c>
      <c r="B334" t="str" cm="1">
        <f t="array" ref="B334">INDEX('Category Map'!$B$5:$B$25, MOD(ROW()-2, COUNTA('Category Map'!$B$5:$B$25))+1)</f>
        <v>Other</v>
      </c>
      <c r="C334" s="43" cm="1">
        <f t="array" aca="1" ref="C334" ca="1">_xlfn.XLOOKUP(B334,INDIRECT("'" &amp; A334 &amp; "'!G:G"),INDIRECT("'" &amp; A334 &amp; "'!H:H"),0,0,1)</f>
        <v>0.12</v>
      </c>
    </row>
    <row r="335" spans="1:3">
      <c r="A335" t="str" cm="1">
        <f t="array" ref="A335">INDEX('Table of Contents'!$B$5:$B$25, INT((ROW()-2)/COUNTA('Category Map'!$B$5:$B$25))+1)</f>
        <v>NaOH</v>
      </c>
      <c r="B335" t="str" cm="1">
        <f t="array" ref="B335">INDEX('Category Map'!$B$5:$B$25, MOD(ROW()-2, COUNTA('Category Map'!$B$5:$B$25))+1)</f>
        <v>Pulp and Paper</v>
      </c>
      <c r="C335" s="43" cm="1">
        <f t="array" aca="1" ref="C335" ca="1">_xlfn.XLOOKUP(B335,INDIRECT("'" &amp; A335 &amp; "'!G:G"),INDIRECT("'" &amp; A335 &amp; "'!H:H"),0,0,1)</f>
        <v>0.24</v>
      </c>
    </row>
    <row r="336" spans="1:3">
      <c r="A336" t="str" cm="1">
        <f t="array" ref="A336">INDEX('Table of Contents'!$B$5:$B$25, INT((ROW()-2)/COUNTA('Category Map'!$B$5:$B$25))+1)</f>
        <v>NaOH</v>
      </c>
      <c r="B336" t="str" cm="1">
        <f t="array" ref="B336">INDEX('Category Map'!$B$5:$B$25, MOD(ROW()-2, COUNTA('Category Map'!$B$5:$B$25))+1)</f>
        <v>Steel Pickling</v>
      </c>
      <c r="C336" s="43" cm="1">
        <f t="array" aca="1" ref="C336" ca="1">_xlfn.XLOOKUP(B336,INDIRECT("'" &amp; A336 &amp; "'!G:G"),INDIRECT("'" &amp; A336 &amp; "'!H:H"),0,0,1)</f>
        <v>0</v>
      </c>
    </row>
    <row r="337" spans="1:3">
      <c r="A337" t="str" cm="1">
        <f t="array" ref="A337">INDEX('Table of Contents'!$B$5:$B$25, INT((ROW()-2)/COUNTA('Category Map'!$B$5:$B$25))+1)</f>
        <v>NaOH</v>
      </c>
      <c r="B337" t="str" cm="1">
        <f t="array" ref="B337">INDEX('Category Map'!$B$5:$B$25, MOD(ROW()-2, COUNTA('Category Map'!$B$5:$B$25))+1)</f>
        <v>Water Treatment</v>
      </c>
      <c r="C337" s="43" cm="1">
        <f t="array" aca="1" ref="C337" ca="1">_xlfn.XLOOKUP(B337,INDIRECT("'" &amp; A337 &amp; "'!G:G"),INDIRECT("'" &amp; A337 &amp; "'!H:H"),0,0,1)</f>
        <v>0.03</v>
      </c>
    </row>
    <row r="338" spans="1:3">
      <c r="A338" t="str" cm="1">
        <f t="array" ref="A338">INDEX('Table of Contents'!$B$5:$B$25, INT((ROW()-2)/COUNTA('Category Map'!$B$5:$B$25))+1)</f>
        <v>SrSO4</v>
      </c>
      <c r="B338" t="str" cm="1">
        <f t="array" ref="B338">INDEX('Category Map'!$B$5:$B$25, MOD(ROW()-2, COUNTA('Category Map'!$B$5:$B$25))+1)</f>
        <v>Battery Manufacturing</v>
      </c>
      <c r="C338" s="43" cm="1">
        <f t="array" aca="1" ref="C338" ca="1">_xlfn.XLOOKUP(B338,INDIRECT("'" &amp; A338 &amp; "'!G:G"),INDIRECT("'" &amp; A338 &amp; "'!H:H"),0,0,1)</f>
        <v>0</v>
      </c>
    </row>
    <row r="339" spans="1:3">
      <c r="A339" t="str" cm="1">
        <f t="array" ref="A339">INDEX('Table of Contents'!$B$5:$B$25, INT((ROW()-2)/COUNTA('Category Map'!$B$5:$B$25))+1)</f>
        <v>SrSO4</v>
      </c>
      <c r="B339" t="str" cm="1">
        <f t="array" ref="B339">INDEX('Category Map'!$B$5:$B$25, MOD(ROW()-2, COUNTA('Category Map'!$B$5:$B$25))+1)</f>
        <v>Cement Manufacturing</v>
      </c>
      <c r="C339" s="43" cm="1">
        <f t="array" aca="1" ref="C339" ca="1">_xlfn.XLOOKUP(B339,INDIRECT("'" &amp; A339 &amp; "'!G:G"),INDIRECT("'" &amp; A339 &amp; "'!H:H"),0,0,1)</f>
        <v>0</v>
      </c>
    </row>
    <row r="340" spans="1:3">
      <c r="A340" t="str" cm="1">
        <f t="array" ref="A340">INDEX('Table of Contents'!$B$5:$B$25, INT((ROW()-2)/COUNTA('Category Map'!$B$5:$B$25))+1)</f>
        <v>SrSO4</v>
      </c>
      <c r="B340" t="str" cm="1">
        <f t="array" ref="B340">INDEX('Category Map'!$B$5:$B$25, MOD(ROW()-2, COUNTA('Category Map'!$B$5:$B$25))+1)</f>
        <v>Chemical Manufacturing</v>
      </c>
      <c r="C340" s="43" cm="1">
        <f t="array" aca="1" ref="C340" ca="1">_xlfn.XLOOKUP(B340,INDIRECT("'" &amp; A340 &amp; "'!G:G"),INDIRECT("'" &amp; A340 &amp; "'!H:H"),0,0,1)</f>
        <v>0</v>
      </c>
    </row>
    <row r="341" spans="1:3">
      <c r="A341" t="str" cm="1">
        <f t="array" ref="A341">INDEX('Table of Contents'!$B$5:$B$25, INT((ROW()-2)/COUNTA('Category Map'!$B$5:$B$25))+1)</f>
        <v>SrSO4</v>
      </c>
      <c r="B341" t="str" cm="1">
        <f t="array" ref="B341">INDEX('Category Map'!$B$5:$B$25, MOD(ROW()-2, COUNTA('Category Map'!$B$5:$B$25))+1)</f>
        <v>Chloralkali Process</v>
      </c>
      <c r="C341" s="43" cm="1">
        <f t="array" aca="1" ref="C341" ca="1">_xlfn.XLOOKUP(B341,INDIRECT("'" &amp; A341 &amp; "'!G:G"),INDIRECT("'" &amp; A341 &amp; "'!H:H"),0,0,1)</f>
        <v>0</v>
      </c>
    </row>
    <row r="342" spans="1:3">
      <c r="A342" t="str" cm="1">
        <f t="array" ref="A342">INDEX('Table of Contents'!$B$5:$B$25, INT((ROW()-2)/COUNTA('Category Map'!$B$5:$B$25))+1)</f>
        <v>SrSO4</v>
      </c>
      <c r="B342" t="str" cm="1">
        <f t="array" ref="B342">INDEX('Category Map'!$B$5:$B$25, MOD(ROW()-2, COUNTA('Category Map'!$B$5:$B$25))+1)</f>
        <v>Concrete</v>
      </c>
      <c r="C342" s="43" cm="1">
        <f t="array" aca="1" ref="C342" ca="1">_xlfn.XLOOKUP(B342,INDIRECT("'" &amp; A342 &amp; "'!G:G"),INDIRECT("'" &amp; A342 &amp; "'!H:H"),0,0,1)</f>
        <v>0</v>
      </c>
    </row>
    <row r="343" spans="1:3">
      <c r="A343" t="str" cm="1">
        <f t="array" ref="A343">INDEX('Table of Contents'!$B$5:$B$25, INT((ROW()-2)/COUNTA('Category Map'!$B$5:$B$25))+1)</f>
        <v>SrSO4</v>
      </c>
      <c r="B343" t="str" cm="1">
        <f t="array" ref="B343">INDEX('Category Map'!$B$5:$B$25, MOD(ROW()-2, COUNTA('Category Map'!$B$5:$B$25))+1)</f>
        <v>Construction Aggregate</v>
      </c>
      <c r="C343" s="43" cm="1">
        <f t="array" aca="1" ref="C343" ca="1">_xlfn.XLOOKUP(B343,INDIRECT("'" &amp; A343 &amp; "'!G:G"),INDIRECT("'" &amp; A343 &amp; "'!H:H"),0,0,1)</f>
        <v>0</v>
      </c>
    </row>
    <row r="344" spans="1:3">
      <c r="A344" t="str" cm="1">
        <f t="array" ref="A344">INDEX('Table of Contents'!$B$5:$B$25, INT((ROW()-2)/COUNTA('Category Map'!$B$5:$B$25))+1)</f>
        <v>SrSO4</v>
      </c>
      <c r="B344" t="str" cm="1">
        <f t="array" ref="B344">INDEX('Category Map'!$B$5:$B$25, MOD(ROW()-2, COUNTA('Category Map'!$B$5:$B$25))+1)</f>
        <v>Deicing</v>
      </c>
      <c r="C344" s="43" cm="1">
        <f t="array" aca="1" ref="C344" ca="1">_xlfn.XLOOKUP(B344,INDIRECT("'" &amp; A344 &amp; "'!G:G"),INDIRECT("'" &amp; A344 &amp; "'!H:H"),0,0,1)</f>
        <v>0</v>
      </c>
    </row>
    <row r="345" spans="1:3">
      <c r="A345" t="str" cm="1">
        <f t="array" ref="A345">INDEX('Table of Contents'!$B$5:$B$25, INT((ROW()-2)/COUNTA('Category Map'!$B$5:$B$25))+1)</f>
        <v>SrSO4</v>
      </c>
      <c r="B345" t="str" cm="1">
        <f t="array" ref="B345">INDEX('Category Map'!$B$5:$B$25, MOD(ROW()-2, COUNTA('Category Map'!$B$5:$B$25))+1)</f>
        <v>Dust Control</v>
      </c>
      <c r="C345" s="43" cm="1">
        <f t="array" aca="1" ref="C345" ca="1">_xlfn.XLOOKUP(B345,INDIRECT("'" &amp; A345 &amp; "'!G:G"),INDIRECT("'" &amp; A345 &amp; "'!H:H"),0,0,1)</f>
        <v>0</v>
      </c>
    </row>
    <row r="346" spans="1:3">
      <c r="A346" t="str" cm="1">
        <f t="array" ref="A346">INDEX('Table of Contents'!$B$5:$B$25, INT((ROW()-2)/COUNTA('Category Map'!$B$5:$B$25))+1)</f>
        <v>SrSO4</v>
      </c>
      <c r="B346" t="str" cm="1">
        <f t="array" ref="B346">INDEX('Category Map'!$B$5:$B$25, MOD(ROW()-2, COUNTA('Category Map'!$B$5:$B$25))+1)</f>
        <v>Fertilizer Manufacturing</v>
      </c>
      <c r="C346" s="43" cm="1">
        <f t="array" aca="1" ref="C346" ca="1">_xlfn.XLOOKUP(B346,INDIRECT("'" &amp; A346 &amp; "'!G:G"),INDIRECT("'" &amp; A346 &amp; "'!H:H"),0,0,1)</f>
        <v>0</v>
      </c>
    </row>
    <row r="347" spans="1:3">
      <c r="A347" t="str" cm="1">
        <f t="array" ref="A347">INDEX('Table of Contents'!$B$5:$B$25, INT((ROW()-2)/COUNTA('Category Map'!$B$5:$B$25))+1)</f>
        <v>SrSO4</v>
      </c>
      <c r="B347" t="str" cm="1">
        <f t="array" ref="B347">INDEX('Category Map'!$B$5:$B$25, MOD(ROW()-2, COUNTA('Category Map'!$B$5:$B$25))+1)</f>
        <v>Flue Gas Desulfurization</v>
      </c>
      <c r="C347" s="43" cm="1">
        <f t="array" aca="1" ref="C347" ca="1">_xlfn.XLOOKUP(B347,INDIRECT("'" &amp; A347 &amp; "'!G:G"),INDIRECT("'" &amp; A347 &amp; "'!H:H"),0,0,1)</f>
        <v>0</v>
      </c>
    </row>
    <row r="348" spans="1:3">
      <c r="A348" t="str" cm="1">
        <f t="array" ref="A348">INDEX('Table of Contents'!$B$5:$B$25, INT((ROW()-2)/COUNTA('Category Map'!$B$5:$B$25))+1)</f>
        <v>SrSO4</v>
      </c>
      <c r="B348" t="str" cm="1">
        <f t="array" ref="B348">INDEX('Category Map'!$B$5:$B$25, MOD(ROW()-2, COUNTA('Category Map'!$B$5:$B$25))+1)</f>
        <v>Glass Manufacturing</v>
      </c>
      <c r="C348" s="43" cm="1">
        <f t="array" aca="1" ref="C348" ca="1">_xlfn.XLOOKUP(B348,INDIRECT("'" &amp; A348 &amp; "'!G:G"),INDIRECT("'" &amp; A348 &amp; "'!H:H"),0,0,1)</f>
        <v>0</v>
      </c>
    </row>
    <row r="349" spans="1:3">
      <c r="A349" t="str" cm="1">
        <f t="array" ref="A349">INDEX('Table of Contents'!$B$5:$B$25, INT((ROW()-2)/COUNTA('Category Map'!$B$5:$B$25))+1)</f>
        <v>SrSO4</v>
      </c>
      <c r="B349" t="str" cm="1">
        <f t="array" ref="B349">INDEX('Category Map'!$B$5:$B$25, MOD(ROW()-2, COUNTA('Category Map'!$B$5:$B$25))+1)</f>
        <v>Gypsum-Based Building Materials</v>
      </c>
      <c r="C349" s="43" cm="1">
        <f t="array" aca="1" ref="C349" ca="1">_xlfn.XLOOKUP(B349,INDIRECT("'" &amp; A349 &amp; "'!G:G"),INDIRECT("'" &amp; A349 &amp; "'!H:H"),0,0,1)</f>
        <v>0</v>
      </c>
    </row>
    <row r="350" spans="1:3">
      <c r="A350" t="str" cm="1">
        <f t="array" ref="A350">INDEX('Table of Contents'!$B$5:$B$25, INT((ROW()-2)/COUNTA('Category Map'!$B$5:$B$25))+1)</f>
        <v>SrSO4</v>
      </c>
      <c r="B350" t="str" cm="1">
        <f t="array" ref="B350">INDEX('Category Map'!$B$5:$B$25, MOD(ROW()-2, COUNTA('Category Map'!$B$5:$B$25))+1)</f>
        <v>Lime Manufacturing</v>
      </c>
      <c r="C350" s="43" cm="1">
        <f t="array" aca="1" ref="C350" ca="1">_xlfn.XLOOKUP(B350,INDIRECT("'" &amp; A350 &amp; "'!G:G"),INDIRECT("'" &amp; A350 &amp; "'!H:H"),0,0,1)</f>
        <v>0</v>
      </c>
    </row>
    <row r="351" spans="1:3">
      <c r="A351" t="str" cm="1">
        <f t="array" ref="A351">INDEX('Table of Contents'!$B$5:$B$25, INT((ROW()-2)/COUNTA('Category Map'!$B$5:$B$25))+1)</f>
        <v>SrSO4</v>
      </c>
      <c r="B351" t="str" cm="1">
        <f t="array" ref="B351">INDEX('Category Map'!$B$5:$B$25, MOD(ROW()-2, COUNTA('Category Map'!$B$5:$B$25))+1)</f>
        <v>Livestock</v>
      </c>
      <c r="C351" s="43" cm="1">
        <f t="array" aca="1" ref="C351" ca="1">_xlfn.XLOOKUP(B351,INDIRECT("'" &amp; A351 &amp; "'!G:G"),INDIRECT("'" &amp; A351 &amp; "'!H:H"),0,0,1)</f>
        <v>0</v>
      </c>
    </row>
    <row r="352" spans="1:3">
      <c r="A352" t="str" cm="1">
        <f t="array" ref="A352">INDEX('Table of Contents'!$B$5:$B$25, INT((ROW()-2)/COUNTA('Category Map'!$B$5:$B$25))+1)</f>
        <v>SrSO4</v>
      </c>
      <c r="B352" t="str" cm="1">
        <f t="array" ref="B352">INDEX('Category Map'!$B$5:$B$25, MOD(ROW()-2, COUNTA('Category Map'!$B$5:$B$25))+1)</f>
        <v>Miscellaneous Agricultural</v>
      </c>
      <c r="C352" s="43" cm="1">
        <f t="array" aca="1" ref="C352" ca="1">_xlfn.XLOOKUP(B352,INDIRECT("'" &amp; A352 &amp; "'!G:G"),INDIRECT("'" &amp; A352 &amp; "'!H:H"),0,0,1)</f>
        <v>0</v>
      </c>
    </row>
    <row r="353" spans="1:3">
      <c r="A353" t="str" cm="1">
        <f t="array" ref="A353">INDEX('Table of Contents'!$B$5:$B$25, INT((ROW()-2)/COUNTA('Category Map'!$B$5:$B$25))+1)</f>
        <v>SrSO4</v>
      </c>
      <c r="B353" t="str" cm="1">
        <f t="array" ref="B353">INDEX('Category Map'!$B$5:$B$25, MOD(ROW()-2, COUNTA('Category Map'!$B$5:$B$25))+1)</f>
        <v>Miscellaneous Industrial</v>
      </c>
      <c r="C353" s="43" cm="1">
        <f t="array" aca="1" ref="C353" ca="1">_xlfn.XLOOKUP(B353,INDIRECT("'" &amp; A353 &amp; "'!G:G"),INDIRECT("'" &amp; A353 &amp; "'!H:H"),0,0,1)</f>
        <v>0.28000000000000003</v>
      </c>
    </row>
    <row r="354" spans="1:3">
      <c r="A354" t="str" cm="1">
        <f t="array" ref="A354">INDEX('Table of Contents'!$B$5:$B$25, INT((ROW()-2)/COUNTA('Category Map'!$B$5:$B$25))+1)</f>
        <v>SrSO4</v>
      </c>
      <c r="B354" t="str" cm="1">
        <f t="array" ref="B354">INDEX('Category Map'!$B$5:$B$25, MOD(ROW()-2, COUNTA('Category Map'!$B$5:$B$25))+1)</f>
        <v>Oil and Gas</v>
      </c>
      <c r="C354" s="43" cm="1">
        <f t="array" aca="1" ref="C354" ca="1">_xlfn.XLOOKUP(B354,INDIRECT("'" &amp; A354 &amp; "'!G:G"),INDIRECT("'" &amp; A354 &amp; "'!H:H"),0,0,1)</f>
        <v>0.65</v>
      </c>
    </row>
    <row r="355" spans="1:3">
      <c r="A355" t="str" cm="1">
        <f t="array" ref="A355">INDEX('Table of Contents'!$B$5:$B$25, INT((ROW()-2)/COUNTA('Category Map'!$B$5:$B$25))+1)</f>
        <v>SrSO4</v>
      </c>
      <c r="B355" t="str" cm="1">
        <f t="array" ref="B355">INDEX('Category Map'!$B$5:$B$25, MOD(ROW()-2, COUNTA('Category Map'!$B$5:$B$25))+1)</f>
        <v>Other</v>
      </c>
      <c r="C355" s="43" cm="1">
        <f t="array" aca="1" ref="C355" ca="1">_xlfn.XLOOKUP(B355,INDIRECT("'" &amp; A355 &amp; "'!G:G"),INDIRECT("'" &amp; A355 &amp; "'!H:H"),0,0,1)</f>
        <v>7.0000000000000007E-2</v>
      </c>
    </row>
    <row r="356" spans="1:3">
      <c r="A356" t="str" cm="1">
        <f t="array" ref="A356">INDEX('Table of Contents'!$B$5:$B$25, INT((ROW()-2)/COUNTA('Category Map'!$B$5:$B$25))+1)</f>
        <v>SrSO4</v>
      </c>
      <c r="B356" t="str" cm="1">
        <f t="array" ref="B356">INDEX('Category Map'!$B$5:$B$25, MOD(ROW()-2, COUNTA('Category Map'!$B$5:$B$25))+1)</f>
        <v>Pulp and Paper</v>
      </c>
      <c r="C356" s="43" cm="1">
        <f t="array" aca="1" ref="C356" ca="1">_xlfn.XLOOKUP(B356,INDIRECT("'" &amp; A356 &amp; "'!G:G"),INDIRECT("'" &amp; A356 &amp; "'!H:H"),0,0,1)</f>
        <v>0</v>
      </c>
    </row>
    <row r="357" spans="1:3">
      <c r="A357" t="str" cm="1">
        <f t="array" ref="A357">INDEX('Table of Contents'!$B$5:$B$25, INT((ROW()-2)/COUNTA('Category Map'!$B$5:$B$25))+1)</f>
        <v>SrSO4</v>
      </c>
      <c r="B357" t="str" cm="1">
        <f t="array" ref="B357">INDEX('Category Map'!$B$5:$B$25, MOD(ROW()-2, COUNTA('Category Map'!$B$5:$B$25))+1)</f>
        <v>Steel Pickling</v>
      </c>
      <c r="C357" s="43" cm="1">
        <f t="array" aca="1" ref="C357" ca="1">_xlfn.XLOOKUP(B357,INDIRECT("'" &amp; A357 &amp; "'!G:G"),INDIRECT("'" &amp; A357 &amp; "'!H:H"),0,0,1)</f>
        <v>0</v>
      </c>
    </row>
    <row r="358" spans="1:3">
      <c r="A358" t="str" cm="1">
        <f t="array" ref="A358">INDEX('Table of Contents'!$B$5:$B$25, INT((ROW()-2)/COUNTA('Category Map'!$B$5:$B$25))+1)</f>
        <v>SrSO4</v>
      </c>
      <c r="B358" t="str" cm="1">
        <f t="array" ref="B358">INDEX('Category Map'!$B$5:$B$25, MOD(ROW()-2, COUNTA('Category Map'!$B$5:$B$25))+1)</f>
        <v>Water Treatment</v>
      </c>
      <c r="C358" s="43" cm="1">
        <f t="array" aca="1" ref="C358" ca="1">_xlfn.XLOOKUP(B358,INDIRECT("'" &amp; A358 &amp; "'!G:G"),INDIRECT("'" &amp; A358 &amp; "'!H:H"),0,0,1)</f>
        <v>0</v>
      </c>
    </row>
    <row r="359" spans="1:3">
      <c r="A359" t="str" cm="1">
        <f t="array" ref="A359">INDEX('Table of Contents'!$B$5:$B$25, INT((ROW()-2)/COUNTA('Category Map'!$B$5:$B$25))+1)</f>
        <v>H3BO3</v>
      </c>
      <c r="B359" t="str" cm="1">
        <f t="array" ref="B359">INDEX('Category Map'!$B$5:$B$25, MOD(ROW()-2, COUNTA('Category Map'!$B$5:$B$25))+1)</f>
        <v>Battery Manufacturing</v>
      </c>
      <c r="C359" s="43" cm="1">
        <f t="array" aca="1" ref="C359" ca="1">_xlfn.XLOOKUP(B359,INDIRECT("'" &amp; A359 &amp; "'!G:G"),INDIRECT("'" &amp; A359 &amp; "'!H:H"),0,0,1)</f>
        <v>0</v>
      </c>
    </row>
    <row r="360" spans="1:3">
      <c r="A360" t="str" cm="1">
        <f t="array" ref="A360">INDEX('Table of Contents'!$B$5:$B$25, INT((ROW()-2)/COUNTA('Category Map'!$B$5:$B$25))+1)</f>
        <v>H3BO3</v>
      </c>
      <c r="B360" t="str" cm="1">
        <f t="array" ref="B360">INDEX('Category Map'!$B$5:$B$25, MOD(ROW()-2, COUNTA('Category Map'!$B$5:$B$25))+1)</f>
        <v>Cement Manufacturing</v>
      </c>
      <c r="C360" s="43" cm="1">
        <f t="array" aca="1" ref="C360" ca="1">_xlfn.XLOOKUP(B360,INDIRECT("'" &amp; A360 &amp; "'!G:G"),INDIRECT("'" &amp; A360 &amp; "'!H:H"),0,0,1)</f>
        <v>0</v>
      </c>
    </row>
    <row r="361" spans="1:3">
      <c r="A361" t="str" cm="1">
        <f t="array" ref="A361">INDEX('Table of Contents'!$B$5:$B$25, INT((ROW()-2)/COUNTA('Category Map'!$B$5:$B$25))+1)</f>
        <v>H3BO3</v>
      </c>
      <c r="B361" t="str" cm="1">
        <f t="array" ref="B361">INDEX('Category Map'!$B$5:$B$25, MOD(ROW()-2, COUNTA('Category Map'!$B$5:$B$25))+1)</f>
        <v>Chemical Manufacturing</v>
      </c>
      <c r="C361" s="43" cm="1">
        <f t="array" aca="1" ref="C361" ca="1">_xlfn.XLOOKUP(B361,INDIRECT("'" &amp; A361 &amp; "'!G:G"),INDIRECT("'" &amp; A361 &amp; "'!H:H"),0,0,1)</f>
        <v>0</v>
      </c>
    </row>
    <row r="362" spans="1:3">
      <c r="A362" t="str" cm="1">
        <f t="array" ref="A362">INDEX('Table of Contents'!$B$5:$B$25, INT((ROW()-2)/COUNTA('Category Map'!$B$5:$B$25))+1)</f>
        <v>H3BO3</v>
      </c>
      <c r="B362" t="str" cm="1">
        <f t="array" ref="B362">INDEX('Category Map'!$B$5:$B$25, MOD(ROW()-2, COUNTA('Category Map'!$B$5:$B$25))+1)</f>
        <v>Chloralkali Process</v>
      </c>
      <c r="C362" s="43" cm="1">
        <f t="array" aca="1" ref="C362" ca="1">_xlfn.XLOOKUP(B362,INDIRECT("'" &amp; A362 &amp; "'!G:G"),INDIRECT("'" &amp; A362 &amp; "'!H:H"),0,0,1)</f>
        <v>0</v>
      </c>
    </row>
    <row r="363" spans="1:3">
      <c r="A363" t="str" cm="1">
        <f t="array" ref="A363">INDEX('Table of Contents'!$B$5:$B$25, INT((ROW()-2)/COUNTA('Category Map'!$B$5:$B$25))+1)</f>
        <v>H3BO3</v>
      </c>
      <c r="B363" t="str" cm="1">
        <f t="array" ref="B363">INDEX('Category Map'!$B$5:$B$25, MOD(ROW()-2, COUNTA('Category Map'!$B$5:$B$25))+1)</f>
        <v>Concrete</v>
      </c>
      <c r="C363" s="43" cm="1">
        <f t="array" aca="1" ref="C363" ca="1">_xlfn.XLOOKUP(B363,INDIRECT("'" &amp; A363 &amp; "'!G:G"),INDIRECT("'" &amp; A363 &amp; "'!H:H"),0,0,1)</f>
        <v>0</v>
      </c>
    </row>
    <row r="364" spans="1:3">
      <c r="A364" t="str" cm="1">
        <f t="array" ref="A364">INDEX('Table of Contents'!$B$5:$B$25, INT((ROW()-2)/COUNTA('Category Map'!$B$5:$B$25))+1)</f>
        <v>H3BO3</v>
      </c>
      <c r="B364" t="str" cm="1">
        <f t="array" ref="B364">INDEX('Category Map'!$B$5:$B$25, MOD(ROW()-2, COUNTA('Category Map'!$B$5:$B$25))+1)</f>
        <v>Construction Aggregate</v>
      </c>
      <c r="C364" s="43" cm="1">
        <f t="array" aca="1" ref="C364" ca="1">_xlfn.XLOOKUP(B364,INDIRECT("'" &amp; A364 &amp; "'!G:G"),INDIRECT("'" &amp; A364 &amp; "'!H:H"),0,0,1)</f>
        <v>0</v>
      </c>
    </row>
    <row r="365" spans="1:3">
      <c r="A365" t="str" cm="1">
        <f t="array" ref="A365">INDEX('Table of Contents'!$B$5:$B$25, INT((ROW()-2)/COUNTA('Category Map'!$B$5:$B$25))+1)</f>
        <v>H3BO3</v>
      </c>
      <c r="B365" t="str" cm="1">
        <f t="array" ref="B365">INDEX('Category Map'!$B$5:$B$25, MOD(ROW()-2, COUNTA('Category Map'!$B$5:$B$25))+1)</f>
        <v>Deicing</v>
      </c>
      <c r="C365" s="43" cm="1">
        <f t="array" aca="1" ref="C365" ca="1">_xlfn.XLOOKUP(B365,INDIRECT("'" &amp; A365 &amp; "'!G:G"),INDIRECT("'" &amp; A365 &amp; "'!H:H"),0,0,1)</f>
        <v>0</v>
      </c>
    </row>
    <row r="366" spans="1:3">
      <c r="A366" t="str" cm="1">
        <f t="array" ref="A366">INDEX('Table of Contents'!$B$5:$B$25, INT((ROW()-2)/COUNTA('Category Map'!$B$5:$B$25))+1)</f>
        <v>H3BO3</v>
      </c>
      <c r="B366" t="str" cm="1">
        <f t="array" ref="B366">INDEX('Category Map'!$B$5:$B$25, MOD(ROW()-2, COUNTA('Category Map'!$B$5:$B$25))+1)</f>
        <v>Dust Control</v>
      </c>
      <c r="C366" s="43" cm="1">
        <f t="array" aca="1" ref="C366" ca="1">_xlfn.XLOOKUP(B366,INDIRECT("'" &amp; A366 &amp; "'!G:G"),INDIRECT("'" &amp; A366 &amp; "'!H:H"),0,0,1)</f>
        <v>0</v>
      </c>
    </row>
    <row r="367" spans="1:3">
      <c r="A367" t="str" cm="1">
        <f t="array" ref="A367">INDEX('Table of Contents'!$B$5:$B$25, INT((ROW()-2)/COUNTA('Category Map'!$B$5:$B$25))+1)</f>
        <v>H3BO3</v>
      </c>
      <c r="B367" t="str" cm="1">
        <f t="array" ref="B367">INDEX('Category Map'!$B$5:$B$25, MOD(ROW()-2, COUNTA('Category Map'!$B$5:$B$25))+1)</f>
        <v>Fertilizer Manufacturing</v>
      </c>
      <c r="C367" s="43" cm="1">
        <f t="array" aca="1" ref="C367" ca="1">_xlfn.XLOOKUP(B367,INDIRECT("'" &amp; A367 &amp; "'!G:G"),INDIRECT("'" &amp; A367 &amp; "'!H:H"),0,0,1)</f>
        <v>0</v>
      </c>
    </row>
    <row r="368" spans="1:3">
      <c r="A368" t="str" cm="1">
        <f t="array" ref="A368">INDEX('Table of Contents'!$B$5:$B$25, INT((ROW()-2)/COUNTA('Category Map'!$B$5:$B$25))+1)</f>
        <v>H3BO3</v>
      </c>
      <c r="B368" t="str" cm="1">
        <f t="array" ref="B368">INDEX('Category Map'!$B$5:$B$25, MOD(ROW()-2, COUNTA('Category Map'!$B$5:$B$25))+1)</f>
        <v>Flue Gas Desulfurization</v>
      </c>
      <c r="C368" s="43" cm="1">
        <f t="array" aca="1" ref="C368" ca="1">_xlfn.XLOOKUP(B368,INDIRECT("'" &amp; A368 &amp; "'!G:G"),INDIRECT("'" &amp; A368 &amp; "'!H:H"),0,0,1)</f>
        <v>0</v>
      </c>
    </row>
    <row r="369" spans="1:3">
      <c r="A369" t="str" cm="1">
        <f t="array" ref="A369">INDEX('Table of Contents'!$B$5:$B$25, INT((ROW()-2)/COUNTA('Category Map'!$B$5:$B$25))+1)</f>
        <v>H3BO3</v>
      </c>
      <c r="B369" t="str" cm="1">
        <f t="array" ref="B369">INDEX('Category Map'!$B$5:$B$25, MOD(ROW()-2, COUNTA('Category Map'!$B$5:$B$25))+1)</f>
        <v>Glass Manufacturing</v>
      </c>
      <c r="C369" s="43" cm="1">
        <f t="array" aca="1" ref="C369" ca="1">_xlfn.XLOOKUP(B369,INDIRECT("'" &amp; A369 &amp; "'!G:G"),INDIRECT("'" &amp; A369 &amp; "'!H:H"),0,0,1)</f>
        <v>0.5</v>
      </c>
    </row>
    <row r="370" spans="1:3">
      <c r="A370" t="str" cm="1">
        <f t="array" ref="A370">INDEX('Table of Contents'!$B$5:$B$25, INT((ROW()-2)/COUNTA('Category Map'!$B$5:$B$25))+1)</f>
        <v>H3BO3</v>
      </c>
      <c r="B370" t="str" cm="1">
        <f t="array" ref="B370">INDEX('Category Map'!$B$5:$B$25, MOD(ROW()-2, COUNTA('Category Map'!$B$5:$B$25))+1)</f>
        <v>Gypsum-Based Building Materials</v>
      </c>
      <c r="C370" s="43" cm="1">
        <f t="array" aca="1" ref="C370" ca="1">_xlfn.XLOOKUP(B370,INDIRECT("'" &amp; A370 &amp; "'!G:G"),INDIRECT("'" &amp; A370 &amp; "'!H:H"),0,0,1)</f>
        <v>0</v>
      </c>
    </row>
    <row r="371" spans="1:3">
      <c r="A371" t="str" cm="1">
        <f t="array" ref="A371">INDEX('Table of Contents'!$B$5:$B$25, INT((ROW()-2)/COUNTA('Category Map'!$B$5:$B$25))+1)</f>
        <v>H3BO3</v>
      </c>
      <c r="B371" t="str" cm="1">
        <f t="array" ref="B371">INDEX('Category Map'!$B$5:$B$25, MOD(ROW()-2, COUNTA('Category Map'!$B$5:$B$25))+1)</f>
        <v>Lime Manufacturing</v>
      </c>
      <c r="C371" s="43" cm="1">
        <f t="array" aca="1" ref="C371" ca="1">_xlfn.XLOOKUP(B371,INDIRECT("'" &amp; A371 &amp; "'!G:G"),INDIRECT("'" &amp; A371 &amp; "'!H:H"),0,0,1)</f>
        <v>0</v>
      </c>
    </row>
    <row r="372" spans="1:3">
      <c r="A372" t="str" cm="1">
        <f t="array" ref="A372">INDEX('Table of Contents'!$B$5:$B$25, INT((ROW()-2)/COUNTA('Category Map'!$B$5:$B$25))+1)</f>
        <v>H3BO3</v>
      </c>
      <c r="B372" t="str" cm="1">
        <f t="array" ref="B372">INDEX('Category Map'!$B$5:$B$25, MOD(ROW()-2, COUNTA('Category Map'!$B$5:$B$25))+1)</f>
        <v>Livestock</v>
      </c>
      <c r="C372" s="43" cm="1">
        <f t="array" aca="1" ref="C372" ca="1">_xlfn.XLOOKUP(B372,INDIRECT("'" &amp; A372 &amp; "'!G:G"),INDIRECT("'" &amp; A372 &amp; "'!H:H"),0,0,1)</f>
        <v>0</v>
      </c>
    </row>
    <row r="373" spans="1:3">
      <c r="A373" t="str" cm="1">
        <f t="array" ref="A373">INDEX('Table of Contents'!$B$5:$B$25, INT((ROW()-2)/COUNTA('Category Map'!$B$5:$B$25))+1)</f>
        <v>H3BO3</v>
      </c>
      <c r="B373" t="str" cm="1">
        <f t="array" ref="B373">INDEX('Category Map'!$B$5:$B$25, MOD(ROW()-2, COUNTA('Category Map'!$B$5:$B$25))+1)</f>
        <v>Miscellaneous Agricultural</v>
      </c>
      <c r="C373" s="43" cm="1">
        <f t="array" aca="1" ref="C373" ca="1">_xlfn.XLOOKUP(B373,INDIRECT("'" &amp; A373 &amp; "'!G:G"),INDIRECT("'" &amp; A373 &amp; "'!H:H"),0,0,1)</f>
        <v>0</v>
      </c>
    </row>
    <row r="374" spans="1:3">
      <c r="A374" t="str" cm="1">
        <f t="array" ref="A374">INDEX('Table of Contents'!$B$5:$B$25, INT((ROW()-2)/COUNTA('Category Map'!$B$5:$B$25))+1)</f>
        <v>H3BO3</v>
      </c>
      <c r="B374" t="str" cm="1">
        <f t="array" ref="B374">INDEX('Category Map'!$B$5:$B$25, MOD(ROW()-2, COUNTA('Category Map'!$B$5:$B$25))+1)</f>
        <v>Miscellaneous Industrial</v>
      </c>
      <c r="C374" s="43" cm="1">
        <f t="array" aca="1" ref="C374" ca="1">_xlfn.XLOOKUP(B374,INDIRECT("'" &amp; A374 &amp; "'!G:G"),INDIRECT("'" &amp; A374 &amp; "'!H:H"),0,0,1)</f>
        <v>0</v>
      </c>
    </row>
    <row r="375" spans="1:3">
      <c r="A375" t="str" cm="1">
        <f t="array" ref="A375">INDEX('Table of Contents'!$B$5:$B$25, INT((ROW()-2)/COUNTA('Category Map'!$B$5:$B$25))+1)</f>
        <v>H3BO3</v>
      </c>
      <c r="B375" t="str" cm="1">
        <f t="array" ref="B375">INDEX('Category Map'!$B$5:$B$25, MOD(ROW()-2, COUNTA('Category Map'!$B$5:$B$25))+1)</f>
        <v>Oil and Gas</v>
      </c>
      <c r="C375" s="43" cm="1">
        <f t="array" aca="1" ref="C375" ca="1">_xlfn.XLOOKUP(B375,INDIRECT("'" &amp; A375 &amp; "'!G:G"),INDIRECT("'" &amp; A375 &amp; "'!H:H"),0,0,1)</f>
        <v>0</v>
      </c>
    </row>
    <row r="376" spans="1:3">
      <c r="A376" t="str" cm="1">
        <f t="array" ref="A376">INDEX('Table of Contents'!$B$5:$B$25, INT((ROW()-2)/COUNTA('Category Map'!$B$5:$B$25))+1)</f>
        <v>H3BO3</v>
      </c>
      <c r="B376" t="str" cm="1">
        <f t="array" ref="B376">INDEX('Category Map'!$B$5:$B$25, MOD(ROW()-2, COUNTA('Category Map'!$B$5:$B$25))+1)</f>
        <v>Other</v>
      </c>
      <c r="C376" s="43" cm="1">
        <f t="array" aca="1" ref="C376" ca="1">_xlfn.XLOOKUP(B376,INDIRECT("'" &amp; A376 &amp; "'!G:G"),INDIRECT("'" &amp; A376 &amp; "'!H:H"),0,0,1)</f>
        <v>0.5</v>
      </c>
    </row>
    <row r="377" spans="1:3">
      <c r="A377" t="str" cm="1">
        <f t="array" ref="A377">INDEX('Table of Contents'!$B$5:$B$25, INT((ROW()-2)/COUNTA('Category Map'!$B$5:$B$25))+1)</f>
        <v>H3BO3</v>
      </c>
      <c r="B377" t="str" cm="1">
        <f t="array" ref="B377">INDEX('Category Map'!$B$5:$B$25, MOD(ROW()-2, COUNTA('Category Map'!$B$5:$B$25))+1)</f>
        <v>Pulp and Paper</v>
      </c>
      <c r="C377" s="43" cm="1">
        <f t="array" aca="1" ref="C377" ca="1">_xlfn.XLOOKUP(B377,INDIRECT("'" &amp; A377 &amp; "'!G:G"),INDIRECT("'" &amp; A377 &amp; "'!H:H"),0,0,1)</f>
        <v>0</v>
      </c>
    </row>
    <row r="378" spans="1:3">
      <c r="A378" t="str" cm="1">
        <f t="array" ref="A378">INDEX('Table of Contents'!$B$5:$B$25, INT((ROW()-2)/COUNTA('Category Map'!$B$5:$B$25))+1)</f>
        <v>H3BO3</v>
      </c>
      <c r="B378" t="str" cm="1">
        <f t="array" ref="B378">INDEX('Category Map'!$B$5:$B$25, MOD(ROW()-2, COUNTA('Category Map'!$B$5:$B$25))+1)</f>
        <v>Steel Pickling</v>
      </c>
      <c r="C378" s="43" cm="1">
        <f t="array" aca="1" ref="C378" ca="1">_xlfn.XLOOKUP(B378,INDIRECT("'" &amp; A378 &amp; "'!G:G"),INDIRECT("'" &amp; A378 &amp; "'!H:H"),0,0,1)</f>
        <v>0</v>
      </c>
    </row>
    <row r="379" spans="1:3">
      <c r="A379" t="str" cm="1">
        <f t="array" ref="A379">INDEX('Table of Contents'!$B$5:$B$25, INT((ROW()-2)/COUNTA('Category Map'!$B$5:$B$25))+1)</f>
        <v>H3BO3</v>
      </c>
      <c r="B379" t="str" cm="1">
        <f t="array" ref="B379">INDEX('Category Map'!$B$5:$B$25, MOD(ROW()-2, COUNTA('Category Map'!$B$5:$B$25))+1)</f>
        <v>Water Treatment</v>
      </c>
      <c r="C379" s="43" cm="1">
        <f t="array" aca="1" ref="C379" ca="1">_xlfn.XLOOKUP(B379,INDIRECT("'" &amp; A379 &amp; "'!G:G"),INDIRECT("'" &amp; A379 &amp; "'!H:H"),0,0,1)</f>
        <v>0</v>
      </c>
    </row>
    <row r="380" spans="1:3">
      <c r="A380" t="str" cm="1">
        <f t="array" ref="A380">INDEX('Table of Contents'!$B$5:$B$25, INT((ROW()-2)/COUNTA('Category Map'!$B$5:$B$25))+1)</f>
        <v>HCl</v>
      </c>
      <c r="B380" t="str" cm="1">
        <f t="array" ref="B380">INDEX('Category Map'!$B$5:$B$25, MOD(ROW()-2, COUNTA('Category Map'!$B$5:$B$25))+1)</f>
        <v>Battery Manufacturing</v>
      </c>
      <c r="C380" s="43" cm="1">
        <f t="array" aca="1" ref="C380" ca="1">_xlfn.XLOOKUP(B380,INDIRECT("'" &amp; A380 &amp; "'!G:G"),INDIRECT("'" &amp; A380 &amp; "'!H:H"),0,0,1)</f>
        <v>0</v>
      </c>
    </row>
    <row r="381" spans="1:3">
      <c r="A381" t="str" cm="1">
        <f t="array" ref="A381">INDEX('Table of Contents'!$B$5:$B$25, INT((ROW()-2)/COUNTA('Category Map'!$B$5:$B$25))+1)</f>
        <v>HCl</v>
      </c>
      <c r="B381" t="str" cm="1">
        <f t="array" ref="B381">INDEX('Category Map'!$B$5:$B$25, MOD(ROW()-2, COUNTA('Category Map'!$B$5:$B$25))+1)</f>
        <v>Cement Manufacturing</v>
      </c>
      <c r="C381" s="43" cm="1">
        <f t="array" aca="1" ref="C381" ca="1">_xlfn.XLOOKUP(B381,INDIRECT("'" &amp; A381 &amp; "'!G:G"),INDIRECT("'" &amp; A381 &amp; "'!H:H"),0,0,1)</f>
        <v>0</v>
      </c>
    </row>
    <row r="382" spans="1:3">
      <c r="A382" t="str" cm="1">
        <f t="array" ref="A382">INDEX('Table of Contents'!$B$5:$B$25, INT((ROW()-2)/COUNTA('Category Map'!$B$5:$B$25))+1)</f>
        <v>HCl</v>
      </c>
      <c r="B382" t="str" cm="1">
        <f t="array" ref="B382">INDEX('Category Map'!$B$5:$B$25, MOD(ROW()-2, COUNTA('Category Map'!$B$5:$B$25))+1)</f>
        <v>Chemical Manufacturing</v>
      </c>
      <c r="C382" s="43" cm="1">
        <f t="array" aca="1" ref="C382" ca="1">_xlfn.XLOOKUP(B382,INDIRECT("'" &amp; A382 &amp; "'!G:G"),INDIRECT("'" &amp; A382 &amp; "'!H:H"),0,0,1)</f>
        <v>0</v>
      </c>
    </row>
    <row r="383" spans="1:3">
      <c r="A383" t="str" cm="1">
        <f t="array" ref="A383">INDEX('Table of Contents'!$B$5:$B$25, INT((ROW()-2)/COUNTA('Category Map'!$B$5:$B$25))+1)</f>
        <v>HCl</v>
      </c>
      <c r="B383" t="str" cm="1">
        <f t="array" ref="B383">INDEX('Category Map'!$B$5:$B$25, MOD(ROW()-2, COUNTA('Category Map'!$B$5:$B$25))+1)</f>
        <v>Chloralkali Process</v>
      </c>
      <c r="C383" s="43" cm="1">
        <f t="array" aca="1" ref="C383" ca="1">_xlfn.XLOOKUP(B383,INDIRECT("'" &amp; A383 &amp; "'!G:G"),INDIRECT("'" &amp; A383 &amp; "'!H:H"),0,0,1)</f>
        <v>0</v>
      </c>
    </row>
    <row r="384" spans="1:3">
      <c r="A384" t="str" cm="1">
        <f t="array" ref="A384">INDEX('Table of Contents'!$B$5:$B$25, INT((ROW()-2)/COUNTA('Category Map'!$B$5:$B$25))+1)</f>
        <v>HCl</v>
      </c>
      <c r="B384" t="str" cm="1">
        <f t="array" ref="B384">INDEX('Category Map'!$B$5:$B$25, MOD(ROW()-2, COUNTA('Category Map'!$B$5:$B$25))+1)</f>
        <v>Concrete</v>
      </c>
      <c r="C384" s="43" cm="1">
        <f t="array" aca="1" ref="C384" ca="1">_xlfn.XLOOKUP(B384,INDIRECT("'" &amp; A384 &amp; "'!G:G"),INDIRECT("'" &amp; A384 &amp; "'!H:H"),0,0,1)</f>
        <v>0</v>
      </c>
    </row>
    <row r="385" spans="1:3">
      <c r="A385" t="str" cm="1">
        <f t="array" ref="A385">INDEX('Table of Contents'!$B$5:$B$25, INT((ROW()-2)/COUNTA('Category Map'!$B$5:$B$25))+1)</f>
        <v>HCl</v>
      </c>
      <c r="B385" t="str" cm="1">
        <f t="array" ref="B385">INDEX('Category Map'!$B$5:$B$25, MOD(ROW()-2, COUNTA('Category Map'!$B$5:$B$25))+1)</f>
        <v>Construction Aggregate</v>
      </c>
      <c r="C385" s="43" cm="1">
        <f t="array" aca="1" ref="C385" ca="1">_xlfn.XLOOKUP(B385,INDIRECT("'" &amp; A385 &amp; "'!G:G"),INDIRECT("'" &amp; A385 &amp; "'!H:H"),0,0,1)</f>
        <v>0</v>
      </c>
    </row>
    <row r="386" spans="1:3">
      <c r="A386" t="str" cm="1">
        <f t="array" ref="A386">INDEX('Table of Contents'!$B$5:$B$25, INT((ROW()-2)/COUNTA('Category Map'!$B$5:$B$25))+1)</f>
        <v>HCl</v>
      </c>
      <c r="B386" t="str" cm="1">
        <f t="array" ref="B386">INDEX('Category Map'!$B$5:$B$25, MOD(ROW()-2, COUNTA('Category Map'!$B$5:$B$25))+1)</f>
        <v>Deicing</v>
      </c>
      <c r="C386" s="43" cm="1">
        <f t="array" aca="1" ref="C386" ca="1">_xlfn.XLOOKUP(B386,INDIRECT("'" &amp; A386 &amp; "'!G:G"),INDIRECT("'" &amp; A386 &amp; "'!H:H"),0,0,1)</f>
        <v>0</v>
      </c>
    </row>
    <row r="387" spans="1:3">
      <c r="A387" t="str" cm="1">
        <f t="array" ref="A387">INDEX('Table of Contents'!$B$5:$B$25, INT((ROW()-2)/COUNTA('Category Map'!$B$5:$B$25))+1)</f>
        <v>HCl</v>
      </c>
      <c r="B387" t="str" cm="1">
        <f t="array" ref="B387">INDEX('Category Map'!$B$5:$B$25, MOD(ROW()-2, COUNTA('Category Map'!$B$5:$B$25))+1)</f>
        <v>Dust Control</v>
      </c>
      <c r="C387" s="43" cm="1">
        <f t="array" aca="1" ref="C387" ca="1">_xlfn.XLOOKUP(B387,INDIRECT("'" &amp; A387 &amp; "'!G:G"),INDIRECT("'" &amp; A387 &amp; "'!H:H"),0,0,1)</f>
        <v>0</v>
      </c>
    </row>
    <row r="388" spans="1:3">
      <c r="A388" t="str" cm="1">
        <f t="array" ref="A388">INDEX('Table of Contents'!$B$5:$B$25, INT((ROW()-2)/COUNTA('Category Map'!$B$5:$B$25))+1)</f>
        <v>HCl</v>
      </c>
      <c r="B388" t="str" cm="1">
        <f t="array" ref="B388">INDEX('Category Map'!$B$5:$B$25, MOD(ROW()-2, COUNTA('Category Map'!$B$5:$B$25))+1)</f>
        <v>Fertilizer Manufacturing</v>
      </c>
      <c r="C388" s="43" cm="1">
        <f t="array" aca="1" ref="C388" ca="1">_xlfn.XLOOKUP(B388,INDIRECT("'" &amp; A388 &amp; "'!G:G"),INDIRECT("'" &amp; A388 &amp; "'!H:H"),0,0,1)</f>
        <v>0</v>
      </c>
    </row>
    <row r="389" spans="1:3">
      <c r="A389" t="str" cm="1">
        <f t="array" ref="A389">INDEX('Table of Contents'!$B$5:$B$25, INT((ROW()-2)/COUNTA('Category Map'!$B$5:$B$25))+1)</f>
        <v>HCl</v>
      </c>
      <c r="B389" t="str" cm="1">
        <f t="array" ref="B389">INDEX('Category Map'!$B$5:$B$25, MOD(ROW()-2, COUNTA('Category Map'!$B$5:$B$25))+1)</f>
        <v>Flue Gas Desulfurization</v>
      </c>
      <c r="C389" s="43" cm="1">
        <f t="array" aca="1" ref="C389" ca="1">_xlfn.XLOOKUP(B389,INDIRECT("'" &amp; A389 &amp; "'!G:G"),INDIRECT("'" &amp; A389 &amp; "'!H:H"),0,0,1)</f>
        <v>0</v>
      </c>
    </row>
    <row r="390" spans="1:3">
      <c r="A390" t="str" cm="1">
        <f t="array" ref="A390">INDEX('Table of Contents'!$B$5:$B$25, INT((ROW()-2)/COUNTA('Category Map'!$B$5:$B$25))+1)</f>
        <v>HCl</v>
      </c>
      <c r="B390" t="str" cm="1">
        <f t="array" ref="B390">INDEX('Category Map'!$B$5:$B$25, MOD(ROW()-2, COUNTA('Category Map'!$B$5:$B$25))+1)</f>
        <v>Glass Manufacturing</v>
      </c>
      <c r="C390" s="43" cm="1">
        <f t="array" aca="1" ref="C390" ca="1">_xlfn.XLOOKUP(B390,INDIRECT("'" &amp; A390 &amp; "'!G:G"),INDIRECT("'" &amp; A390 &amp; "'!H:H"),0,0,1)</f>
        <v>0</v>
      </c>
    </row>
    <row r="391" spans="1:3">
      <c r="A391" t="str" cm="1">
        <f t="array" ref="A391">INDEX('Table of Contents'!$B$5:$B$25, INT((ROW()-2)/COUNTA('Category Map'!$B$5:$B$25))+1)</f>
        <v>HCl</v>
      </c>
      <c r="B391" t="str" cm="1">
        <f t="array" ref="B391">INDEX('Category Map'!$B$5:$B$25, MOD(ROW()-2, COUNTA('Category Map'!$B$5:$B$25))+1)</f>
        <v>Gypsum-Based Building Materials</v>
      </c>
      <c r="C391" s="43" cm="1">
        <f t="array" aca="1" ref="C391" ca="1">_xlfn.XLOOKUP(B391,INDIRECT("'" &amp; A391 &amp; "'!G:G"),INDIRECT("'" &amp; A391 &amp; "'!H:H"),0,0,1)</f>
        <v>0</v>
      </c>
    </row>
    <row r="392" spans="1:3">
      <c r="A392" t="str" cm="1">
        <f t="array" ref="A392">INDEX('Table of Contents'!$B$5:$B$25, INT((ROW()-2)/COUNTA('Category Map'!$B$5:$B$25))+1)</f>
        <v>HCl</v>
      </c>
      <c r="B392" t="str" cm="1">
        <f t="array" ref="B392">INDEX('Category Map'!$B$5:$B$25, MOD(ROW()-2, COUNTA('Category Map'!$B$5:$B$25))+1)</f>
        <v>Lime Manufacturing</v>
      </c>
      <c r="C392" s="43" cm="1">
        <f t="array" aca="1" ref="C392" ca="1">_xlfn.XLOOKUP(B392,INDIRECT("'" &amp; A392 &amp; "'!G:G"),INDIRECT("'" &amp; A392 &amp; "'!H:H"),0,0,1)</f>
        <v>0</v>
      </c>
    </row>
    <row r="393" spans="1:3">
      <c r="A393" t="str" cm="1">
        <f t="array" ref="A393">INDEX('Table of Contents'!$B$5:$B$25, INT((ROW()-2)/COUNTA('Category Map'!$B$5:$B$25))+1)</f>
        <v>HCl</v>
      </c>
      <c r="B393" t="str" cm="1">
        <f t="array" ref="B393">INDEX('Category Map'!$B$5:$B$25, MOD(ROW()-2, COUNTA('Category Map'!$B$5:$B$25))+1)</f>
        <v>Livestock</v>
      </c>
      <c r="C393" s="43" cm="1">
        <f t="array" aca="1" ref="C393" ca="1">_xlfn.XLOOKUP(B393,INDIRECT("'" &amp; A393 &amp; "'!G:G"),INDIRECT("'" &amp; A393 &amp; "'!H:H"),0,0,1)</f>
        <v>0</v>
      </c>
    </row>
    <row r="394" spans="1:3">
      <c r="A394" t="str" cm="1">
        <f t="array" ref="A394">INDEX('Table of Contents'!$B$5:$B$25, INT((ROW()-2)/COUNTA('Category Map'!$B$5:$B$25))+1)</f>
        <v>HCl</v>
      </c>
      <c r="B394" t="str" cm="1">
        <f t="array" ref="B394">INDEX('Category Map'!$B$5:$B$25, MOD(ROW()-2, COUNTA('Category Map'!$B$5:$B$25))+1)</f>
        <v>Miscellaneous Agricultural</v>
      </c>
      <c r="C394" s="43" cm="1">
        <f t="array" aca="1" ref="C394" ca="1">_xlfn.XLOOKUP(B394,INDIRECT("'" &amp; A394 &amp; "'!G:G"),INDIRECT("'" &amp; A394 &amp; "'!H:H"),0,0,1)</f>
        <v>0</v>
      </c>
    </row>
    <row r="395" spans="1:3">
      <c r="A395" t="str" cm="1">
        <f t="array" ref="A395">INDEX('Table of Contents'!$B$5:$B$25, INT((ROW()-2)/COUNTA('Category Map'!$B$5:$B$25))+1)</f>
        <v>HCl</v>
      </c>
      <c r="B395" t="str" cm="1">
        <f t="array" ref="B395">INDEX('Category Map'!$B$5:$B$25, MOD(ROW()-2, COUNTA('Category Map'!$B$5:$B$25))+1)</f>
        <v>Miscellaneous Industrial</v>
      </c>
      <c r="C395" s="43" cm="1">
        <f t="array" aca="1" ref="C395" ca="1">_xlfn.XLOOKUP(B395,INDIRECT("'" &amp; A395 &amp; "'!G:G"),INDIRECT("'" &amp; A395 &amp; "'!H:H"),0,0,1)</f>
        <v>0.19</v>
      </c>
    </row>
    <row r="396" spans="1:3">
      <c r="A396" t="str" cm="1">
        <f t="array" ref="A396">INDEX('Table of Contents'!$B$5:$B$25, INT((ROW()-2)/COUNTA('Category Map'!$B$5:$B$25))+1)</f>
        <v>HCl</v>
      </c>
      <c r="B396" t="str" cm="1">
        <f t="array" ref="B396">INDEX('Category Map'!$B$5:$B$25, MOD(ROW()-2, COUNTA('Category Map'!$B$5:$B$25))+1)</f>
        <v>Oil and Gas</v>
      </c>
      <c r="C396" s="43" cm="1">
        <f t="array" aca="1" ref="C396" ca="1">_xlfn.XLOOKUP(B396,INDIRECT("'" &amp; A396 &amp; "'!G:G"),INDIRECT("'" &amp; A396 &amp; "'!H:H"),0,0,1)</f>
        <v>0.3</v>
      </c>
    </row>
    <row r="397" spans="1:3">
      <c r="A397" t="str" cm="1">
        <f t="array" ref="A397">INDEX('Table of Contents'!$B$5:$B$25, INT((ROW()-2)/COUNTA('Category Map'!$B$5:$B$25))+1)</f>
        <v>HCl</v>
      </c>
      <c r="B397" t="str" cm="1">
        <f t="array" ref="B397">INDEX('Category Map'!$B$5:$B$25, MOD(ROW()-2, COUNTA('Category Map'!$B$5:$B$25))+1)</f>
        <v>Other</v>
      </c>
      <c r="C397" s="43" cm="1">
        <f t="array" aca="1" ref="C397" ca="1">_xlfn.XLOOKUP(B397,INDIRECT("'" &amp; A397 &amp; "'!G:G"),INDIRECT("'" &amp; A397 &amp; "'!H:H"),0,0,1)</f>
        <v>0.32</v>
      </c>
    </row>
    <row r="398" spans="1:3">
      <c r="A398" t="str" cm="1">
        <f t="array" ref="A398">INDEX('Table of Contents'!$B$5:$B$25, INT((ROW()-2)/COUNTA('Category Map'!$B$5:$B$25))+1)</f>
        <v>HCl</v>
      </c>
      <c r="B398" t="str" cm="1">
        <f t="array" ref="B398">INDEX('Category Map'!$B$5:$B$25, MOD(ROW()-2, COUNTA('Category Map'!$B$5:$B$25))+1)</f>
        <v>Pulp and Paper</v>
      </c>
      <c r="C398" s="43" cm="1">
        <f t="array" aca="1" ref="C398" ca="1">_xlfn.XLOOKUP(B398,INDIRECT("'" &amp; A398 &amp; "'!G:G"),INDIRECT("'" &amp; A398 &amp; "'!H:H"),0,0,1)</f>
        <v>0</v>
      </c>
    </row>
    <row r="399" spans="1:3">
      <c r="A399" t="str" cm="1">
        <f t="array" ref="A399">INDEX('Table of Contents'!$B$5:$B$25, INT((ROW()-2)/COUNTA('Category Map'!$B$5:$B$25))+1)</f>
        <v>HCl</v>
      </c>
      <c r="B399" t="str" cm="1">
        <f t="array" ref="B399">INDEX('Category Map'!$B$5:$B$25, MOD(ROW()-2, COUNTA('Category Map'!$B$5:$B$25))+1)</f>
        <v>Steel Pickling</v>
      </c>
      <c r="C399" s="43" cm="1">
        <f t="array" aca="1" ref="C399" ca="1">_xlfn.XLOOKUP(B399,INDIRECT("'" &amp; A399 &amp; "'!G:G"),INDIRECT("'" &amp; A399 &amp; "'!H:H"),0,0,1)</f>
        <v>0.19</v>
      </c>
    </row>
    <row r="400" spans="1:3">
      <c r="A400" t="str" cm="1">
        <f t="array" ref="A400">INDEX('Table of Contents'!$B$5:$B$25, INT((ROW()-2)/COUNTA('Category Map'!$B$5:$B$25))+1)</f>
        <v>HCl</v>
      </c>
      <c r="B400" t="str" cm="1">
        <f t="array" ref="B400">INDEX('Category Map'!$B$5:$B$25, MOD(ROW()-2, COUNTA('Category Map'!$B$5:$B$25))+1)</f>
        <v>Water Treatment</v>
      </c>
      <c r="C400" s="43" cm="1">
        <f t="array" aca="1" ref="C400" ca="1">_xlfn.XLOOKUP(B400,INDIRECT("'" &amp; A400 &amp; "'!G:G"),INDIRECT("'" &amp; A400 &amp; "'!H:H"),0,0,1)</f>
        <v>0</v>
      </c>
    </row>
    <row r="401" spans="1:3">
      <c r="A401" t="str" cm="1">
        <f t="array" ref="A401">INDEX('Table of Contents'!$B$5:$B$25, INT((ROW()-2)/COUNTA('Category Map'!$B$5:$B$25))+1)</f>
        <v>Br2</v>
      </c>
      <c r="B401" t="str" cm="1">
        <f t="array" ref="B401">INDEX('Category Map'!$B$5:$B$25, MOD(ROW()-2, COUNTA('Category Map'!$B$5:$B$25))+1)</f>
        <v>Battery Manufacturing</v>
      </c>
      <c r="C401" s="43" cm="1">
        <f t="array" aca="1" ref="C401" ca="1">_xlfn.XLOOKUP(B401,INDIRECT("'" &amp; A401 &amp; "'!G:G"),INDIRECT("'" &amp; A401 &amp; "'!H:H"),0,0,1)</f>
        <v>0</v>
      </c>
    </row>
    <row r="402" spans="1:3">
      <c r="A402" t="str" cm="1">
        <f t="array" ref="A402">INDEX('Table of Contents'!$B$5:$B$25, INT((ROW()-2)/COUNTA('Category Map'!$B$5:$B$25))+1)</f>
        <v>Br2</v>
      </c>
      <c r="B402" t="str" cm="1">
        <f t="array" ref="B402">INDEX('Category Map'!$B$5:$B$25, MOD(ROW()-2, COUNTA('Category Map'!$B$5:$B$25))+1)</f>
        <v>Cement Manufacturing</v>
      </c>
      <c r="C402" s="43" cm="1">
        <f t="array" aca="1" ref="C402" ca="1">_xlfn.XLOOKUP(B402,INDIRECT("'" &amp; A402 &amp; "'!G:G"),INDIRECT("'" &amp; A402 &amp; "'!H:H"),0,0,1)</f>
        <v>0</v>
      </c>
    </row>
    <row r="403" spans="1:3">
      <c r="A403" t="str" cm="1">
        <f t="array" ref="A403">INDEX('Table of Contents'!$B$5:$B$25, INT((ROW()-2)/COUNTA('Category Map'!$B$5:$B$25))+1)</f>
        <v>Br2</v>
      </c>
      <c r="B403" t="str" cm="1">
        <f t="array" ref="B403">INDEX('Category Map'!$B$5:$B$25, MOD(ROW()-2, COUNTA('Category Map'!$B$5:$B$25))+1)</f>
        <v>Chemical Manufacturing</v>
      </c>
      <c r="C403" s="43" cm="1">
        <f t="array" aca="1" ref="C403" ca="1">_xlfn.XLOOKUP(B403,INDIRECT("'" &amp; A403 &amp; "'!G:G"),INDIRECT("'" &amp; A403 &amp; "'!H:H"),0,0,1)</f>
        <v>0.10005797101449275</v>
      </c>
    </row>
    <row r="404" spans="1:3">
      <c r="A404" t="str" cm="1">
        <f t="array" ref="A404">INDEX('Table of Contents'!$B$5:$B$25, INT((ROW()-2)/COUNTA('Category Map'!$B$5:$B$25))+1)</f>
        <v>Br2</v>
      </c>
      <c r="B404" t="str" cm="1">
        <f t="array" ref="B404">INDEX('Category Map'!$B$5:$B$25, MOD(ROW()-2, COUNTA('Category Map'!$B$5:$B$25))+1)</f>
        <v>Chloralkali Process</v>
      </c>
      <c r="C404" s="43" cm="1">
        <f t="array" aca="1" ref="C404" ca="1">_xlfn.XLOOKUP(B404,INDIRECT("'" &amp; A404 &amp; "'!G:G"),INDIRECT("'" &amp; A404 &amp; "'!H:H"),0,0,1)</f>
        <v>0</v>
      </c>
    </row>
    <row r="405" spans="1:3">
      <c r="A405" t="str" cm="1">
        <f t="array" ref="A405">INDEX('Table of Contents'!$B$5:$B$25, INT((ROW()-2)/COUNTA('Category Map'!$B$5:$B$25))+1)</f>
        <v>Br2</v>
      </c>
      <c r="B405" t="str" cm="1">
        <f t="array" ref="B405">INDEX('Category Map'!$B$5:$B$25, MOD(ROW()-2, COUNTA('Category Map'!$B$5:$B$25))+1)</f>
        <v>Concrete</v>
      </c>
      <c r="C405" s="43" cm="1">
        <f t="array" aca="1" ref="C405" ca="1">_xlfn.XLOOKUP(B405,INDIRECT("'" &amp; A405 &amp; "'!G:G"),INDIRECT("'" &amp; A405 &amp; "'!H:H"),0,0,1)</f>
        <v>0</v>
      </c>
    </row>
    <row r="406" spans="1:3">
      <c r="A406" t="str" cm="1">
        <f t="array" ref="A406">INDEX('Table of Contents'!$B$5:$B$25, INT((ROW()-2)/COUNTA('Category Map'!$B$5:$B$25))+1)</f>
        <v>Br2</v>
      </c>
      <c r="B406" t="str" cm="1">
        <f t="array" ref="B406">INDEX('Category Map'!$B$5:$B$25, MOD(ROW()-2, COUNTA('Category Map'!$B$5:$B$25))+1)</f>
        <v>Construction Aggregate</v>
      </c>
      <c r="C406" s="43" cm="1">
        <f t="array" aca="1" ref="C406" ca="1">_xlfn.XLOOKUP(B406,INDIRECT("'" &amp; A406 &amp; "'!G:G"),INDIRECT("'" &amp; A406 &amp; "'!H:H"),0,0,1)</f>
        <v>0</v>
      </c>
    </row>
    <row r="407" spans="1:3">
      <c r="A407" t="str" cm="1">
        <f t="array" ref="A407">INDEX('Table of Contents'!$B$5:$B$25, INT((ROW()-2)/COUNTA('Category Map'!$B$5:$B$25))+1)</f>
        <v>Br2</v>
      </c>
      <c r="B407" t="str" cm="1">
        <f t="array" ref="B407">INDEX('Category Map'!$B$5:$B$25, MOD(ROW()-2, COUNTA('Category Map'!$B$5:$B$25))+1)</f>
        <v>Deicing</v>
      </c>
      <c r="C407" s="43" cm="1">
        <f t="array" aca="1" ref="C407" ca="1">_xlfn.XLOOKUP(B407,INDIRECT("'" &amp; A407 &amp; "'!G:G"),INDIRECT("'" &amp; A407 &amp; "'!H:H"),0,0,1)</f>
        <v>0</v>
      </c>
    </row>
    <row r="408" spans="1:3">
      <c r="A408" t="str" cm="1">
        <f t="array" ref="A408">INDEX('Table of Contents'!$B$5:$B$25, INT((ROW()-2)/COUNTA('Category Map'!$B$5:$B$25))+1)</f>
        <v>Br2</v>
      </c>
      <c r="B408" t="str" cm="1">
        <f t="array" ref="B408">INDEX('Category Map'!$B$5:$B$25, MOD(ROW()-2, COUNTA('Category Map'!$B$5:$B$25))+1)</f>
        <v>Dust Control</v>
      </c>
      <c r="C408" s="43" cm="1">
        <f t="array" aca="1" ref="C408" ca="1">_xlfn.XLOOKUP(B408,INDIRECT("'" &amp; A408 &amp; "'!G:G"),INDIRECT("'" &amp; A408 &amp; "'!H:H"),0,0,1)</f>
        <v>0</v>
      </c>
    </row>
    <row r="409" spans="1:3">
      <c r="A409" t="str" cm="1">
        <f t="array" ref="A409">INDEX('Table of Contents'!$B$5:$B$25, INT((ROW()-2)/COUNTA('Category Map'!$B$5:$B$25))+1)</f>
        <v>Br2</v>
      </c>
      <c r="B409" t="str" cm="1">
        <f t="array" ref="B409">INDEX('Category Map'!$B$5:$B$25, MOD(ROW()-2, COUNTA('Category Map'!$B$5:$B$25))+1)</f>
        <v>Fertilizer Manufacturing</v>
      </c>
      <c r="C409" s="43" cm="1">
        <f t="array" aca="1" ref="C409" ca="1">_xlfn.XLOOKUP(B409,INDIRECT("'" &amp; A409 &amp; "'!G:G"),INDIRECT("'" &amp; A409 &amp; "'!H:H"),0,0,1)</f>
        <v>0</v>
      </c>
    </row>
    <row r="410" spans="1:3">
      <c r="A410" t="str" cm="1">
        <f t="array" ref="A410">INDEX('Table of Contents'!$B$5:$B$25, INT((ROW()-2)/COUNTA('Category Map'!$B$5:$B$25))+1)</f>
        <v>Br2</v>
      </c>
      <c r="B410" t="str" cm="1">
        <f t="array" ref="B410">INDEX('Category Map'!$B$5:$B$25, MOD(ROW()-2, COUNTA('Category Map'!$B$5:$B$25))+1)</f>
        <v>Flue Gas Desulfurization</v>
      </c>
      <c r="C410" s="43" cm="1">
        <f t="array" aca="1" ref="C410" ca="1">_xlfn.XLOOKUP(B410,INDIRECT("'" &amp; A410 &amp; "'!G:G"),INDIRECT("'" &amp; A410 &amp; "'!H:H"),0,0,1)</f>
        <v>0</v>
      </c>
    </row>
    <row r="411" spans="1:3">
      <c r="A411" t="str" cm="1">
        <f t="array" ref="A411">INDEX('Table of Contents'!$B$5:$B$25, INT((ROW()-2)/COUNTA('Category Map'!$B$5:$B$25))+1)</f>
        <v>Br2</v>
      </c>
      <c r="B411" t="str" cm="1">
        <f t="array" ref="B411">INDEX('Category Map'!$B$5:$B$25, MOD(ROW()-2, COUNTA('Category Map'!$B$5:$B$25))+1)</f>
        <v>Glass Manufacturing</v>
      </c>
      <c r="C411" s="43" cm="1">
        <f t="array" aca="1" ref="C411" ca="1">_xlfn.XLOOKUP(B411,INDIRECT("'" &amp; A411 &amp; "'!G:G"),INDIRECT("'" &amp; A411 &amp; "'!H:H"),0,0,1)</f>
        <v>0</v>
      </c>
    </row>
    <row r="412" spans="1:3">
      <c r="A412" t="str" cm="1">
        <f t="array" ref="A412">INDEX('Table of Contents'!$B$5:$B$25, INT((ROW()-2)/COUNTA('Category Map'!$B$5:$B$25))+1)</f>
        <v>Br2</v>
      </c>
      <c r="B412" t="str" cm="1">
        <f t="array" ref="B412">INDEX('Category Map'!$B$5:$B$25, MOD(ROW()-2, COUNTA('Category Map'!$B$5:$B$25))+1)</f>
        <v>Gypsum-Based Building Materials</v>
      </c>
      <c r="C412" s="43" cm="1">
        <f t="array" aca="1" ref="C412" ca="1">_xlfn.XLOOKUP(B412,INDIRECT("'" &amp; A412 &amp; "'!G:G"),INDIRECT("'" &amp; A412 &amp; "'!H:H"),0,0,1)</f>
        <v>0</v>
      </c>
    </row>
    <row r="413" spans="1:3">
      <c r="A413" t="str" cm="1">
        <f t="array" ref="A413">INDEX('Table of Contents'!$B$5:$B$25, INT((ROW()-2)/COUNTA('Category Map'!$B$5:$B$25))+1)</f>
        <v>Br2</v>
      </c>
      <c r="B413" t="str" cm="1">
        <f t="array" ref="B413">INDEX('Category Map'!$B$5:$B$25, MOD(ROW()-2, COUNTA('Category Map'!$B$5:$B$25))+1)</f>
        <v>Lime Manufacturing</v>
      </c>
      <c r="C413" s="43" cm="1">
        <f t="array" aca="1" ref="C413" ca="1">_xlfn.XLOOKUP(B413,INDIRECT("'" &amp; A413 &amp; "'!G:G"),INDIRECT("'" &amp; A413 &amp; "'!H:H"),0,0,1)</f>
        <v>0</v>
      </c>
    </row>
    <row r="414" spans="1:3">
      <c r="A414" t="str" cm="1">
        <f t="array" ref="A414">INDEX('Table of Contents'!$B$5:$B$25, INT((ROW()-2)/COUNTA('Category Map'!$B$5:$B$25))+1)</f>
        <v>Br2</v>
      </c>
      <c r="B414" t="str" cm="1">
        <f t="array" ref="B414">INDEX('Category Map'!$B$5:$B$25, MOD(ROW()-2, COUNTA('Category Map'!$B$5:$B$25))+1)</f>
        <v>Livestock</v>
      </c>
      <c r="C414" s="43" cm="1">
        <f t="array" aca="1" ref="C414" ca="1">_xlfn.XLOOKUP(B414,INDIRECT("'" &amp; A414 &amp; "'!G:G"),INDIRECT("'" &amp; A414 &amp; "'!H:H"),0,0,1)</f>
        <v>0</v>
      </c>
    </row>
    <row r="415" spans="1:3">
      <c r="A415" t="str" cm="1">
        <f t="array" ref="A415">INDEX('Table of Contents'!$B$5:$B$25, INT((ROW()-2)/COUNTA('Category Map'!$B$5:$B$25))+1)</f>
        <v>Br2</v>
      </c>
      <c r="B415" t="str" cm="1">
        <f t="array" ref="B415">INDEX('Category Map'!$B$5:$B$25, MOD(ROW()-2, COUNTA('Category Map'!$B$5:$B$25))+1)</f>
        <v>Miscellaneous Agricultural</v>
      </c>
      <c r="C415" s="43" cm="1">
        <f t="array" aca="1" ref="C415" ca="1">_xlfn.XLOOKUP(B415,INDIRECT("'" &amp; A415 &amp; "'!G:G"),INDIRECT("'" &amp; A415 &amp; "'!H:H"),0,0,1)</f>
        <v>4.9971014492753624E-2</v>
      </c>
    </row>
    <row r="416" spans="1:3">
      <c r="A416" t="str" cm="1">
        <f t="array" ref="A416">INDEX('Table of Contents'!$B$5:$B$25, INT((ROW()-2)/COUNTA('Category Map'!$B$5:$B$25))+1)</f>
        <v>Br2</v>
      </c>
      <c r="B416" t="str" cm="1">
        <f t="array" ref="B416">INDEX('Category Map'!$B$5:$B$25, MOD(ROW()-2, COUNTA('Category Map'!$B$5:$B$25))+1)</f>
        <v>Miscellaneous Industrial</v>
      </c>
      <c r="C416" s="43" cm="1">
        <f t="array" aca="1" ref="C416" ca="1">_xlfn.XLOOKUP(B416,INDIRECT("'" &amp; A416 &amp; "'!G:G"),INDIRECT("'" &amp; A416 &amp; "'!H:H"),0,0,1)</f>
        <v>0.64997101449275363</v>
      </c>
    </row>
    <row r="417" spans="1:3">
      <c r="A417" t="str" cm="1">
        <f t="array" ref="A417">INDEX('Table of Contents'!$B$5:$B$25, INT((ROW()-2)/COUNTA('Category Map'!$B$5:$B$25))+1)</f>
        <v>Br2</v>
      </c>
      <c r="B417" t="str" cm="1">
        <f t="array" ref="B417">INDEX('Category Map'!$B$5:$B$25, MOD(ROW()-2, COUNTA('Category Map'!$B$5:$B$25))+1)</f>
        <v>Oil and Gas</v>
      </c>
      <c r="C417" s="43" cm="1">
        <f t="array" aca="1" ref="C417" ca="1">_xlfn.XLOOKUP(B417,INDIRECT("'" &amp; A417 &amp; "'!G:G"),INDIRECT("'" &amp; A417 &amp; "'!H:H"),0,0,1)</f>
        <v>0.12</v>
      </c>
    </row>
    <row r="418" spans="1:3">
      <c r="A418" t="str" cm="1">
        <f t="array" ref="A418">INDEX('Table of Contents'!$B$5:$B$25, INT((ROW()-2)/COUNTA('Category Map'!$B$5:$B$25))+1)</f>
        <v>Br2</v>
      </c>
      <c r="B418" t="str" cm="1">
        <f t="array" ref="B418">INDEX('Category Map'!$B$5:$B$25, MOD(ROW()-2, COUNTA('Category Map'!$B$5:$B$25))+1)</f>
        <v>Other</v>
      </c>
      <c r="C418" s="43" cm="1">
        <f t="array" aca="1" ref="C418" ca="1">_xlfn.XLOOKUP(B418,INDIRECT("'" &amp; A418 &amp; "'!G:G"),INDIRECT("'" &amp; A418 &amp; "'!H:H"),0,0,1)</f>
        <v>0</v>
      </c>
    </row>
    <row r="419" spans="1:3">
      <c r="A419" t="str" cm="1">
        <f t="array" ref="A419">INDEX('Table of Contents'!$B$5:$B$25, INT((ROW()-2)/COUNTA('Category Map'!$B$5:$B$25))+1)</f>
        <v>Br2</v>
      </c>
      <c r="B419" t="str" cm="1">
        <f t="array" ref="B419">INDEX('Category Map'!$B$5:$B$25, MOD(ROW()-2, COUNTA('Category Map'!$B$5:$B$25))+1)</f>
        <v>Pulp and Paper</v>
      </c>
      <c r="C419" s="43" cm="1">
        <f t="array" aca="1" ref="C419" ca="1">_xlfn.XLOOKUP(B419,INDIRECT("'" &amp; A419 &amp; "'!G:G"),INDIRECT("'" &amp; A419 &amp; "'!H:H"),0,0,1)</f>
        <v>0</v>
      </c>
    </row>
    <row r="420" spans="1:3">
      <c r="A420" t="str" cm="1">
        <f t="array" ref="A420">INDEX('Table of Contents'!$B$5:$B$25, INT((ROW()-2)/COUNTA('Category Map'!$B$5:$B$25))+1)</f>
        <v>Br2</v>
      </c>
      <c r="B420" t="str" cm="1">
        <f t="array" ref="B420">INDEX('Category Map'!$B$5:$B$25, MOD(ROW()-2, COUNTA('Category Map'!$B$5:$B$25))+1)</f>
        <v>Steel Pickling</v>
      </c>
      <c r="C420" s="43" cm="1">
        <f t="array" aca="1" ref="C420" ca="1">_xlfn.XLOOKUP(B420,INDIRECT("'" &amp; A420 &amp; "'!G:G"),INDIRECT("'" &amp; A420 &amp; "'!H:H"),0,0,1)</f>
        <v>0</v>
      </c>
    </row>
    <row r="421" spans="1:3">
      <c r="A421" t="str" cm="1">
        <f t="array" ref="A421">INDEX('Table of Contents'!$B$5:$B$25, INT((ROW()-2)/COUNTA('Category Map'!$B$5:$B$25))+1)</f>
        <v>Br2</v>
      </c>
      <c r="B421" t="str" cm="1">
        <f t="array" ref="B421">INDEX('Category Map'!$B$5:$B$25, MOD(ROW()-2, COUNTA('Category Map'!$B$5:$B$25))+1)</f>
        <v>Water Treatment</v>
      </c>
      <c r="C421" s="43" cm="1">
        <f t="array" aca="1" ref="C421" ca="1">_xlfn.XLOOKUP(B421,INDIRECT("'" &amp; A421 &amp; "'!G:G"),INDIRECT("'" &amp; A421 &amp; "'!H:H"),0,0,1)</f>
        <v>0.08</v>
      </c>
    </row>
    <row r="422" spans="1:3">
      <c r="A422" t="str" cm="1">
        <f t="array" ref="A422">INDEX('Table of Contents'!$B$5:$B$25, INT((ROW()-2)/COUNTA('Category Map'!$B$5:$B$25))+1)</f>
        <v>Cl2</v>
      </c>
      <c r="B422" t="str" cm="1">
        <f t="array" ref="B422">INDEX('Category Map'!$B$5:$B$25, MOD(ROW()-2, COUNTA('Category Map'!$B$5:$B$25))+1)</f>
        <v>Battery Manufacturing</v>
      </c>
      <c r="C422" s="43" cm="1">
        <f t="array" aca="1" ref="C422" ca="1">_xlfn.XLOOKUP(B422,INDIRECT("'" &amp; A422 &amp; "'!G:G"),INDIRECT("'" &amp; A422 &amp; "'!H:H"),0,0,1)</f>
        <v>0</v>
      </c>
    </row>
    <row r="423" spans="1:3">
      <c r="A423" t="str" cm="1">
        <f t="array" ref="A423">INDEX('Table of Contents'!$B$5:$B$25, INT((ROW()-2)/COUNTA('Category Map'!$B$5:$B$25))+1)</f>
        <v>Cl2</v>
      </c>
      <c r="B423" t="str" cm="1">
        <f t="array" ref="B423">INDEX('Category Map'!$B$5:$B$25, MOD(ROW()-2, COUNTA('Category Map'!$B$5:$B$25))+1)</f>
        <v>Cement Manufacturing</v>
      </c>
      <c r="C423" s="43" cm="1">
        <f t="array" aca="1" ref="C423" ca="1">_xlfn.XLOOKUP(B423,INDIRECT("'" &amp; A423 &amp; "'!G:G"),INDIRECT("'" &amp; A423 &amp; "'!H:H"),0,0,1)</f>
        <v>0</v>
      </c>
    </row>
    <row r="424" spans="1:3">
      <c r="A424" t="str" cm="1">
        <f t="array" ref="A424">INDEX('Table of Contents'!$B$5:$B$25, INT((ROW()-2)/COUNTA('Category Map'!$B$5:$B$25))+1)</f>
        <v>Cl2</v>
      </c>
      <c r="B424" t="str" cm="1">
        <f t="array" ref="B424">INDEX('Category Map'!$B$5:$B$25, MOD(ROW()-2, COUNTA('Category Map'!$B$5:$B$25))+1)</f>
        <v>Chemical Manufacturing</v>
      </c>
      <c r="C424" s="43" cm="1">
        <f t="array" aca="1" ref="C424" ca="1">_xlfn.XLOOKUP(B424,INDIRECT("'" &amp; A424 &amp; "'!G:G"),INDIRECT("'" &amp; A424 &amp; "'!H:H"),0,0,1)</f>
        <v>0.66111111111111109</v>
      </c>
    </row>
    <row r="425" spans="1:3">
      <c r="A425" t="str" cm="1">
        <f t="array" ref="A425">INDEX('Table of Contents'!$B$5:$B$25, INT((ROW()-2)/COUNTA('Category Map'!$B$5:$B$25))+1)</f>
        <v>Cl2</v>
      </c>
      <c r="B425" t="str" cm="1">
        <f t="array" ref="B425">INDEX('Category Map'!$B$5:$B$25, MOD(ROW()-2, COUNTA('Category Map'!$B$5:$B$25))+1)</f>
        <v>Chloralkali Process</v>
      </c>
      <c r="C425" s="43" cm="1">
        <f t="array" aca="1" ref="C425" ca="1">_xlfn.XLOOKUP(B425,INDIRECT("'" &amp; A425 &amp; "'!G:G"),INDIRECT("'" &amp; A425 &amp; "'!H:H"),0,0,1)</f>
        <v>0</v>
      </c>
    </row>
    <row r="426" spans="1:3">
      <c r="A426" t="str" cm="1">
        <f t="array" ref="A426">INDEX('Table of Contents'!$B$5:$B$25, INT((ROW()-2)/COUNTA('Category Map'!$B$5:$B$25))+1)</f>
        <v>Cl2</v>
      </c>
      <c r="B426" t="str" cm="1">
        <f t="array" ref="B426">INDEX('Category Map'!$B$5:$B$25, MOD(ROW()-2, COUNTA('Category Map'!$B$5:$B$25))+1)</f>
        <v>Concrete</v>
      </c>
      <c r="C426" s="43" cm="1">
        <f t="array" aca="1" ref="C426" ca="1">_xlfn.XLOOKUP(B426,INDIRECT("'" &amp; A426 &amp; "'!G:G"),INDIRECT("'" &amp; A426 &amp; "'!H:H"),0,0,1)</f>
        <v>0</v>
      </c>
    </row>
    <row r="427" spans="1:3">
      <c r="A427" t="str" cm="1">
        <f t="array" ref="A427">INDEX('Table of Contents'!$B$5:$B$25, INT((ROW()-2)/COUNTA('Category Map'!$B$5:$B$25))+1)</f>
        <v>Cl2</v>
      </c>
      <c r="B427" t="str" cm="1">
        <f t="array" ref="B427">INDEX('Category Map'!$B$5:$B$25, MOD(ROW()-2, COUNTA('Category Map'!$B$5:$B$25))+1)</f>
        <v>Construction Aggregate</v>
      </c>
      <c r="C427" s="43" cm="1">
        <f t="array" aca="1" ref="C427" ca="1">_xlfn.XLOOKUP(B427,INDIRECT("'" &amp; A427 &amp; "'!G:G"),INDIRECT("'" &amp; A427 &amp; "'!H:H"),0,0,1)</f>
        <v>0</v>
      </c>
    </row>
    <row r="428" spans="1:3">
      <c r="A428" t="str" cm="1">
        <f t="array" ref="A428">INDEX('Table of Contents'!$B$5:$B$25, INT((ROW()-2)/COUNTA('Category Map'!$B$5:$B$25))+1)</f>
        <v>Cl2</v>
      </c>
      <c r="B428" t="str" cm="1">
        <f t="array" ref="B428">INDEX('Category Map'!$B$5:$B$25, MOD(ROW()-2, COUNTA('Category Map'!$B$5:$B$25))+1)</f>
        <v>Deicing</v>
      </c>
      <c r="C428" s="43" cm="1">
        <f t="array" aca="1" ref="C428" ca="1">_xlfn.XLOOKUP(B428,INDIRECT("'" &amp; A428 &amp; "'!G:G"),INDIRECT("'" &amp; A428 &amp; "'!H:H"),0,0,1)</f>
        <v>0</v>
      </c>
    </row>
    <row r="429" spans="1:3">
      <c r="A429" t="str" cm="1">
        <f t="array" ref="A429">INDEX('Table of Contents'!$B$5:$B$25, INT((ROW()-2)/COUNTA('Category Map'!$B$5:$B$25))+1)</f>
        <v>Cl2</v>
      </c>
      <c r="B429" t="str" cm="1">
        <f t="array" ref="B429">INDEX('Category Map'!$B$5:$B$25, MOD(ROW()-2, COUNTA('Category Map'!$B$5:$B$25))+1)</f>
        <v>Dust Control</v>
      </c>
      <c r="C429" s="43" cm="1">
        <f t="array" aca="1" ref="C429" ca="1">_xlfn.XLOOKUP(B429,INDIRECT("'" &amp; A429 &amp; "'!G:G"),INDIRECT("'" &amp; A429 &amp; "'!H:H"),0,0,1)</f>
        <v>0</v>
      </c>
    </row>
    <row r="430" spans="1:3">
      <c r="A430" t="str" cm="1">
        <f t="array" ref="A430">INDEX('Table of Contents'!$B$5:$B$25, INT((ROW()-2)/COUNTA('Category Map'!$B$5:$B$25))+1)</f>
        <v>Cl2</v>
      </c>
      <c r="B430" t="str" cm="1">
        <f t="array" ref="B430">INDEX('Category Map'!$B$5:$B$25, MOD(ROW()-2, COUNTA('Category Map'!$B$5:$B$25))+1)</f>
        <v>Fertilizer Manufacturing</v>
      </c>
      <c r="C430" s="43" cm="1">
        <f t="array" aca="1" ref="C430" ca="1">_xlfn.XLOOKUP(B430,INDIRECT("'" &amp; A430 &amp; "'!G:G"),INDIRECT("'" &amp; A430 &amp; "'!H:H"),0,0,1)</f>
        <v>0</v>
      </c>
    </row>
    <row r="431" spans="1:3">
      <c r="A431" t="str" cm="1">
        <f t="array" ref="A431">INDEX('Table of Contents'!$B$5:$B$25, INT((ROW()-2)/COUNTA('Category Map'!$B$5:$B$25))+1)</f>
        <v>Cl2</v>
      </c>
      <c r="B431" t="str" cm="1">
        <f t="array" ref="B431">INDEX('Category Map'!$B$5:$B$25, MOD(ROW()-2, COUNTA('Category Map'!$B$5:$B$25))+1)</f>
        <v>Flue Gas Desulfurization</v>
      </c>
      <c r="C431" s="43" cm="1">
        <f t="array" aca="1" ref="C431" ca="1">_xlfn.XLOOKUP(B431,INDIRECT("'" &amp; A431 &amp; "'!G:G"),INDIRECT("'" &amp; A431 &amp; "'!H:H"),0,0,1)</f>
        <v>0</v>
      </c>
    </row>
    <row r="432" spans="1:3">
      <c r="A432" t="str" cm="1">
        <f t="array" ref="A432">INDEX('Table of Contents'!$B$5:$B$25, INT((ROW()-2)/COUNTA('Category Map'!$B$5:$B$25))+1)</f>
        <v>Cl2</v>
      </c>
      <c r="B432" t="str" cm="1">
        <f t="array" ref="B432">INDEX('Category Map'!$B$5:$B$25, MOD(ROW()-2, COUNTA('Category Map'!$B$5:$B$25))+1)</f>
        <v>Glass Manufacturing</v>
      </c>
      <c r="C432" s="43" cm="1">
        <f t="array" aca="1" ref="C432" ca="1">_xlfn.XLOOKUP(B432,INDIRECT("'" &amp; A432 &amp; "'!G:G"),INDIRECT("'" &amp; A432 &amp; "'!H:H"),0,0,1)</f>
        <v>0</v>
      </c>
    </row>
    <row r="433" spans="1:3">
      <c r="A433" t="str" cm="1">
        <f t="array" ref="A433">INDEX('Table of Contents'!$B$5:$B$25, INT((ROW()-2)/COUNTA('Category Map'!$B$5:$B$25))+1)</f>
        <v>Cl2</v>
      </c>
      <c r="B433" t="str" cm="1">
        <f t="array" ref="B433">INDEX('Category Map'!$B$5:$B$25, MOD(ROW()-2, COUNTA('Category Map'!$B$5:$B$25))+1)</f>
        <v>Gypsum-Based Building Materials</v>
      </c>
      <c r="C433" s="43" cm="1">
        <f t="array" aca="1" ref="C433" ca="1">_xlfn.XLOOKUP(B433,INDIRECT("'" &amp; A433 &amp; "'!G:G"),INDIRECT("'" &amp; A433 &amp; "'!H:H"),0,0,1)</f>
        <v>0</v>
      </c>
    </row>
    <row r="434" spans="1:3">
      <c r="A434" t="str" cm="1">
        <f t="array" ref="A434">INDEX('Table of Contents'!$B$5:$B$25, INT((ROW()-2)/COUNTA('Category Map'!$B$5:$B$25))+1)</f>
        <v>Cl2</v>
      </c>
      <c r="B434" t="str" cm="1">
        <f t="array" ref="B434">INDEX('Category Map'!$B$5:$B$25, MOD(ROW()-2, COUNTA('Category Map'!$B$5:$B$25))+1)</f>
        <v>Lime Manufacturing</v>
      </c>
      <c r="C434" s="43" cm="1">
        <f t="array" aca="1" ref="C434" ca="1">_xlfn.XLOOKUP(B434,INDIRECT("'" &amp; A434 &amp; "'!G:G"),INDIRECT("'" &amp; A434 &amp; "'!H:H"),0,0,1)</f>
        <v>0</v>
      </c>
    </row>
    <row r="435" spans="1:3">
      <c r="A435" t="str" cm="1">
        <f t="array" ref="A435">INDEX('Table of Contents'!$B$5:$B$25, INT((ROW()-2)/COUNTA('Category Map'!$B$5:$B$25))+1)</f>
        <v>Cl2</v>
      </c>
      <c r="B435" t="str" cm="1">
        <f t="array" ref="B435">INDEX('Category Map'!$B$5:$B$25, MOD(ROW()-2, COUNTA('Category Map'!$B$5:$B$25))+1)</f>
        <v>Livestock</v>
      </c>
      <c r="C435" s="43" cm="1">
        <f t="array" aca="1" ref="C435" ca="1">_xlfn.XLOOKUP(B435,INDIRECT("'" &amp; A435 &amp; "'!G:G"),INDIRECT("'" &amp; A435 &amp; "'!H:H"),0,0,1)</f>
        <v>0</v>
      </c>
    </row>
    <row r="436" spans="1:3">
      <c r="A436" t="str" cm="1">
        <f t="array" ref="A436">INDEX('Table of Contents'!$B$5:$B$25, INT((ROW()-2)/COUNTA('Category Map'!$B$5:$B$25))+1)</f>
        <v>Cl2</v>
      </c>
      <c r="B436" t="str" cm="1">
        <f t="array" ref="B436">INDEX('Category Map'!$B$5:$B$25, MOD(ROW()-2, COUNTA('Category Map'!$B$5:$B$25))+1)</f>
        <v>Miscellaneous Agricultural</v>
      </c>
      <c r="C436" s="43" cm="1">
        <f t="array" aca="1" ref="C436" ca="1">_xlfn.XLOOKUP(B436,INDIRECT("'" &amp; A436 &amp; "'!G:G"),INDIRECT("'" &amp; A436 &amp; "'!H:H"),0,0,1)</f>
        <v>0</v>
      </c>
    </row>
    <row r="437" spans="1:3">
      <c r="A437" t="str" cm="1">
        <f t="array" ref="A437">INDEX('Table of Contents'!$B$5:$B$25, INT((ROW()-2)/COUNTA('Category Map'!$B$5:$B$25))+1)</f>
        <v>Cl2</v>
      </c>
      <c r="B437" t="str" cm="1">
        <f t="array" ref="B437">INDEX('Category Map'!$B$5:$B$25, MOD(ROW()-2, COUNTA('Category Map'!$B$5:$B$25))+1)</f>
        <v>Miscellaneous Industrial</v>
      </c>
      <c r="C437" s="43" cm="1">
        <f t="array" aca="1" ref="C437" ca="1">_xlfn.XLOOKUP(B437,INDIRECT("'" &amp; A437 &amp; "'!G:G"),INDIRECT("'" &amp; A437 &amp; "'!H:H"),0,0,1)</f>
        <v>0</v>
      </c>
    </row>
    <row r="438" spans="1:3">
      <c r="A438" t="str" cm="1">
        <f t="array" ref="A438">INDEX('Table of Contents'!$B$5:$B$25, INT((ROW()-2)/COUNTA('Category Map'!$B$5:$B$25))+1)</f>
        <v>Cl2</v>
      </c>
      <c r="B438" t="str" cm="1">
        <f t="array" ref="B438">INDEX('Category Map'!$B$5:$B$25, MOD(ROW()-2, COUNTA('Category Map'!$B$5:$B$25))+1)</f>
        <v>Oil and Gas</v>
      </c>
      <c r="C438" s="43" cm="1">
        <f t="array" aca="1" ref="C438" ca="1">_xlfn.XLOOKUP(B438,INDIRECT("'" &amp; A438 &amp; "'!G:G"),INDIRECT("'" &amp; A438 &amp; "'!H:H"),0,0,1)</f>
        <v>0</v>
      </c>
    </row>
    <row r="439" spans="1:3">
      <c r="A439" t="str" cm="1">
        <f t="array" ref="A439">INDEX('Table of Contents'!$B$5:$B$25, INT((ROW()-2)/COUNTA('Category Map'!$B$5:$B$25))+1)</f>
        <v>Cl2</v>
      </c>
      <c r="B439" t="str" cm="1">
        <f t="array" ref="B439">INDEX('Category Map'!$B$5:$B$25, MOD(ROW()-2, COUNTA('Category Map'!$B$5:$B$25))+1)</f>
        <v>Other</v>
      </c>
      <c r="C439" s="43" cm="1">
        <f t="array" aca="1" ref="C439" ca="1">_xlfn.XLOOKUP(B439,INDIRECT("'" &amp; A439 &amp; "'!G:G"),INDIRECT("'" &amp; A439 &amp; "'!H:H"),0,0,1)</f>
        <v>0.33888888888888891</v>
      </c>
    </row>
    <row r="440" spans="1:3">
      <c r="A440" t="str" cm="1">
        <f t="array" ref="A440">INDEX('Table of Contents'!$B$5:$B$25, INT((ROW()-2)/COUNTA('Category Map'!$B$5:$B$25))+1)</f>
        <v>Cl2</v>
      </c>
      <c r="B440" t="str" cm="1">
        <f t="array" ref="B440">INDEX('Category Map'!$B$5:$B$25, MOD(ROW()-2, COUNTA('Category Map'!$B$5:$B$25))+1)</f>
        <v>Pulp and Paper</v>
      </c>
      <c r="C440" s="43" cm="1">
        <f t="array" aca="1" ref="C440" ca="1">_xlfn.XLOOKUP(B440,INDIRECT("'" &amp; A440 &amp; "'!G:G"),INDIRECT("'" &amp; A440 &amp; "'!H:H"),0,0,1)</f>
        <v>0</v>
      </c>
    </row>
    <row r="441" spans="1:3">
      <c r="A441" t="str" cm="1">
        <f t="array" ref="A441">INDEX('Table of Contents'!$B$5:$B$25, INT((ROW()-2)/COUNTA('Category Map'!$B$5:$B$25))+1)</f>
        <v>Cl2</v>
      </c>
      <c r="B441" t="str" cm="1">
        <f t="array" ref="B441">INDEX('Category Map'!$B$5:$B$25, MOD(ROW()-2, COUNTA('Category Map'!$B$5:$B$25))+1)</f>
        <v>Steel Pickling</v>
      </c>
      <c r="C441" s="43" cm="1">
        <f t="array" aca="1" ref="C441" ca="1">_xlfn.XLOOKUP(B441,INDIRECT("'" &amp; A441 &amp; "'!G:G"),INDIRECT("'" &amp; A441 &amp; "'!H:H"),0,0,1)</f>
        <v>0</v>
      </c>
    </row>
    <row r="442" spans="1:3">
      <c r="A442" t="str" cm="1">
        <f t="array" ref="A442">INDEX('Table of Contents'!$B$5:$B$25, INT((ROW()-2)/COUNTA('Category Map'!$B$5:$B$25))+1)</f>
        <v>Cl2</v>
      </c>
      <c r="B442" t="str" cm="1">
        <f t="array" ref="B442">INDEX('Category Map'!$B$5:$B$25, MOD(ROW()-2, COUNTA('Category Map'!$B$5:$B$25))+1)</f>
        <v>Water Treatment</v>
      </c>
      <c r="C442" s="43" cm="1">
        <f t="array" aca="1" ref="C442" ca="1">_xlfn.XLOOKUP(B442,INDIRECT("'" &amp; A442 &amp; "'!G:G"),INDIRECT("'" &amp; A442 &amp; "'!H:H"),0,0,1)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5696-4B87-7546-ABF5-834E5792B8B7}">
  <dimension ref="A1:Z115"/>
  <sheetViews>
    <sheetView tabSelected="1" topLeftCell="A2" workbookViewId="0">
      <selection activeCell="AA1" sqref="AA1:XFD1"/>
    </sheetView>
  </sheetViews>
  <sheetFormatPr baseColWidth="10" defaultRowHeight="16"/>
  <cols>
    <col min="1" max="1" width="3.33203125" customWidth="1"/>
    <col min="2" max="2" width="32.33203125" customWidth="1"/>
    <col min="3" max="3" width="97.83203125" style="34" customWidth="1"/>
    <col min="6" max="7" width="36.6640625" customWidth="1"/>
  </cols>
  <sheetData>
    <row r="1" spans="1:26" s="44" customFormat="1">
      <c r="A1" s="32"/>
      <c r="B1" s="32"/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27">
      <c r="B2" s="4" t="s">
        <v>145</v>
      </c>
      <c r="F2" s="4" t="s">
        <v>143</v>
      </c>
    </row>
    <row r="4" spans="1:26" ht="17">
      <c r="B4" s="35" t="s">
        <v>15</v>
      </c>
      <c r="C4" s="39" t="s">
        <v>146</v>
      </c>
      <c r="F4" s="36" t="s">
        <v>15</v>
      </c>
      <c r="G4" s="37" t="s">
        <v>14</v>
      </c>
    </row>
    <row r="5" spans="1:26" ht="17">
      <c r="B5" s="9" t="str" cm="1">
        <f t="array" ref="B5:B25">_xlfn._xlws.SORT(_xlfn.UNIQUE(F5:F113))</f>
        <v>Battery Manufacturing</v>
      </c>
      <c r="C5" s="34" t="str" cm="1">
        <f t="array" ref="C5">_xlfn.TEXTJOIN("; ",TRUE,_xlfn.UNIQUE(_xlfn._xlws.FILTER(G$4:G$113,F$4:F$113=B5)))</f>
        <v>Batteries</v>
      </c>
      <c r="F5" t="str" cm="1">
        <f t="array" ref="F5:G115">_xlfn.VSTACK(BaSO4!B8:C9,CaCl2!B8:C14,CaCO3!B8:C12,CaSO4!B8:C12,KCl!B8:C9,LiCl!B8:C14,Li2CO3!B8:C14,LiOH!B8:C14,MgCl2!B8:C8,MgSO4!B8:C12,'Mg(OH)2'!B8:C10,NaCl!B8:C11,Na2CO3!B8:C15,NaHCO3!B8:C16,Na2SO4!B8:C13,NaOH!B8:C18,SrSO4!B8:C11,H3BO3!B8:C9,HCl!B8:C11,'Br2'!B8:C13,'Cl2'!B8:C13)</f>
        <v>Oil and Gas</v>
      </c>
      <c r="G5" t="str">
        <v>Weighting agent in oil and gas drilling fluids</v>
      </c>
    </row>
    <row r="6" spans="1:26" ht="17">
      <c r="B6" s="9" t="str">
        <v>Cement Manufacturing</v>
      </c>
      <c r="C6" s="34" t="str" cm="1">
        <f t="array" ref="C6">_xlfn.TEXTJOIN("; ",TRUE,_xlfn.UNIQUE(_xlfn._xlws.FILTER(G$4:G$113,F$4:F$113=B6)))</f>
        <v>Cement manufacturing; Portland and masonry cement</v>
      </c>
      <c r="F6" t="str">
        <v>Miscellaneous Industrial</v>
      </c>
      <c r="G6" t="str">
        <v>Industrial</v>
      </c>
    </row>
    <row r="7" spans="1:26" ht="51">
      <c r="B7" s="9" t="str">
        <v>Chemical Manufacturing</v>
      </c>
      <c r="C7" s="34" t="str" cm="1">
        <f t="array" ref="C7">_xlfn.TEXTJOIN("; ",TRUE,_xlfn.UNIQUE(_xlfn._xlws.FILTER(G$4:G$113,F$4:F$113=B7)))</f>
        <v>Chemical intermediates; Other chemical; Chemicals; Soap and detergents; Organic; Inorganic; Epichlorohydrin; Polycarbonates; Alumina; Soap; Propylene oxide; Organic synthesis; Hydrochloric Acid; Chloromethanes; Chlorinated Paraffin Wax; Organics</v>
      </c>
      <c r="F7" t="str">
        <v>Deicing</v>
      </c>
      <c r="G7" t="str">
        <v>Deicing</v>
      </c>
    </row>
    <row r="8" spans="1:26" ht="17">
      <c r="B8" s="9" t="str">
        <v>Chloralkali Process</v>
      </c>
      <c r="C8" s="34" t="str" cm="1">
        <f t="array" ref="C8">_xlfn.TEXTJOIN("; ",TRUE,_xlfn.UNIQUE(_xlfn._xlws.FILTER(G$4:G$113,F$4:F$113=B8)))</f>
        <v>Chloralkali producers</v>
      </c>
      <c r="F8" t="str">
        <v>Dust Control</v>
      </c>
      <c r="G8" t="str">
        <v>Dust control, road stabilization</v>
      </c>
    </row>
    <row r="9" spans="1:26" ht="17">
      <c r="B9" s="9" t="str">
        <v>Concrete</v>
      </c>
      <c r="C9" s="34" t="str" cm="1">
        <f t="array" ref="C9">_xlfn.TEXTJOIN("; ",TRUE,_xlfn.UNIQUE(_xlfn._xlws.FILTER(G$4:G$113,F$4:F$113=B9)))</f>
        <v>Concrete</v>
      </c>
      <c r="F9" t="str">
        <v>Miscellaneous Industrial</v>
      </c>
      <c r="G9" t="str">
        <v>Industrial (refrigerant, coal thawing, etc.)</v>
      </c>
    </row>
    <row r="10" spans="1:26" ht="17">
      <c r="B10" s="9" t="str">
        <v>Construction Aggregate</v>
      </c>
      <c r="C10" s="34" t="str" cm="1">
        <f t="array" ref="C10">_xlfn.TEXTJOIN("; ",TRUE,_xlfn.UNIQUE(_xlfn._xlws.FILTER(G$4:G$113,F$4:F$113=B10)))</f>
        <v>Construction aggregate</v>
      </c>
      <c r="F10" t="str">
        <v>Oil and Gas</v>
      </c>
      <c r="G10" t="str">
        <v>Oil and gas drilling fluids</v>
      </c>
    </row>
    <row r="11" spans="1:26" ht="17">
      <c r="B11" s="9" t="str">
        <v>Deicing</v>
      </c>
      <c r="C11" s="34" t="str" cm="1">
        <f t="array" ref="C11">_xlfn.TEXTJOIN("; ",TRUE,_xlfn.UNIQUE(_xlfn._xlws.FILTER(G$4:G$113,F$4:F$113=B11)))</f>
        <v>Deicing</v>
      </c>
      <c r="F11" t="str">
        <v>Concrete</v>
      </c>
      <c r="G11" t="str">
        <v>Concrete</v>
      </c>
    </row>
    <row r="12" spans="1:26" ht="17">
      <c r="B12" s="9" t="str">
        <v>Dust Control</v>
      </c>
      <c r="C12" s="34" t="str" cm="1">
        <f t="array" ref="C12">_xlfn.TEXTJOIN("; ",TRUE,_xlfn.UNIQUE(_xlfn._xlws.FILTER(G$4:G$113,F$4:F$113=B12)))</f>
        <v>Dust control, road stabilization</v>
      </c>
      <c r="F12" t="str">
        <v>Miscellaneous Agricultural</v>
      </c>
      <c r="G12" t="str">
        <v>Tire ballast</v>
      </c>
    </row>
    <row r="13" spans="1:26" ht="17">
      <c r="B13" s="9" t="str">
        <v>Fertilizer Manufacturing</v>
      </c>
      <c r="C13" s="34" t="str" cm="1">
        <f t="array" ref="C13">_xlfn.TEXTJOIN("; ",TRUE,_xlfn.UNIQUE(_xlfn._xlws.FILTER(G$4:G$113,F$4:F$113=B13)))</f>
        <v>Fertilizer</v>
      </c>
      <c r="F13" t="str">
        <v>Other</v>
      </c>
      <c r="G13" t="str">
        <v>Miscellaneous</v>
      </c>
    </row>
    <row r="14" spans="1:26" ht="17">
      <c r="B14" s="9" t="str">
        <v>Flue Gas Desulfurization</v>
      </c>
      <c r="C14" s="34" t="str" cm="1">
        <f t="array" ref="C14">_xlfn.TEXTJOIN("; ",TRUE,_xlfn.UNIQUE(_xlfn._xlws.FILTER(G$4:G$113,F$4:F$113=B14)))</f>
        <v>Flue gas desulfurization</v>
      </c>
      <c r="F14" t="str">
        <v>Construction Aggregate</v>
      </c>
      <c r="G14" t="str">
        <v>Construction aggregate</v>
      </c>
    </row>
    <row r="15" spans="1:26" ht="17">
      <c r="B15" s="9" t="str">
        <v>Glass Manufacturing</v>
      </c>
      <c r="C15" s="34" t="str" cm="1">
        <f t="array" ref="C15">_xlfn.TEXTJOIN("; ",TRUE,_xlfn.UNIQUE(_xlfn._xlws.FILTER(G$4:G$113,F$4:F$113=B15)))</f>
        <v>Ceramics and glass; Glass; Glass and ceramics</v>
      </c>
      <c r="F15" t="str">
        <v>Cement Manufacturing</v>
      </c>
      <c r="G15" t="str">
        <v>Cement manufacturing</v>
      </c>
    </row>
    <row r="16" spans="1:26" ht="17">
      <c r="B16" s="9" t="str">
        <v>Gypsum-Based Building Materials</v>
      </c>
      <c r="C16" s="34" t="str" cm="1">
        <f t="array" ref="C16">_xlfn.TEXTJOIN("; ",TRUE,_xlfn.UNIQUE(_xlfn._xlws.FILTER(G$4:G$113,F$4:F$113=B16)))</f>
        <v>Plaster; Prefabricated gypsum products</v>
      </c>
      <c r="F16" t="str">
        <v>Lime Manufacturing</v>
      </c>
      <c r="G16" t="str">
        <v>Lime manufacturing</v>
      </c>
    </row>
    <row r="17" spans="2:7" ht="17">
      <c r="B17" s="9" t="str">
        <v>Lime Manufacturing</v>
      </c>
      <c r="C17" s="34" t="str" cm="1">
        <f t="array" ref="C17">_xlfn.TEXTJOIN("; ",TRUE,_xlfn.UNIQUE(_xlfn._xlws.FILTER(G$4:G$113,F$4:F$113=B17)))</f>
        <v>Lime manufacturing</v>
      </c>
      <c r="F17" t="str">
        <v>Miscellaneous Agricultural</v>
      </c>
      <c r="G17" t="str">
        <v>Agricultural uses</v>
      </c>
    </row>
    <row r="18" spans="2:7" ht="17">
      <c r="B18" s="9" t="str">
        <v>Livestock</v>
      </c>
      <c r="C18" s="34" t="str" cm="1">
        <f t="array" ref="C18">_xlfn.TEXTJOIN("; ",TRUE,_xlfn.UNIQUE(_xlfn._xlws.FILTER(G$4:G$113,F$4:F$113=B18)))</f>
        <v>Animal feed</v>
      </c>
      <c r="F18" t="str">
        <v>Other</v>
      </c>
      <c r="G18" t="str">
        <v>Chemical, special, and miscellaneous uses</v>
      </c>
    </row>
    <row r="19" spans="2:7" ht="17">
      <c r="B19" s="9" t="str">
        <v>Miscellaneous Agricultural</v>
      </c>
      <c r="C19" s="34" t="str" cm="1">
        <f t="array" ref="C19">_xlfn.TEXTJOIN("; ",TRUE,_xlfn.UNIQUE(_xlfn._xlws.FILTER(G$4:G$113,F$4:F$113=B19)))</f>
        <v>Tire ballast; Agricultural uses; Agriculture and other; Agriculture</v>
      </c>
      <c r="F19" t="str">
        <v>Cement Manufacturing</v>
      </c>
      <c r="G19" t="str">
        <v>Portland and masonry cement</v>
      </c>
    </row>
    <row r="20" spans="2:7" ht="68">
      <c r="B20" s="9" t="str">
        <v>Miscellaneous Industrial</v>
      </c>
      <c r="C20" s="34" t="str" cm="1">
        <f t="array" ref="C20">_xlfn.TEXTJOIN("; ",TRUE,_xlfn.UNIQUE(_xlfn._xlws.FILTER(G$4:G$113,F$4:F$113=B20)))</f>
        <v>Industrial; Industrial (refrigerant, coal thawing, etc.); Chemical and industrial applications; Lubricating greases; Continuous casting mold flux powders; Cosmetics and personal care; Food; Pharmaceuticals; Cleaning products; Carpet fresheners; Textiles; Textile; Ceramic ferrite magnets; Pyrotechnics and signals; Food processing; Flame retardant</v>
      </c>
      <c r="F20" t="str">
        <v>Miscellaneous Agricultural</v>
      </c>
      <c r="G20" t="str">
        <v>Agriculture and other</v>
      </c>
    </row>
    <row r="21" spans="2:7" ht="34">
      <c r="B21" s="9" t="str">
        <v>Oil and Gas</v>
      </c>
      <c r="C21" s="34" t="str" cm="1">
        <f t="array" ref="C21">_xlfn.TEXTJOIN("; ",TRUE,_xlfn.UNIQUE(_xlfn._xlws.FILTER(G$4:G$113,F$4:F$113=B21)))</f>
        <v>Weighting agent in oil and gas drilling fluids; Oil and gas drilling fluids; Oil and gas exploration; Drilling fluids; Oil and gas well acidification</v>
      </c>
      <c r="F21" t="str">
        <v>Gypsum-Based Building Materials</v>
      </c>
      <c r="G21" t="str">
        <v>Plaster</v>
      </c>
    </row>
    <row r="22" spans="2:7" ht="34">
      <c r="B22" s="9" t="str">
        <v>Other</v>
      </c>
      <c r="C22" s="34" t="str" cm="1">
        <f t="array" ref="C22">_xlfn.TEXTJOIN("; ",TRUE,_xlfn.UNIQUE(_xlfn._xlws.FILTER(G$4:G$113,F$4:F$113=B22)))</f>
        <v>Miscellaneous; Chemical, special, and miscellaneous uses; Other; Air treatment; Medical; Other applications; Other end uses; Miscellaneous uses; Distributors; Others</v>
      </c>
      <c r="F22" t="str">
        <v>Gypsum-Based Building Materials</v>
      </c>
      <c r="G22" t="str">
        <v>Prefabricated gypsum products</v>
      </c>
    </row>
    <row r="23" spans="2:7" ht="17">
      <c r="B23" s="9" t="str">
        <v>Pulp and Paper</v>
      </c>
      <c r="C23" s="34" t="str" cm="1">
        <f t="array" ref="C23">_xlfn.TEXTJOIN("; ",TRUE,_xlfn.UNIQUE(_xlfn._xlws.FILTER(G$4:G$113,F$4:F$113=B23)))</f>
        <v>Pulp and paper</v>
      </c>
      <c r="F23" t="str">
        <v>Other</v>
      </c>
      <c r="G23" t="str">
        <v>Other</v>
      </c>
    </row>
    <row r="24" spans="2:7" ht="17">
      <c r="B24" s="9" t="str">
        <v>Steel Pickling</v>
      </c>
      <c r="C24" s="34" t="str" cm="1">
        <f t="array" ref="C24">_xlfn.TEXTJOIN("; ",TRUE,_xlfn.UNIQUE(_xlfn._xlws.FILTER(G$4:G$113,F$4:F$113=B24)))</f>
        <v>Steel pickling</v>
      </c>
      <c r="F24" t="str">
        <v>Fertilizer Manufacturing</v>
      </c>
      <c r="G24" t="str">
        <v>Fertilizer</v>
      </c>
    </row>
    <row r="25" spans="2:7" ht="17">
      <c r="B25" s="10" t="str">
        <v>Water Treatment</v>
      </c>
      <c r="C25" s="40" t="str" cm="1">
        <f t="array" ref="C25">_xlfn.TEXTJOIN("; ",TRUE,_xlfn.UNIQUE(_xlfn._xlws.FILTER(G$4:G$113,F$4:F$113=B25)))</f>
        <v>Water treatment; Commercial water treatment; Water</v>
      </c>
      <c r="F25" t="str">
        <v>Miscellaneous Industrial</v>
      </c>
      <c r="G25" t="str">
        <v>Chemical and industrial applications</v>
      </c>
    </row>
    <row r="26" spans="2:7">
      <c r="F26" t="str">
        <v>Battery Manufacturing</v>
      </c>
      <c r="G26" t="str">
        <v>Batteries</v>
      </c>
    </row>
    <row r="27" spans="2:7">
      <c r="F27" t="str">
        <v>Glass Manufacturing</v>
      </c>
      <c r="G27" t="str">
        <v>Ceramics and glass</v>
      </c>
    </row>
    <row r="28" spans="2:7">
      <c r="F28" t="str">
        <v>Miscellaneous Industrial</v>
      </c>
      <c r="G28" t="str">
        <v>Lubricating greases</v>
      </c>
    </row>
    <row r="29" spans="2:7">
      <c r="F29" t="str">
        <v>Other</v>
      </c>
      <c r="G29" t="str">
        <v>Air treatment</v>
      </c>
    </row>
    <row r="30" spans="2:7">
      <c r="F30" t="str">
        <v>Miscellaneous Industrial</v>
      </c>
      <c r="G30" t="str">
        <v>Continuous casting mold flux powders</v>
      </c>
    </row>
    <row r="31" spans="2:7">
      <c r="F31" t="str">
        <v>Other</v>
      </c>
      <c r="G31" t="str">
        <v>Medical</v>
      </c>
    </row>
    <row r="32" spans="2:7">
      <c r="F32" t="str">
        <v>Other</v>
      </c>
      <c r="G32" t="str">
        <v>Other</v>
      </c>
    </row>
    <row r="33" spans="6:7">
      <c r="F33" t="str">
        <v>Battery Manufacturing</v>
      </c>
      <c r="G33" t="str">
        <v>Batteries</v>
      </c>
    </row>
    <row r="34" spans="6:7">
      <c r="F34" t="str">
        <v>Glass Manufacturing</v>
      </c>
      <c r="G34" t="str">
        <v>Ceramics and glass</v>
      </c>
    </row>
    <row r="35" spans="6:7">
      <c r="F35" t="str">
        <v>Miscellaneous Industrial</v>
      </c>
      <c r="G35" t="str">
        <v>Lubricating greases</v>
      </c>
    </row>
    <row r="36" spans="6:7">
      <c r="F36" t="str">
        <v>Other</v>
      </c>
      <c r="G36" t="str">
        <v>Air treatment</v>
      </c>
    </row>
    <row r="37" spans="6:7">
      <c r="F37" t="str">
        <v>Miscellaneous Industrial</v>
      </c>
      <c r="G37" t="str">
        <v>Continuous casting mold flux powders</v>
      </c>
    </row>
    <row r="38" spans="6:7">
      <c r="F38" t="str">
        <v>Other</v>
      </c>
      <c r="G38" t="str">
        <v>Medical</v>
      </c>
    </row>
    <row r="39" spans="6:7">
      <c r="F39" t="str">
        <v>Other</v>
      </c>
      <c r="G39" t="str">
        <v>Other</v>
      </c>
    </row>
    <row r="40" spans="6:7">
      <c r="F40" t="str">
        <v>Battery Manufacturing</v>
      </c>
      <c r="G40" t="str">
        <v>Batteries</v>
      </c>
    </row>
    <row r="41" spans="6:7">
      <c r="F41" t="str">
        <v>Glass Manufacturing</v>
      </c>
      <c r="G41" t="str">
        <v>Ceramics and glass</v>
      </c>
    </row>
    <row r="42" spans="6:7">
      <c r="F42" t="str">
        <v>Miscellaneous Industrial</v>
      </c>
      <c r="G42" t="str">
        <v>Lubricating greases</v>
      </c>
    </row>
    <row r="43" spans="6:7">
      <c r="F43" t="str">
        <v>Other</v>
      </c>
      <c r="G43" t="str">
        <v>Air treatment</v>
      </c>
    </row>
    <row r="44" spans="6:7">
      <c r="F44" t="str">
        <v>Miscellaneous Industrial</v>
      </c>
      <c r="G44" t="str">
        <v>Continuous casting mold flux powders</v>
      </c>
    </row>
    <row r="45" spans="6:7">
      <c r="F45" t="str">
        <v>Other</v>
      </c>
      <c r="G45" t="str">
        <v>Medical</v>
      </c>
    </row>
    <row r="46" spans="6:7">
      <c r="F46" t="str">
        <v>Other</v>
      </c>
      <c r="G46" t="str">
        <v>Other</v>
      </c>
    </row>
    <row r="47" spans="6:7">
      <c r="F47" t="str">
        <v>Deicing</v>
      </c>
      <c r="G47" t="str">
        <v>Deicing</v>
      </c>
    </row>
    <row r="48" spans="6:7">
      <c r="F48" t="str">
        <v>Miscellaneous Industrial</v>
      </c>
      <c r="G48" t="str">
        <v>Cosmetics and personal care</v>
      </c>
    </row>
    <row r="49" spans="6:7">
      <c r="F49" t="str">
        <v>Chemical Manufacturing</v>
      </c>
      <c r="G49" t="str">
        <v>Chemical intermediates</v>
      </c>
    </row>
    <row r="50" spans="6:7">
      <c r="F50" t="str">
        <v>Pulp and Paper</v>
      </c>
      <c r="G50" t="str">
        <v>Pulp and paper</v>
      </c>
    </row>
    <row r="51" spans="6:7">
      <c r="F51" t="str">
        <v>Fertilizer Manufacturing</v>
      </c>
      <c r="G51" t="str">
        <v>Fertilizer</v>
      </c>
    </row>
    <row r="52" spans="6:7">
      <c r="F52" t="str">
        <v>Other</v>
      </c>
      <c r="G52" t="str">
        <v>Other applications</v>
      </c>
    </row>
    <row r="53" spans="6:7">
      <c r="F53" t="str">
        <v>Water Treatment</v>
      </c>
      <c r="G53" t="str">
        <v>Water treatment</v>
      </c>
    </row>
    <row r="54" spans="6:7">
      <c r="F54" t="str">
        <v>Chemical Manufacturing</v>
      </c>
      <c r="G54" t="str">
        <v>Chemical intermediates</v>
      </c>
    </row>
    <row r="55" spans="6:7">
      <c r="F55" t="str">
        <v>Other</v>
      </c>
      <c r="G55" t="str">
        <v>Other end uses</v>
      </c>
    </row>
    <row r="56" spans="6:7">
      <c r="F56" t="str">
        <v>Chloralkali Process</v>
      </c>
      <c r="G56" t="str">
        <v>Chloralkali producers</v>
      </c>
    </row>
    <row r="57" spans="6:7">
      <c r="F57" t="str">
        <v>Chemical Manufacturing</v>
      </c>
      <c r="G57" t="str">
        <v>Other chemical</v>
      </c>
    </row>
    <row r="58" spans="6:7">
      <c r="F58" t="str">
        <v>Oil and Gas</v>
      </c>
      <c r="G58" t="str">
        <v>Oil and gas exploration</v>
      </c>
    </row>
    <row r="59" spans="6:7">
      <c r="F59" t="str">
        <v>Water Treatment</v>
      </c>
      <c r="G59" t="str">
        <v>Commercial water treatment</v>
      </c>
    </row>
    <row r="60" spans="6:7">
      <c r="F60" t="str">
        <v>Glass Manufacturing</v>
      </c>
      <c r="G60" t="str">
        <v>Glass</v>
      </c>
    </row>
    <row r="61" spans="6:7">
      <c r="F61" t="str">
        <v>Chemical Manufacturing</v>
      </c>
      <c r="G61" t="str">
        <v>Chemicals</v>
      </c>
    </row>
    <row r="62" spans="6:7">
      <c r="F62" t="str">
        <v>Other</v>
      </c>
      <c r="G62" t="str">
        <v>Miscellaneous uses</v>
      </c>
    </row>
    <row r="63" spans="6:7">
      <c r="F63" t="str">
        <v>Other</v>
      </c>
      <c r="G63" t="str">
        <v>Distributors</v>
      </c>
    </row>
    <row r="64" spans="6:7">
      <c r="F64" t="str">
        <v>Chemical Manufacturing</v>
      </c>
      <c r="G64" t="str">
        <v>Soap and detergents</v>
      </c>
    </row>
    <row r="65" spans="6:7">
      <c r="F65" t="str">
        <v>Flue Gas Desulfurization</v>
      </c>
      <c r="G65" t="str">
        <v>Flue gas desulfurization</v>
      </c>
    </row>
    <row r="66" spans="6:7">
      <c r="F66" t="str">
        <v>Pulp and Paper</v>
      </c>
      <c r="G66" t="str">
        <v>Pulp and paper</v>
      </c>
    </row>
    <row r="67" spans="6:7">
      <c r="F67" t="str">
        <v>Water Treatment</v>
      </c>
      <c r="G67" t="str">
        <v>Water treatment</v>
      </c>
    </row>
    <row r="68" spans="6:7">
      <c r="F68" t="str">
        <v>Chemical Manufacturing</v>
      </c>
      <c r="G68" t="str">
        <v>Chemicals</v>
      </c>
    </row>
    <row r="69" spans="6:7">
      <c r="F69" t="str">
        <v>Miscellaneous Agricultural</v>
      </c>
      <c r="G69" t="str">
        <v>Agriculture</v>
      </c>
    </row>
    <row r="70" spans="6:7">
      <c r="F70" t="str">
        <v>Livestock</v>
      </c>
      <c r="G70" t="str">
        <v>Animal feed</v>
      </c>
    </row>
    <row r="71" spans="6:7">
      <c r="F71" t="str">
        <v>Miscellaneous Industrial</v>
      </c>
      <c r="G71" t="str">
        <v>Food</v>
      </c>
    </row>
    <row r="72" spans="6:7">
      <c r="F72" t="str">
        <v>Miscellaneous Industrial</v>
      </c>
      <c r="G72" t="str">
        <v>Pharmaceuticals</v>
      </c>
    </row>
    <row r="73" spans="6:7">
      <c r="F73" t="str">
        <v>Miscellaneous Industrial</v>
      </c>
      <c r="G73" t="str">
        <v>Cleaning products</v>
      </c>
    </row>
    <row r="74" spans="6:7">
      <c r="F74" t="str">
        <v>Water Treatment</v>
      </c>
      <c r="G74" t="str">
        <v>Water treatment</v>
      </c>
    </row>
    <row r="75" spans="6:7">
      <c r="F75" t="str">
        <v>Flue Gas Desulfurization</v>
      </c>
      <c r="G75" t="str">
        <v>Flue gas desulfurization</v>
      </c>
    </row>
    <row r="76" spans="6:7">
      <c r="F76" t="str">
        <v>Other</v>
      </c>
      <c r="G76" t="str">
        <v>Others</v>
      </c>
    </row>
    <row r="77" spans="6:7">
      <c r="F77" t="str">
        <v>Chemical Manufacturing</v>
      </c>
      <c r="G77" t="str">
        <v>Soap and detergents</v>
      </c>
    </row>
    <row r="78" spans="6:7">
      <c r="F78" t="str">
        <v>Glass Manufacturing</v>
      </c>
      <c r="G78" t="str">
        <v>Glass</v>
      </c>
    </row>
    <row r="79" spans="6:7">
      <c r="F79" t="str">
        <v>Pulp and Paper</v>
      </c>
      <c r="G79" t="str">
        <v>Pulp and paper</v>
      </c>
    </row>
    <row r="80" spans="6:7">
      <c r="F80" t="str">
        <v>Miscellaneous Industrial</v>
      </c>
      <c r="G80" t="str">
        <v>Carpet fresheners</v>
      </c>
    </row>
    <row r="81" spans="6:7">
      <c r="F81" t="str">
        <v>Miscellaneous Industrial</v>
      </c>
      <c r="G81" t="str">
        <v>Textiles</v>
      </c>
    </row>
    <row r="82" spans="6:7">
      <c r="F82" t="str">
        <v>Other</v>
      </c>
      <c r="G82" t="str">
        <v>Miscellaneous</v>
      </c>
    </row>
    <row r="83" spans="6:7">
      <c r="F83" t="str">
        <v>Chemical Manufacturing</v>
      </c>
      <c r="G83" t="str">
        <v>Organic</v>
      </c>
    </row>
    <row r="84" spans="6:7">
      <c r="F84" t="str">
        <v>Chemical Manufacturing</v>
      </c>
      <c r="G84" t="str">
        <v>Inorganic</v>
      </c>
    </row>
    <row r="85" spans="6:7">
      <c r="F85" t="str">
        <v>Pulp and Paper</v>
      </c>
      <c r="G85" t="str">
        <v>Pulp and paper</v>
      </c>
    </row>
    <row r="86" spans="6:7">
      <c r="F86" t="str">
        <v>Chemical Manufacturing</v>
      </c>
      <c r="G86" t="str">
        <v>Epichlorohydrin</v>
      </c>
    </row>
    <row r="87" spans="6:7">
      <c r="F87" t="str">
        <v>Chemical Manufacturing</v>
      </c>
      <c r="G87" t="str">
        <v>Polycarbonates</v>
      </c>
    </row>
    <row r="88" spans="6:7">
      <c r="F88" t="str">
        <v>Water Treatment</v>
      </c>
      <c r="G88" t="str">
        <v>Water</v>
      </c>
    </row>
    <row r="89" spans="6:7">
      <c r="F89" t="str">
        <v>Miscellaneous Industrial</v>
      </c>
      <c r="G89" t="str">
        <v>Textile</v>
      </c>
    </row>
    <row r="90" spans="6:7">
      <c r="F90" t="str">
        <v>Chemical Manufacturing</v>
      </c>
      <c r="G90" t="str">
        <v>Alumina</v>
      </c>
    </row>
    <row r="91" spans="6:7">
      <c r="F91" t="str">
        <v>Chemical Manufacturing</v>
      </c>
      <c r="G91" t="str">
        <v>Soap</v>
      </c>
    </row>
    <row r="92" spans="6:7">
      <c r="F92" t="str">
        <v>Chemical Manufacturing</v>
      </c>
      <c r="G92" t="str">
        <v>Propylene oxide</v>
      </c>
    </row>
    <row r="93" spans="6:7">
      <c r="F93" t="str">
        <v>Other</v>
      </c>
      <c r="G93" t="str">
        <v>Others</v>
      </c>
    </row>
    <row r="94" spans="6:7">
      <c r="F94" t="str">
        <v>Oil and Gas</v>
      </c>
      <c r="G94" t="str">
        <v>Drilling fluids</v>
      </c>
    </row>
    <row r="95" spans="6:7">
      <c r="F95" t="str">
        <v>Miscellaneous Industrial</v>
      </c>
      <c r="G95" t="str">
        <v>Ceramic ferrite magnets</v>
      </c>
    </row>
    <row r="96" spans="6:7">
      <c r="F96" t="str">
        <v>Miscellaneous Industrial</v>
      </c>
      <c r="G96" t="str">
        <v>Pyrotechnics and signals</v>
      </c>
    </row>
    <row r="97" spans="6:7">
      <c r="F97" t="str">
        <v>Other</v>
      </c>
      <c r="G97" t="str">
        <v>Other</v>
      </c>
    </row>
    <row r="98" spans="6:7">
      <c r="F98" t="str">
        <v>Glass Manufacturing</v>
      </c>
      <c r="G98" t="str">
        <v>Glass and ceramics</v>
      </c>
    </row>
    <row r="99" spans="6:7">
      <c r="F99" t="str">
        <v>Other</v>
      </c>
      <c r="G99" t="str">
        <v>Other</v>
      </c>
    </row>
    <row r="100" spans="6:7">
      <c r="F100" t="str">
        <v>Oil and Gas</v>
      </c>
      <c r="G100" t="str">
        <v>Oil and gas well acidification</v>
      </c>
    </row>
    <row r="101" spans="6:7">
      <c r="F101" t="str">
        <v>Steel Pickling</v>
      </c>
      <c r="G101" t="str">
        <v>Steel pickling</v>
      </c>
    </row>
    <row r="102" spans="6:7">
      <c r="F102" t="str">
        <v>Miscellaneous Industrial</v>
      </c>
      <c r="G102" t="str">
        <v>Food processing</v>
      </c>
    </row>
    <row r="103" spans="6:7">
      <c r="F103" t="str">
        <v>Other</v>
      </c>
      <c r="G103" t="str">
        <v>Other</v>
      </c>
    </row>
    <row r="104" spans="6:7">
      <c r="F104" t="str">
        <v>Miscellaneous Industrial</v>
      </c>
      <c r="G104" t="str">
        <v>Flame retardant</v>
      </c>
    </row>
    <row r="105" spans="6:7">
      <c r="F105" t="str">
        <v>Oil and Gas</v>
      </c>
      <c r="G105" t="str">
        <v>Drilling fluids</v>
      </c>
    </row>
    <row r="106" spans="6:7">
      <c r="F106" t="str">
        <v>Chemical Manufacturing</v>
      </c>
      <c r="G106" t="str">
        <v>Organic synthesis</v>
      </c>
    </row>
    <row r="107" spans="6:7">
      <c r="F107" t="str">
        <v>Miscellaneous Industrial</v>
      </c>
      <c r="G107" t="str">
        <v>Pharmaceuticals</v>
      </c>
    </row>
    <row r="108" spans="6:7">
      <c r="F108" t="str">
        <v>Water Treatment</v>
      </c>
      <c r="G108" t="str">
        <v>Water treatment</v>
      </c>
    </row>
    <row r="109" spans="6:7">
      <c r="F109" t="str">
        <v>Miscellaneous Agricultural</v>
      </c>
      <c r="G109" t="str">
        <v>Agriculture</v>
      </c>
    </row>
    <row r="110" spans="6:7">
      <c r="F110" t="str">
        <v>Chemical Manufacturing</v>
      </c>
      <c r="G110" t="str">
        <v>Hydrochloric Acid</v>
      </c>
    </row>
    <row r="111" spans="6:7">
      <c r="F111" t="str">
        <v>Chemical Manufacturing</v>
      </c>
      <c r="G111" t="str">
        <v>Chloromethanes</v>
      </c>
    </row>
    <row r="112" spans="6:7">
      <c r="F112" t="str">
        <v>Chemical Manufacturing</v>
      </c>
      <c r="G112" t="str">
        <v>Chlorinated Paraffin Wax</v>
      </c>
    </row>
    <row r="113" spans="6:7">
      <c r="F113" t="str">
        <v>Chemical Manufacturing</v>
      </c>
      <c r="G113" t="str">
        <v>Organics</v>
      </c>
    </row>
    <row r="114" spans="6:7">
      <c r="F114" t="str">
        <v>Chemical Manufacturing</v>
      </c>
      <c r="G114" t="str">
        <v>Inorganics</v>
      </c>
    </row>
    <row r="115" spans="6:7">
      <c r="F115" t="str">
        <v>Other</v>
      </c>
      <c r="G115" t="str">
        <v>Other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of Contents</vt:lpstr>
      <vt:lpstr>BaSO4</vt:lpstr>
      <vt:lpstr>CaCl2</vt:lpstr>
      <vt:lpstr>CaCO3</vt:lpstr>
      <vt:lpstr>CaSO4</vt:lpstr>
      <vt:lpstr>KCl</vt:lpstr>
      <vt:lpstr>LiCl</vt:lpstr>
      <vt:lpstr>Li2CO3</vt:lpstr>
      <vt:lpstr>LiOH</vt:lpstr>
      <vt:lpstr>MgCl2</vt:lpstr>
      <vt:lpstr>MgSO4</vt:lpstr>
      <vt:lpstr>Mg(OH)2</vt:lpstr>
      <vt:lpstr>NaCl</vt:lpstr>
      <vt:lpstr>Na2CO3</vt:lpstr>
      <vt:lpstr>NaHCO3</vt:lpstr>
      <vt:lpstr>Na2SO4</vt:lpstr>
      <vt:lpstr>NaOH</vt:lpstr>
      <vt:lpstr>SrSO4</vt:lpstr>
      <vt:lpstr>H3BO3</vt:lpstr>
      <vt:lpstr>HCl</vt:lpstr>
      <vt:lpstr>Br2</vt:lpstr>
      <vt:lpstr>Cl2</vt:lpstr>
      <vt:lpstr>Summary</vt:lpstr>
      <vt:lpstr>Category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Elizabeth Adkins</dc:creator>
  <cp:lastModifiedBy>Caroline Elizabeth Adkins</cp:lastModifiedBy>
  <dcterms:created xsi:type="dcterms:W3CDTF">2026-08-07T16:33:05Z</dcterms:created>
  <dcterms:modified xsi:type="dcterms:W3CDTF">2026-08-14T22:09:24Z</dcterms:modified>
</cp:coreProperties>
</file>